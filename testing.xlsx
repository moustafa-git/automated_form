
<file path=[Content_Types].xml><?xml version="1.0" encoding="utf-8"?>
<Types xmlns="http://schemas.openxmlformats.org/package/2006/content-types">
  <Default Extension="xml" ContentType="application/xml"/>
  <Default Extension="png" ContentType="image/png"/>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media/image2.svg" ContentType="image/svg+xml"/>
  <Override PartName="/xl/metadata.xml" ContentType="application/vnd.openxmlformats-officedocument.spreadsheetml.sheetMetadata+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sharedStrings.xml" ContentType="application/vnd.openxmlformats-officedocument.spreadsheetml.sharedStrings+xml"/>
  <Override PartName="/xl/slicerCaches/slicerCache1.xml" ContentType="application/vnd.ms-excel.slicerCache+xml"/>
  <Override PartName="/xl/slicers/slicer1.xml" ContentType="application/vnd.ms-excel.slicer+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hidePivotFieldList="1"/>
  <bookViews>
    <workbookView windowWidth="23040" windowHeight="9000" tabRatio="615" activeTab="1"/>
  </bookViews>
  <sheets>
    <sheet name="DashBoard" sheetId="78" r:id="rId1"/>
    <sheet name="SHOC" sheetId="68" r:id="rId2"/>
    <sheet name="List" sheetId="69" state="hidden" r:id="rId3"/>
    <sheet name="Tables" sheetId="76" state="hidden" r:id="rId4"/>
  </sheets>
  <definedNames>
    <definedName name="Slicer_Months__Date">#N/A</definedName>
  </definedNames>
  <calcPr calcId="191029"/>
  <pivotCaches>
    <pivotCache cacheId="0" r:id="rId8"/>
  </pivotCaches>
  <extLst>
    <ext xmlns:x14="http://schemas.microsoft.com/office/spreadsheetml/2009/9/main" uri="{BBE1A952-AA13-448e-AADC-164F8A28A991}">
      <x14:slicerCaches>
        <x14:slicerCache r:id="rId9"/>
      </x14: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<sst xmlns="http://schemas.openxmlformats.org/spreadsheetml/2006/main" count="22928" uniqueCount="3387">
  <si>
    <t>SHOC Dashboard- Zeit Bay</t>
  </si>
  <si>
    <t>SHOC Register/Action Tracker</t>
  </si>
  <si>
    <t>Cumulative</t>
  </si>
  <si>
    <t>Total Observations</t>
  </si>
  <si>
    <t>Total Corrected</t>
  </si>
  <si>
    <t>Total Open</t>
  </si>
  <si>
    <t>Total Positive Reinforcement</t>
  </si>
  <si>
    <t>Total Unsafe Acts</t>
  </si>
  <si>
    <t>N/A</t>
  </si>
  <si>
    <t>Total Unsafe Conditions</t>
  </si>
  <si>
    <t>Total Safe Acts</t>
  </si>
  <si>
    <t>Total Safe Conditions</t>
  </si>
  <si>
    <t>Priority: High</t>
  </si>
  <si>
    <t>Risk Rating: High</t>
  </si>
  <si>
    <t>Filetered</t>
  </si>
  <si>
    <t>Total Closed</t>
  </si>
  <si>
    <t>S/N</t>
  </si>
  <si>
    <t>Date</t>
  </si>
  <si>
    <t>Observer</t>
  </si>
  <si>
    <t>Company</t>
  </si>
  <si>
    <t>Trade/Position</t>
  </si>
  <si>
    <t>Observation Group</t>
  </si>
  <si>
    <t>Location/Area</t>
  </si>
  <si>
    <t>Observation Type</t>
  </si>
  <si>
    <t>Observation</t>
  </si>
  <si>
    <t>Action</t>
  </si>
  <si>
    <t>Action Taken</t>
  </si>
  <si>
    <t>Corrective Action / Preventive Action</t>
  </si>
  <si>
    <t>Priority</t>
  </si>
  <si>
    <t>Risk Rating</t>
  </si>
  <si>
    <t>Custodian</t>
  </si>
  <si>
    <t>Due Date</t>
  </si>
  <si>
    <t>Status</t>
  </si>
  <si>
    <t>Comment</t>
  </si>
  <si>
    <t>Ahmed Ali</t>
  </si>
  <si>
    <t>Petrojet</t>
  </si>
  <si>
    <t>Unsafe Condition</t>
  </si>
  <si>
    <t>Workshop 1</t>
  </si>
  <si>
    <t>Energy Isolation</t>
  </si>
  <si>
    <t>observed an electrical panel with broken plug</t>
  </si>
  <si>
    <t>I corrected the problem</t>
  </si>
  <si>
    <t>informed the sup to replaced it with another one and he did</t>
  </si>
  <si>
    <t>Invalid</t>
  </si>
  <si>
    <t>Closed</t>
  </si>
  <si>
    <t>Sayed Aboelmagd</t>
  </si>
  <si>
    <t>Open Area 1</t>
  </si>
  <si>
    <t>Working at Height</t>
  </si>
  <si>
    <t>(Work plat form 1 Meter height missed the hand rail which may lead to fall hazard)</t>
  </si>
  <si>
    <t xml:space="preserve">Hand rail was installed immediately </t>
  </si>
  <si>
    <t>Mohamed Abdallah</t>
  </si>
  <si>
    <t>Unsafe Act</t>
  </si>
  <si>
    <t>Personal Protective Equipment</t>
  </si>
  <si>
    <t>Observed worker grinding without his face shield properly affixed</t>
  </si>
  <si>
    <t>I took a safety intervention</t>
  </si>
  <si>
    <t xml:space="preserve">Stopped the person grinding and informed him to wear his face shield in the proper manner. </t>
  </si>
  <si>
    <t>Workshop 2</t>
  </si>
  <si>
    <t>Housekeeping</t>
  </si>
  <si>
    <t xml:space="preserve">Small work pieces need arrangement </t>
  </si>
  <si>
    <t>Small work pieces arranged properly</t>
  </si>
  <si>
    <t>Reda Zaghloul</t>
  </si>
  <si>
    <t>Total Energies</t>
  </si>
  <si>
    <t>Open Area 3</t>
  </si>
  <si>
    <t>The piles receptacles holes in the Mudmat plate are open with no barriers and many workers (welders, grinders, fitters, etc…) working on the mudmat plate with potential falling in it.</t>
  </si>
  <si>
    <t>Spoke to TFMC QC &amp; PTJ HSE personnel to rectify such unsafe conditions by barricading the holes with hard barriers</t>
  </si>
  <si>
    <t>Ibrahim Gowida</t>
  </si>
  <si>
    <t>Workshop 3</t>
  </si>
  <si>
    <t>Line of Fire</t>
  </si>
  <si>
    <t>A worker was found sleeping near the drilling machine during the night shift.This posed a serious safety hazard due to the proximity to operating equipment and potential for accidents.</t>
  </si>
  <si>
    <t>Immediate Action:
➢The worker was woken up and removed from the hazardous area.
➢The supervisor conducted a brief discussion with the individual to emphasize the risks and safety protocols.
Preventive Measures:
➢Conduct a toolbox talk with all workers to highlight the dangers of inattentiveness and sleeping near machinery.
➢Increase supervisory rounds during night shifts to monitor worker alertness.
Agreement Reached:
➢The worker agreed to adhere to safety regulations and maintain attentiveness during shifts.
➢Supervisors will ensure consistent monitoring and implement stricter adherence to break schedules.</t>
  </si>
  <si>
    <t>A helper was spotted during carrying out welding operations whereas he was in improper position to do so</t>
  </si>
  <si>
    <t>Spoke to welding supervisor and stopped the helper until preparing required scaffold to safely carrying out the welding operation.</t>
  </si>
  <si>
    <t>Hany Elashkar</t>
  </si>
  <si>
    <t>TechnipFMC</t>
  </si>
  <si>
    <t xml:space="preserve">HSE </t>
  </si>
  <si>
    <t>Zeit bay</t>
  </si>
  <si>
    <t>Observed a lot of identification and safety signs installed without boards the way exposing them to be dismantled as a result of high wind speed.</t>
  </si>
  <si>
    <t>communicate PTJ to support signs by wooden or acrylic boards</t>
  </si>
  <si>
    <t>Observed a defected gauge &amp; regulator related to a propane cylinder at Workshop 2</t>
  </si>
  <si>
    <t>The cylinder immediately moved outside the ws then the gauge &amp; regulator were dismantled &amp; replaced</t>
  </si>
  <si>
    <t>Blasting &amp; Painting</t>
  </si>
  <si>
    <t>Observed high pressure hoses related to sandblasting and painting activities thrown on the ground beside sandblasting ws.</t>
  </si>
  <si>
    <t>need to provide proper housekeeping for the area</t>
  </si>
  <si>
    <t>Open Area 2</t>
  </si>
  <si>
    <t>Observed a lot of corrugated sheets thrown on the ground between open areOpen Area 2 and valves storage hanger</t>
  </si>
  <si>
    <t>The mentioned corrugated sheets need to be collected and transferred to proper storage area</t>
  </si>
  <si>
    <t>Gamal Abdelgawad</t>
  </si>
  <si>
    <t>Fabrication</t>
  </si>
  <si>
    <t>Improper PPE (Dark Glass) been worn by welders, inside all fabrication workshops</t>
  </si>
  <si>
    <t>I reported observation to HSSEQ</t>
  </si>
  <si>
    <t>Discussed the point in person with the welder, then informed PTJ/ TFMC HSE, to provide a clear glass to the new team.</t>
  </si>
  <si>
    <t>CPY observed that during lifting / assembly activities for fabrication structure items by crane, there was unsafe positioning of people/workforce who were not directly involved in the actual lifting operation positioned in areas of direct line of fire and general unsafe positions.</t>
  </si>
  <si>
    <t>I stopped the job</t>
  </si>
  <si>
    <t>CPY asked TFMC/PTJ HSE to stop the activity and discuss the CPY identified risks with PTJ rigging team as this was deemed to be unsafe condition due to a hazardous environment as well as the possibility of being classified as an unsafe act, if the individuals have knowingly entered the area despite warnings – both conditions would contribute to heightened risks.</t>
  </si>
  <si>
    <t>Workshop 4</t>
  </si>
  <si>
    <t>Hot Work</t>
  </si>
  <si>
    <t>CPY observed that, there is lack of Portable welding / grinding screens in comparison to grinding activities</t>
  </si>
  <si>
    <t>CPY approached TFMC / PTJ HSE, to Relocate the Portable welding / grinding screens in conjunction to the Grinding activities been in progress</t>
  </si>
  <si>
    <t>Bypassing Safety Control</t>
  </si>
  <si>
    <t>CPY observed that, there is a modification has been made for some fabrication support which is lifting the structure up from the support and not fully rested on it. CPY observed that portable stand has been used for leveling, is locating under the weight block, used during the fabrication / welding activities.</t>
  </si>
  <si>
    <t>CPY approached TFMC / PTJ HSE, to take an immediate action to ensure that all structures are fully rested on the fabrication support (full contact points). In addition to that, PTJ to remove the weight block wherever located on top of the portable fabrication stands.</t>
  </si>
  <si>
    <t>Malcolm Garrington</t>
  </si>
  <si>
    <t>Project Manager</t>
  </si>
  <si>
    <t>CPY noted that housekeeping conditions could be improved</t>
  </si>
  <si>
    <t>CPY suggest PTJ to accordingly look at fabrication arrangements and provide a better, more safer place to enable housekeeping to be implemented</t>
  </si>
  <si>
    <t>CPY noted the crane driver was wearing any PPE whatsoever.</t>
  </si>
  <si>
    <t>CPY suggest es that PTJ ensure that all the subcontracts who enter the PTJ yard are in compliance to project PPE rules and wearing of mandatory PPE</t>
  </si>
  <si>
    <t>CPY observed that several cables were found on the ground without any arrangement / cable management through cable management platform.</t>
  </si>
  <si>
    <t>Informed PTJ / TFMC HSE, to postpone the activities, to do all necessary for proper housekeeping all over the cable arrangement / cable management through cable management platform</t>
  </si>
  <si>
    <t>CPY noted that several PTJ workers using oxy/acetylene burning equipment were using only using clear PPE glasses. It is typical to use a dark burning goggles with a shad 4 or 5 dark lens to protect the eyes from long time use and future sight issues when the worker is older. The light spectrum from the burning touch with the UV and IR light can and will cause severe eye (cornea) damage (permanently) to the eyes.</t>
  </si>
  <si>
    <t>NA</t>
  </si>
  <si>
    <t>CPY noted that several poorly constructed / erected scaffolding steps where being used within the TE project. Poor and damaged materials being used as well as poor design will lead to incidents/accidents within time.</t>
  </si>
  <si>
    <t>PHE</t>
  </si>
  <si>
    <t>OPENED TRENCH BEHIND Workshop 1 WITHOUT BARRICADES</t>
  </si>
  <si>
    <t>TO BE BARRICATED</t>
  </si>
  <si>
    <t>Trench behind W/S 1 to be barricaded</t>
  </si>
  <si>
    <t>Medium</t>
  </si>
  <si>
    <t>PTJ</t>
  </si>
  <si>
    <t>UNPROPER WORKING TABLE LACK OF STOOLS TO ALLOW ADEQUATE GRINDING ACTIVITY</t>
  </si>
  <si>
    <t>I could not correct the problem</t>
  </si>
  <si>
    <t>SMOKING AREA TOO CLOSE FROM WORKING AREA AND LACK OF CLADDING PLATE PROTECTION WORKERS WITHOUT GOOGLES AND HELMET AT THIS AREA</t>
  </si>
  <si>
    <t>UNSECURED UNSTABLE FCAW WELDING MACHINES ON TOP OF MUDMAT FRAMING</t>
  </si>
  <si>
    <t>Lance Pretorius</t>
  </si>
  <si>
    <t>The activity at a low height on a Mudmat pre-assemblies did not have sufficient low scaffold ledgers, thus creating a situation where a worker could step off the edges</t>
  </si>
  <si>
    <t>Informed TFMC HSE Management who then engaged with PTJ HSE Manager to rectify the area as well as all other similar areas, site wide.The other areas having similar ledges with scaffold are to suspended until all scaffold ledger sections are improved.</t>
  </si>
  <si>
    <t>Amgad abu Hashem</t>
  </si>
  <si>
    <t>During the routine site surveillance inspection, it was noted that the installed scaffolding around mudmat structures at areOpen Area 3 is without mandrel and the safety tag is yellow but workers are working on top of the structur</t>
  </si>
  <si>
    <t>Activity stopped, Introducing the subject to TFMC Safety manager and PTJ safety officer.</t>
  </si>
  <si>
    <t>Mohamed Kamal</t>
  </si>
  <si>
    <t>Workplace Environment</t>
  </si>
  <si>
    <t>During site inspection in WK#1, CPY observed a scaffolding beam obstructing the access way between the fabricated main frames.</t>
  </si>
  <si>
    <t>During site inspection in WK#1, CPY observed two structure fitters working without wearing hand gloves.</t>
  </si>
  <si>
    <t>Open Area 4</t>
  </si>
  <si>
    <t>Safe Mechanical Lifting</t>
  </si>
  <si>
    <t>The lifting team, using a crane, performed a lifting operation by transferring the shear plate of piping support @ outdoor fab areOpen Area 4. There are welders who were working inside the adjacent sheltered area, and they were unaware that lifting operations were taking place outside. The load was being moved directly above them.</t>
  </si>
  <si>
    <t>Stopped them and highlighted this unsafe act to TFMC HSE.</t>
  </si>
  <si>
    <t>Safe Condition</t>
  </si>
  <si>
    <t>Proper access way was done and observed as per attached photo @ Outdoor Fab. AreOpen Area 1</t>
  </si>
  <si>
    <t>I provided positive feedback</t>
  </si>
  <si>
    <t>Encourage the team to continue for such safe conditions</t>
  </si>
  <si>
    <t>The waste bins at the entrances to Open Areas 1&amp;2 are extremely full and wastes are not correctly segregated</t>
  </si>
  <si>
    <t>Informed TFMC HSE Management who then engaged with PTJ HSE Manager to rectify and conclude a suitable Waste Management control plan.</t>
  </si>
  <si>
    <t>Environmental</t>
  </si>
  <si>
    <t>UNPROPER PLATES STACKING BESIDE BLASTING WS? TOO MANU+Y PLATES AND UNBALANCED</t>
  </si>
  <si>
    <t>It was explained to all the staff working in the workshop the risk of leakage occurring and importance of such test to mitigate that potential risk.</t>
  </si>
  <si>
    <t>Supervision</t>
  </si>
  <si>
    <t>It has been raised in numerous meetings that the Teams of both TFMC &amp; PTJ are not submitting suitable quantities of SHOC Cards to warrant the system effective.
2. There is a distinct lack of management leadership in this SHE Program.</t>
  </si>
  <si>
    <t>Informed TFMC HSE Management who then engaged with PTJ HSE Manager to make attempts to rectify this concern raised by Company</t>
  </si>
  <si>
    <t>Elhussein Yahia</t>
  </si>
  <si>
    <t xml:space="preserve">It has been observed the rigging team at open areOpen Area 2 attach 2 slings improperly and use a shackle without a cutter pin while performing a lifting operation </t>
  </si>
  <si>
    <t>Stop the work, modify the lifting/ rigging technique, install the cutter pin</t>
  </si>
  <si>
    <t>Work Authorization</t>
  </si>
  <si>
    <t>The PTW at open areOpen Area 4 is not filled, the RA is not checked, there is no sign for the authorization and no PTW number.</t>
  </si>
  <si>
    <t>It has been observed that a welder working without put in the required PPE</t>
  </si>
  <si>
    <t>Get the welder out of the area immediately until putting all the required PPE</t>
  </si>
  <si>
    <t xml:space="preserve">Gaballah Aman </t>
  </si>
  <si>
    <t>The improper placement of MPT containers near welding activities increases the risk of fire in the workshop</t>
  </si>
  <si>
    <t>I immediately informed the responsible Quality Engineer, who then collected the containers and placed them in their proper storage location to eliminate the hazard.</t>
  </si>
  <si>
    <t>Tarek ElRafey</t>
  </si>
  <si>
    <t>The electrical cable for the CNC machine is not double insulated.</t>
  </si>
  <si>
    <t>Informed the site HSE representative and the electrician supervisor to make it double insulated.</t>
  </si>
  <si>
    <t xml:space="preserve">The positioning of some welder was unsafe, standing on a hand-made step as a working platform, which is insufficient. 
</t>
  </si>
  <si>
    <t>Informed the welder to move away from the step, and to provide a suitable working platform.</t>
  </si>
  <si>
    <t>Moussa Moustafa Moussa</t>
  </si>
  <si>
    <t>QC</t>
  </si>
  <si>
    <t xml:space="preserve">A Curtain welding screen was installed in the middle of the walkway in Workshop No. 1, causing an obstruction and potential safety hazard. </t>
  </si>
  <si>
    <t>The Curtain welding screen was removed from the walkway and reinstalled in a location away from pedestrian paths to ensure clear and safe access</t>
  </si>
  <si>
    <t>Observed the welding curtains at Workshop 1 restricting the access at the left side safe walkway</t>
  </si>
  <si>
    <t>The area scaffolders dismantled and moved the mentioned welding curtains to open an access at the safe walkway.</t>
  </si>
  <si>
    <t>Observed maintenance activities at Workshop 3 for  the overhead crane using manlift without PTW and without energy isolation</t>
  </si>
  <si>
    <t>stopped the activity till being supported with suitable work authorization</t>
  </si>
  <si>
    <t>Observed a lot of cups supports under tack welded beams / frames at Workshop 2 without identification no and SWL</t>
  </si>
  <si>
    <t>restrict the working, install soft barriers / caution tape and signs of suspended load till these cups supports  being approved.</t>
  </si>
  <si>
    <t>Observed several defected gauges and regulators related to compressed gas cylinders at Workshop 2.</t>
  </si>
  <si>
    <t xml:space="preserve">the mentioned gauges and regulators were dismantled immediately and replaced with new ones under full supervision of PTJ HSE area officer </t>
  </si>
  <si>
    <t xml:space="preserve">
Not to start activity without using the suitable PPE.</t>
  </si>
  <si>
    <t xml:space="preserve"> 
Stopped the activity and asked the workers to use the protective gloves.</t>
  </si>
  <si>
    <t>The ground cable's sparking near flammable materials or equipment could potentially result in a fire, endangering the safety of the workers and the workspace.</t>
  </si>
  <si>
    <t>I immediately informed the responsible Safety Officer on-site, who promptly disconnected the cable and notified the electrician to repair the ground cable to ensure safe operation.</t>
  </si>
  <si>
    <t xml:space="preserve"> Welding Cables were passed through scaffolding ladder may lead to tripping hazard , falling hazard during climbing ladders </t>
  </si>
  <si>
    <t xml:space="preserve">asked the welder to adjust cable routes , arrange cables for safe access , and he did </t>
  </si>
  <si>
    <t>Ashraf Elsayed</t>
  </si>
  <si>
    <t xml:space="preserve">electric panel inspection paper not inside and need to be updated </t>
  </si>
  <si>
    <t xml:space="preserve">electrician inspected  all electrical panels and inspection check list put on the panel and updated it  </t>
  </si>
  <si>
    <t>Mahmoud Gaber</t>
  </si>
  <si>
    <t xml:space="preserve">gas cylinder without protection cap </t>
  </si>
  <si>
    <t xml:space="preserve">told Welding Sup and he put cap on it </t>
  </si>
  <si>
    <t>Ahmed ElAidy</t>
  </si>
  <si>
    <t>Welding cables needed to be arranged</t>
  </si>
  <si>
    <t xml:space="preserve">cable management has been performed </t>
  </si>
  <si>
    <t xml:space="preserve"> observed that  wrong  replacing method of  grinding disk.</t>
  </si>
  <si>
    <t xml:space="preserve"> Instructed the Grinders to use dedicaded tool  for changing grinding disks</t>
  </si>
  <si>
    <t>Ibrahim Hamed</t>
  </si>
  <si>
    <t>Safe Act</t>
  </si>
  <si>
    <t>Observed banksman evacuating the area before the lifting operation.</t>
  </si>
  <si>
    <t>Appreciate the good job.</t>
  </si>
  <si>
    <t>Ahmed Ibrahim</t>
  </si>
  <si>
    <t>A grinder was working with the resulting spark was directed to a gas cylinder.</t>
  </si>
  <si>
    <t>Stop him and inform him to remove the gas cylinder from the area.</t>
  </si>
  <si>
    <t>Mahmoud Abdelnaser</t>
  </si>
  <si>
    <t xml:space="preserve">found worker was not wearing his safety glassess </t>
  </si>
  <si>
    <t xml:space="preserve">stop him and inform him to wear a safety glassess and comply with site PPE </t>
  </si>
  <si>
    <t>Ahmed Elmotawakel</t>
  </si>
  <si>
    <t>Safety Signage and Demarcation</t>
  </si>
  <si>
    <t>Observed some lifitng accessories are stored safely and highlighted by caution tap</t>
  </si>
  <si>
    <t>Appreciated the good work</t>
  </si>
  <si>
    <t>Mamdouh shahin</t>
  </si>
  <si>
    <t>Found some tools scattered on the scaffold at the  which create tripping /dropped Objects  hazards.</t>
  </si>
  <si>
    <t>Removed the tools form the area and performed housekeeping to the area.</t>
  </si>
  <si>
    <t>Ahmed Maher</t>
  </si>
  <si>
    <t xml:space="preserve">Lifting equipments and tools are inspected , color coded and with valid callibration certificates </t>
  </si>
  <si>
    <t xml:space="preserve">encourage workers to keep up good standard </t>
  </si>
  <si>
    <t xml:space="preserve">un used Scaffolding material Scattered in the work area </t>
  </si>
  <si>
    <t xml:space="preserve">Instructed the scaffolders to remove all material . To be stored in the dedicated storage area </t>
  </si>
  <si>
    <t xml:space="preserve">one of lifting team was under the load in the line of fire </t>
  </si>
  <si>
    <t xml:space="preserve">Instructed the lifting sup to relocate his position to be away from the line of fire , TOFS Held with lifting crew to highlight the issue , Line of fire stand down was done to highlight the risk of being in the line of fire.
</t>
  </si>
  <si>
    <t>observed some welding cable were in the way of the forklift</t>
  </si>
  <si>
    <t>stopped him and informed a welder to remove the cable  and he did immediately</t>
  </si>
  <si>
    <t xml:space="preserve">observed that one of grinders working without safety glasses and gloves  </t>
  </si>
  <si>
    <t xml:space="preserve">told the worker to wear his PPE all the time in the working site and he did immediately </t>
  </si>
  <si>
    <t xml:space="preserve">observed damaged grinding cable </t>
  </si>
  <si>
    <t xml:space="preserve">Stopped the grinder , instructed him to send the macchine to electric dept to change the cable  , he did </t>
  </si>
  <si>
    <t xml:space="preserve">observed grinder was working without ear plugs </t>
  </si>
  <si>
    <t xml:space="preserve">stopped him , advised him  to wear ear plugs and he did  </t>
  </si>
  <si>
    <t>The rigging team in Workshop 1 used a lever hoist improperly to assemble a steel structure. The hook was directly attached to the steel, the safety latch was not working, and the ratchet was not color-coded.</t>
  </si>
  <si>
    <t>The Lever hoist was removed from service.
The rigging technique was rejected, and the team was coached on proper rigging methods.</t>
  </si>
  <si>
    <t>grinder was observed using a cutting disc (3 mm) for grinding activities, which is only intended for cutting tasks.</t>
  </si>
  <si>
    <t>Work was immediately stopped.
The cutting disc was removed from service.
On Spot toolbox talk was conducted with the crew to reinforce correct usage of tools.
HSE performed a survey/ check in all areas to ensure no similar issues existed.</t>
  </si>
  <si>
    <t>Improper rigging to a load;
 1-One screw pin anchor shackle was used and not fully tightened.
 2-One safety type anchor shackle without the split-pin.</t>
  </si>
  <si>
    <t>Remove the screw pin shackle and provide the split pin to the safety type anchor shackle.</t>
  </si>
  <si>
    <t>Openings beneath the electrical panels accumulate combustible materials.</t>
  </si>
  <si>
    <t>Remove the combustible materials and to close the openings.</t>
  </si>
  <si>
    <t>Valve Area</t>
  </si>
  <si>
    <t>It has been observed 2 Jerricans of chemical materials (hydraulic oil) at the valves warehouse without labeling and the SDS.</t>
  </si>
  <si>
    <t xml:space="preserve">The label and the SDS were provided to the chemicals. </t>
  </si>
  <si>
    <t>Procedures</t>
  </si>
  <si>
    <t>It has been observed old dated SHOC cards on the box without being collected.</t>
  </si>
  <si>
    <t>The cards were withdrawn to be submitted to PTJ HSE manager and to make sure that cards are collected on daily basis.</t>
  </si>
  <si>
    <t>It has been observed a compressed gas cylinder inside the storing basket without the protection storage cap.</t>
  </si>
  <si>
    <t>The welder’s supervisor was informed that this cylinder is not allowed to be transferred before providing the proper protection cap.</t>
  </si>
  <si>
    <t xml:space="preserve">The CNC machine operator (Mohamed Eid) was observed inside the workshop without the required PPE -helmet and ear plugs- </t>
  </si>
  <si>
    <t>A disciplinary action shall be taken against the violator.</t>
  </si>
  <si>
    <t>It has been observed that the access to the electrical panel in area 04 is blocked by the welding machine. 
It’s essential that the access to be free from any obstacles in case of any emergency and maintenance to the electrical panel.</t>
  </si>
  <si>
    <t>The area supervisor removed the welding machine and instructed the workers.</t>
  </si>
  <si>
    <t>Observed improper rigging to a load (scaffold tubes) 
The load was not fully controlled due to the improper rigging.</t>
  </si>
  <si>
    <t xml:space="preserve">Informed the rigger’s supervisor that the load has to be fully controlled all the time. </t>
  </si>
  <si>
    <t>Personal car parking beside the lifting zone of area 04.</t>
  </si>
  <si>
    <t>The HSE team called the security to remove the car from the area and to park in the designated parking lot.</t>
  </si>
  <si>
    <t>It has been observed transferring pipes on a trailer from the storage yard to the open areas 02 without being lashed, protected and centered on the trailer.</t>
  </si>
  <si>
    <t>Informed the site HSE representative to prohibit trailers with unprotected load to enter the area and to inform the storage area supervisor to make sure that every trailer is well lashed and protected before leaving the yard.</t>
  </si>
  <si>
    <t>Rigging team use the gloves as a softener to protect the sling from sharp edges.</t>
  </si>
  <si>
    <t>The gloves were removed and provided proper softeners.</t>
  </si>
  <si>
    <t>Observed an angle grinder without the adjustable guard (side handle).</t>
  </si>
  <si>
    <t xml:space="preserve">It was removed till providing its adjustable guard. </t>
  </si>
  <si>
    <t>Improper/ damaged and unfixed wooden planks were used as a working platform (Height 30cm).</t>
  </si>
  <si>
    <t>The planks were removed immediately from the site and informed the area supervisor to provide suitable scaffold step.</t>
  </si>
  <si>
    <t>It was observed a good participation with the SHOC cards from the workers.</t>
  </si>
  <si>
    <t>The workers will be rewarded for their participation to make the workplace more safe and healthy.</t>
  </si>
  <si>
    <t>Missing color code to shackles.</t>
  </si>
  <si>
    <t>Exclude the shackles till it’s inspected and color coded.</t>
  </si>
  <si>
    <t>Warehouse 2</t>
  </si>
  <si>
    <t>A lot of Combustible materials and cigarette butts inside the warehouse for the valves.</t>
  </si>
  <si>
    <t xml:space="preserve">Inform PTJ HSE team to remove the combustible materials and prohibit workers from smoking inside. </t>
  </si>
  <si>
    <t>Warehouse 3</t>
  </si>
  <si>
    <t>It has been observed electrical cables thrown on the walkway at workshop03, which block the access.</t>
  </si>
  <si>
    <t>The cables have been managed.</t>
  </si>
  <si>
    <t>Poor stacking of metal plates. (High level of stacking)</t>
  </si>
  <si>
    <t xml:space="preserve">Advised the area supervisor to lower the stacking of the materials. </t>
  </si>
  <si>
    <t>Observed QC engineer performing the penetrant test without the suitable chemical gloves.</t>
  </si>
  <si>
    <t>The QC engineer was advised to wear the suitable chemical gloves.</t>
  </si>
  <si>
    <t>Observed a lifting point (lug) for a steel counterweight was made in house. It has to be verified with a QC certificate/ approval to indicate the capacity of the lug.</t>
  </si>
  <si>
    <t>PTJ HSE team was informed to provide the required certificate.</t>
  </si>
  <si>
    <t>Emergency Response</t>
  </si>
  <si>
    <t>There are a lot of (more than 10) emergency phone numbers posted in one single poster at site.
It has to be only one phone number for better response to emergency.</t>
  </si>
  <si>
    <t>PTJ HSE team was informed to provide a phone assigned for emergency.</t>
  </si>
  <si>
    <t>Improper wooden plank (plywood) covers the opening above the mud-mat.</t>
  </si>
  <si>
    <t>The plywood to be removed and replaced with proper cover.</t>
  </si>
  <si>
    <t>Gas cylinders and some metal materials obstructing the access.</t>
  </si>
  <si>
    <t>Remove any obstacles from the access.
It has to be free from any obstacles all the time.</t>
  </si>
  <si>
    <t xml:space="preserve">It has been observed a grinder using the power tool without the secondary hand to control it. </t>
  </si>
  <si>
    <t xml:space="preserve">Coached the grinder on the proper way to use the grinder and the importance of using the secondary hand. </t>
  </si>
  <si>
    <t>It has been observed a damaged cable (the double insulations found cut and the internal cable was exposed</t>
  </si>
  <si>
    <t>The cable removed from site and replaced with another one.</t>
  </si>
  <si>
    <t xml:space="preserve">The corrugated sheet flipped due to the high wind speed and the poor stacking. </t>
  </si>
  <si>
    <t>The activity was suspended due to the high wind speed and the sheets fixed well.</t>
  </si>
  <si>
    <t>The grounding/ earthing system to an electrical panel was not connected.</t>
  </si>
  <si>
    <t>The electrical panel was switched off and the electrical team fixed the earthing.</t>
  </si>
  <si>
    <t>There is not a layout/ map of the site’ assembly point(s) at site to help/ guide the workers in case of emergency.</t>
  </si>
  <si>
    <t>PTJ HSE team was informed to provide the layout.</t>
  </si>
  <si>
    <t>It has been observed shackles with double color coding (green and yellow) which is misleading.</t>
  </si>
  <si>
    <t>Shackles to be inspected and color coded with one single color code.</t>
  </si>
  <si>
    <t>Close The openings (which accumulate combustible materials) beneath the electrical panels inside workshop 02</t>
  </si>
  <si>
    <t>The responsible supervisor to be awarded.</t>
  </si>
  <si>
    <t>In case of emergency with the electrical panels, there should be a poster of electricians’ phone numbers (at least two) in case of emergency/ maintenance.</t>
  </si>
  <si>
    <t>PTJ HSE team was informed to provide the electricians phone numbers.</t>
  </si>
  <si>
    <t>It has been observed a poor stacking for the scaffold tubes.</t>
  </si>
  <si>
    <t>Informed the site HSE representative to inform the scaffold supervisor to re-handle/ rearrange the stacking of the scaffold tubes.</t>
  </si>
  <si>
    <t>It has been observed a caravan (office for the supervisors) and a container (as an equipment store) inside area02 beside the lifting activities.</t>
  </si>
  <si>
    <t>Informed PTJ HSE team that those have to be removed from the workplace.</t>
  </si>
  <si>
    <t xml:space="preserve">It has been observed that the button of the emergency siren is inside the electrical panel. </t>
  </si>
  <si>
    <t>Informed PTJ HSE team to relocate the button/ to be outside the electrical panel in a single position.</t>
  </si>
  <si>
    <t>The electrician supervisor has covered all the openings (which accumulate combustible materials) beneath the electrical panels inside workshop 01</t>
  </si>
  <si>
    <t>The supervisor to be awarded in the next weekly MTBT.</t>
  </si>
  <si>
    <t>Two employees were observed standing on a trailer(above a cargo loaded on a the trailer), offloading materials directly from the forklift forks. One employee was in the line of fire, positioned in front of the forklift forks.</t>
  </si>
  <si>
    <t>•Work was immediately stopped.
•Coaching was conducted for the team.
•Materials are now required to be loaded into a box before being loaded onto the trailer.</t>
  </si>
  <si>
    <t>A welder placed a wooden timber between a steel column and stood on it. The timber was not designed to bear his weight, posing a fall risk.</t>
  </si>
  <si>
    <t>•The wooden timber was removed immediately.
•The welder was instructed to use a proper scaffold step for the task</t>
  </si>
  <si>
    <t>It has been observed that an employee was standing directly on the scaffold pipe, rather than on the scaffold board, and without a safety harness.</t>
  </si>
  <si>
    <t>I immediately intervened and coached the employee regarding the consequences of this action, explaining that it is a violation of LSR number 9. I also record a violation for the employee as a disciplinary action.</t>
  </si>
  <si>
    <t>Gaballah Aman</t>
  </si>
  <si>
    <t>QA</t>
  </si>
  <si>
    <t>Wooden timbers with protruding nails were found on-site, posing a potential injury risk.</t>
  </si>
  <si>
    <t>The nails were immediately removed.
The area was inspected to ensure all similar hazards were addressed.</t>
  </si>
  <si>
    <t>Osama Mohamed</t>
  </si>
  <si>
    <t>Sufficient no of Fire fighting extinguishers , inspected and are in good condition</t>
  </si>
  <si>
    <t>Mosaad Mohamed</t>
  </si>
  <si>
    <t xml:space="preserve">Electric panels are inspected - provided with electric hazard sign </t>
  </si>
  <si>
    <t>Ahmed Samy Ahmed</t>
  </si>
  <si>
    <t>good ptw system</t>
  </si>
  <si>
    <t>Abdallah Mohamed</t>
  </si>
  <si>
    <t>good control for the load during lifting operation, good use of tag lines by the riggers . Banks man with high visible vest</t>
  </si>
  <si>
    <t>Ibrahim Atef</t>
  </si>
  <si>
    <t xml:space="preserve">Good commitment from the work force with the site required PPE especially from the grinders </t>
  </si>
  <si>
    <t xml:space="preserve">Appreciate the good work </t>
  </si>
  <si>
    <t>Emad Safy</t>
  </si>
  <si>
    <t xml:space="preserve">Good level of housekeeping </t>
  </si>
  <si>
    <t>Recognize the  good work</t>
  </si>
  <si>
    <t>Mohamed Shaaban</t>
  </si>
  <si>
    <t>observed  grinder was grinding while wearing welding helmets.</t>
  </si>
  <si>
    <t>Stop them and inform them to wear face shield visor.</t>
  </si>
  <si>
    <t>Sameh Salama</t>
  </si>
  <si>
    <t>Found a damaged gland of one of the welding cables.</t>
  </si>
  <si>
    <t>Inform the welder to replace it.</t>
  </si>
  <si>
    <t>Ahmed Salem</t>
  </si>
  <si>
    <t>Housekeeping need some improvement.</t>
  </si>
  <si>
    <t xml:space="preserve">Inform the workers to clean the area, Housekeeping has been done. </t>
  </si>
  <si>
    <t>Ibrahim Abdelmohsen</t>
  </si>
  <si>
    <t>The banksman was standing in a position where he is not clear to the crane operator.</t>
  </si>
  <si>
    <t>Stop work and advising him to relocate his position and to confirm with the crane operator that he can fully see him.</t>
  </si>
  <si>
    <t>Sameh Ragab</t>
  </si>
  <si>
    <t>A worker did not release the gas from the hoses of the gas cylinder after use.</t>
  </si>
  <si>
    <t xml:space="preserve">Inform the worker to release the gas from the hose, the issue communicated in the TBT </t>
  </si>
  <si>
    <t xml:space="preserve">#-VE scaffold access needs more Fixation </t>
  </si>
  <si>
    <t xml:space="preserve">Scaffolder Fixed it immediately </t>
  </si>
  <si>
    <t>using wooden support in grinding operation</t>
  </si>
  <si>
    <t xml:space="preserve">Wooden supports were removed and replaced </t>
  </si>
  <si>
    <t>Mohamed Abdellnor</t>
  </si>
  <si>
    <t>Electric cables were running through a scaffolding structure.</t>
  </si>
  <si>
    <t>Inform PTJ HSE Officer and he inform the welders to remove the cables away.</t>
  </si>
  <si>
    <t>Rabee Allam</t>
  </si>
  <si>
    <t>One of the welding cable gland was broken and needs to be replaced.</t>
  </si>
  <si>
    <t>Informed project electrician and he changed the cable gland immediately.</t>
  </si>
  <si>
    <t>Mahmoud Fathy</t>
  </si>
  <si>
    <t>There was a rigger without safety glasses</t>
  </si>
  <si>
    <t xml:space="preserve">He was stopped from work ,warning letter was issued </t>
  </si>
  <si>
    <t>Yasser Abohelw</t>
  </si>
  <si>
    <t>Housekeeping need improvement in areOpen Area 2 especially on scaffold plat form.</t>
  </si>
  <si>
    <t>Housekeeping was done</t>
  </si>
  <si>
    <t>Mohamed Hussein</t>
  </si>
  <si>
    <t xml:space="preserve">Mentioned   electrical cable to be cover by covered internal protection sections cable bumps-trays.
electrical cables to be protected against heavy equipment manoeuvring and sharp edges  housekeeping to be carried out. </t>
  </si>
  <si>
    <t xml:space="preserve">Cables have been managed properly and coverd by cable Humps. </t>
  </si>
  <si>
    <t>Driving</t>
  </si>
  <si>
    <t xml:space="preserve">Fork lift driver Using cellular phone during driving </t>
  </si>
  <si>
    <t xml:space="preserve">Stopped the operation and spoke to the fork lift driver to not use cellular phone while he's driving </t>
  </si>
  <si>
    <t>Mohamed Fekry</t>
  </si>
  <si>
    <t xml:space="preserve">Observed improper joint in welding cables </t>
  </si>
  <si>
    <t>texas connection was installed</t>
  </si>
  <si>
    <t xml:space="preserve">Hassan Ali </t>
  </si>
  <si>
    <t>One of the workers working without wearing glasses</t>
  </si>
  <si>
    <t xml:space="preserve"> glasses worn Immediately.</t>
  </si>
  <si>
    <t>Adel Abdelhady</t>
  </si>
  <si>
    <t xml:space="preserve">Worker was using grinding motor without any face protection </t>
  </si>
  <si>
    <t>Stopped him to wear full ppe</t>
  </si>
  <si>
    <t>Mohamed Salem</t>
  </si>
  <si>
    <t xml:space="preserve">some scaffold material scattered in the area </t>
  </si>
  <si>
    <t>Transferred scaffold material from the area to the temporary storage area for scaffold material out side the work area as agreed</t>
  </si>
  <si>
    <t>Ashraf Abdelmonem</t>
  </si>
  <si>
    <t>Safety Devices or Guards</t>
  </si>
  <si>
    <t xml:space="preserve">Incomplete hard barricade for the work area </t>
  </si>
  <si>
    <t xml:space="preserve">Informed Scaffold Sup to complete the hard barricade </t>
  </si>
  <si>
    <t>Adel Abdelhalim</t>
  </si>
  <si>
    <t xml:space="preserve">The electrical panel cable needs to be managed </t>
  </si>
  <si>
    <t xml:space="preserve">Cable management was done </t>
  </si>
  <si>
    <t>Samir Omar</t>
  </si>
  <si>
    <t>Welders need wooden step</t>
  </si>
  <si>
    <t>Informed Scaffold Sup to make scaffold steps</t>
  </si>
  <si>
    <t>Samir Mohamed</t>
  </si>
  <si>
    <t>Scaffold clip in scaffold surface</t>
  </si>
  <si>
    <t>clip was removed</t>
  </si>
  <si>
    <t>Ramadan Elshahat</t>
  </si>
  <si>
    <t>Mohamed Elzegheby</t>
  </si>
  <si>
    <t>Housekeeping need improvement  especially on scaffold plat form.</t>
  </si>
  <si>
    <t>Eslam Adawy</t>
  </si>
  <si>
    <t>Observed some fitters were guiding the crane operator during the lifting operation.</t>
  </si>
  <si>
    <t>Stop them and inform them that the banksman should only guide the crane operator,This issue has been highlighted in the collective TBT.</t>
  </si>
  <si>
    <t>Eslam Kadry</t>
  </si>
  <si>
    <t>During a lifting operation, a rigger was using his cell phone wihile holding the tagline.</t>
  </si>
  <si>
    <t>Immediately stopped him and instruct him not to use his cell phone during operation.</t>
  </si>
  <si>
    <t>Rabee Mostafa</t>
  </si>
  <si>
    <t>observed The Scaffolding ladder was not fixed well</t>
  </si>
  <si>
    <t>stopped work and inform the sup of area to fixed it and check all scaffold in the site work daily</t>
  </si>
  <si>
    <t>one of Electrical panel need inspection sign.</t>
  </si>
  <si>
    <t>Informed  supervisor that Electrical panel need inspection sign</t>
  </si>
  <si>
    <t>observed a grinder was grinding a metal without face sheild</t>
  </si>
  <si>
    <t>stopped him and inform him to must wear it</t>
  </si>
  <si>
    <t>Mohamed Hassan</t>
  </si>
  <si>
    <t xml:space="preserve">obsrved 2 of fire extinguisher are empty </t>
  </si>
  <si>
    <t xml:space="preserve">inform him to must check all fire extinguisher in area </t>
  </si>
  <si>
    <t>Mohamed Rezk</t>
  </si>
  <si>
    <t>Ibrahim Mohamed</t>
  </si>
  <si>
    <t>Badr Ragab</t>
  </si>
  <si>
    <t>Mohamed nor</t>
  </si>
  <si>
    <t>Salem Saied</t>
  </si>
  <si>
    <t>Incomplete hand rail of work step</t>
  </si>
  <si>
    <t>Informed Scaffold Sup to complete the work step, and Scaffold Sup complete it</t>
  </si>
  <si>
    <t>Ezz eldawla Abdelaleem</t>
  </si>
  <si>
    <t xml:space="preserve">one of the grinder using wooden plate as support which may cause fire </t>
  </si>
  <si>
    <t xml:space="preserve">Stooped him to remove the wooden plate , advised him not to use combustible material near hot work area </t>
  </si>
  <si>
    <t>Saad Abdelwahab</t>
  </si>
  <si>
    <t>Ibrahim Khalil</t>
  </si>
  <si>
    <t xml:space="preserve">gas cylinder with empty bubble test bottle </t>
  </si>
  <si>
    <t xml:space="preserve">Informed worker he filled it and advised him to check leakage before using </t>
  </si>
  <si>
    <t>Khaled Darwesh</t>
  </si>
  <si>
    <t xml:space="preserve">observed grinding spark was towards gas cylinder </t>
  </si>
  <si>
    <t xml:space="preserve">stopped him to remove cylinder away  from grinding operation area , advised him to focus on the direction of sparks all the time </t>
  </si>
  <si>
    <t>Khaled Abdelrahman</t>
  </si>
  <si>
    <t xml:space="preserve">Propane gauge wasnot working well </t>
  </si>
  <si>
    <t xml:space="preserve">Informmed worker and sup to replace it , They  replaced it </t>
  </si>
  <si>
    <t>Gamal Salama</t>
  </si>
  <si>
    <t>Mohamed Sameh</t>
  </si>
  <si>
    <t xml:space="preserve">observed scaffolding material scattered on the working area without arrangement </t>
  </si>
  <si>
    <t xml:space="preserve">materials has been arranged  </t>
  </si>
  <si>
    <t xml:space="preserve">Observed poor House keeping and improper material arrangement </t>
  </si>
  <si>
    <t>Observed some workers not wearing safety glasses.</t>
  </si>
  <si>
    <t>Awareness held to all workers on the same day about use of PPE.</t>
  </si>
  <si>
    <t xml:space="preserve">Some scaffold plates on scaffold need to be propely installed and fixed </t>
  </si>
  <si>
    <t xml:space="preserve">Scaffolders installed and fixed the wooden plates </t>
  </si>
  <si>
    <t>Abdelsalam Elsafy</t>
  </si>
  <si>
    <t xml:space="preserve">observed  welding rods on scaffold platform </t>
  </si>
  <si>
    <t xml:space="preserve">housekeeping was done </t>
  </si>
  <si>
    <t>Ahmed Khaled</t>
  </si>
  <si>
    <t xml:space="preserve">there wasnot barricades around Scaffold Dismantling area </t>
  </si>
  <si>
    <t xml:space="preserve">barricades has been done </t>
  </si>
  <si>
    <t>Abdelsalam Shola</t>
  </si>
  <si>
    <t>Gamal Elzgheby</t>
  </si>
  <si>
    <t xml:space="preserve">Observed that top scaffold blanks are not installed properly </t>
  </si>
  <si>
    <t xml:space="preserve">Instructed scaffold team to install the scaffold  blanks properly  </t>
  </si>
  <si>
    <t>Some cables present a trip hazard; also, there are some used electrodes and grinding discs on the ground.</t>
  </si>
  <si>
    <t xml:space="preserve">Housekeeping has been done </t>
  </si>
  <si>
    <t>Found some electrical wires on sharp edges.</t>
  </si>
  <si>
    <t>Remove and allocating the wires away from the sharp edges.</t>
  </si>
  <si>
    <t>Mohamed Eslam</t>
  </si>
  <si>
    <t>observed a propane gas cylinder near by the welding area</t>
  </si>
  <si>
    <t>instructed the sup to relocate the cylinder and he did</t>
  </si>
  <si>
    <t>Omar Elmokhtar</t>
  </si>
  <si>
    <t>Shaaban Hussein</t>
  </si>
  <si>
    <t>Poor cable management may lead to trip hazard</t>
  </si>
  <si>
    <t>cable management was done immediately</t>
  </si>
  <si>
    <t xml:space="preserve">Grinder put grinding motor above Stand  , expose the machine to fall on the ground </t>
  </si>
  <si>
    <t xml:space="preserve">Inormed the grinder , he adjusted the position of machine and secured it </t>
  </si>
  <si>
    <t>Ameen Allam</t>
  </si>
  <si>
    <t>Ramadan Ali</t>
  </si>
  <si>
    <t xml:space="preserve">In the entrance of Open AreOpen Area 1, there was an excess of materials, making the area very congested. There was also one caravan and one container that were unnecessary inside the working area. </t>
  </si>
  <si>
    <t>To ensure proper segregation of areas that require PPE and those that do not, we rearranged the area and removed the caravan and the container</t>
  </si>
  <si>
    <t>I observed a damaged regulator installed on a compressed gas cylinder in Workshop 2. I immediately took the cylinder out of service, replaced the regulator with a new one, and conducted a refresher training session for the cylinder operator regarding the inspection process for compressed gas cylinders.</t>
  </si>
  <si>
    <t>I immediately took the cylinder out of service, replaced the regulator with a new one, and conducted a refresher training session for the cylinder operator regarding the inspection process for compressed gas cylinders.</t>
  </si>
  <si>
    <t>I observed a grinder in Workshop 3 fixing the workpiece on the ground using his leg while proceeding with the cutting operation</t>
  </si>
  <si>
    <t>I immediately intervened and instructed him to use a vice to secure the workpiece, and I recorded a violation for him.</t>
  </si>
  <si>
    <t>I observed that a butane compressed gas cylinder was larger than the cart used for its operation and transportation, and it was not secured with a chain due to the size discrepancy</t>
  </si>
  <si>
    <t>I immediately replaced the cart with an appropriate one and coached the fitter regarding the requirements for transporting compressed gas cylinders and the purpose of securing them with a chain</t>
  </si>
  <si>
    <t xml:space="preserve">It has been observed in Area One that there is a scaffold platform underneath 
the double welded frame without proper access and egress. The scaffold is incomplete as there is no guardrail system. </t>
  </si>
  <si>
    <t>I immediately stopped work in this area until the scaffold is completed with a guardrail system or dismantled and replaced with a portable scaffold structure</t>
  </si>
  <si>
    <t xml:space="preserve">I observed a grinder working with a cutting tool while positioned above a structure without standing on a scaffold or having a guardrail system in place. </t>
  </si>
  <si>
    <t>I intervened and stopped the work. A stand-down was conducted with all the grinders in the workshop, and a violation was recorded for the bindividual  involved.</t>
  </si>
  <si>
    <t>There was poor housekeeping and inadequate cable management at a welding shelter in AreOpen Area 1</t>
  </si>
  <si>
    <t>I stopped the work in the area until it was maintained to be clean, safe, and tidy, allowing the activity to continue</t>
  </si>
  <si>
    <t>There is poor housekeeping in the storage warehouse for pipes, in addition to damaged pallets that need to be replaced.</t>
  </si>
  <si>
    <t>Reported to PTJ team</t>
  </si>
  <si>
    <t>In Area Three, a new shaded area with corrugated sheets has been installed without proper access and egress. There is poor housekeeping, with welding 
screens in poor condition and deteriorated. The ground is not leveled, and there are no walkways around the structure. The entrance to the area is 
blocked with stored corrugated sheets, and there is no HSE coverage</t>
  </si>
  <si>
    <t>I immediately stopped work in this area, and housekeeping has started to maintain the area in a clean, safe, and tidy condition.</t>
  </si>
  <si>
    <t>The covers of electrical manholes in Workshop 2 are protruding from the ground, which may pose a tripping hazard</t>
  </si>
  <si>
    <t>I recommend painting them with a caution color to alert individuals when entering or exiting the workshop.</t>
  </si>
  <si>
    <t>I observed poor stacking of small metal pieces in Workshop 4, which posed a potential dropped object hazard</t>
  </si>
  <si>
    <t>I immediately reported this to the workshop supervisor, who then restacked the material properly.</t>
  </si>
  <si>
    <t>I observed a butane cylinder on a cart in Workshop 3 that was not secured with a chain</t>
  </si>
  <si>
    <t>I immediately secured the cylinder with a chain and provided on-the-spot coaching for the welders</t>
  </si>
  <si>
    <t xml:space="preserve">I observed a fitter working with damaged/deteriorated gloves. </t>
  </si>
  <si>
    <t>I immediately stopped him from continuing the activity and instructed him to obtain proper PPE.</t>
  </si>
  <si>
    <t>I observed a grinder operating above the frame instead of using a scaffold platform (step) to access the frame or having any guardrail system to protect against falls.</t>
  </si>
  <si>
    <t>I intervened and conducted a Toolbox Talk (TBT) with him regarding LSR 09 related to working at height.</t>
  </si>
  <si>
    <t xml:space="preserve">Observed a grinder was cutting a pipe over the ground without being fixed on a suitable workstation </t>
  </si>
  <si>
    <t>Observed metal scraps thrown over the ground in front of Workshop 2</t>
  </si>
  <si>
    <t>Observed a corner of a frame stands over unstable side of a horse support which is carrying anther frame</t>
  </si>
  <si>
    <t>Observed two workers (grinders) at open areOpen Area 1 not using additional PPE for grinding activities (aprons – sleeves - over shoes protection</t>
  </si>
  <si>
    <t>Observed two piping at Open Area 1 without suitable fixing stoppers</t>
  </si>
  <si>
    <t>Observed unauthorized corner inside Open Area 1 containing food wastes &amp; cigarettes butts</t>
  </si>
  <si>
    <t>Observed a compressed gas cylinder while it is on the trolley without being guarded with a chain.</t>
  </si>
  <si>
    <t>The area supervisor was informed and fixed the chain to the cylinder.</t>
  </si>
  <si>
    <t>The earthing system for the CNC machine has been damaged due to the cutting splatters.</t>
  </si>
  <si>
    <t xml:space="preserve">The CNC machine operator suspended the work and provided a guard for the earthing system. </t>
  </si>
  <si>
    <t>Observed acetylene leak from an empty acetylene cylinder (gauge reading 0bar) while being disconnected from the cutting kit</t>
  </si>
  <si>
    <t>In Area Three, a new shaded area with corrugated sheets has been installedwithout proper access and egress. There is poor housekeeping, with welding
screens in poor condition and deteriorated. The ground is not leveled, andthere are no walkways around the structure. The entrance to the area isblocked with stored corrugated sheets, and there is no HSE coverage.</t>
  </si>
  <si>
    <t>I immediately stopped work in this area, and housekeeping has started tomaintain the area in a clean, safe, and tidy condition.</t>
  </si>
  <si>
    <t>Observed a worker standing on two unfixed wooden planks of a scaffold.</t>
  </si>
  <si>
    <t>The worker was instructed that he is not allowed to stand on the wooden planksbefore it is well fixed.The scaffold team provided the needed clamps to fix the planks.</t>
  </si>
  <si>
    <t>barricades has been done to identify the line of fire area</t>
  </si>
  <si>
    <t>welding remains to be removed to improve housekeeping</t>
  </si>
  <si>
    <t>instructed welders to use buckets to collect all remains -housekeeping was done</t>
  </si>
  <si>
    <t xml:space="preserve">pipe fitter was wearing welding faceshield </t>
  </si>
  <si>
    <t xml:space="preserve">Stopped him to wear clear face shield </t>
  </si>
  <si>
    <t xml:space="preserve">observed Acytelene cylinder without cap </t>
  </si>
  <si>
    <t>the cylinder was secured by protection cap</t>
  </si>
  <si>
    <t xml:space="preserve">sharp edges need to  be cut </t>
  </si>
  <si>
    <t>Some of sharp edges were cut and residual protected by traffic cones to avoid contact with sharp edges</t>
  </si>
  <si>
    <t xml:space="preserve">observed welding cable in bad condition lead to electrical hazard </t>
  </si>
  <si>
    <t xml:space="preserve">Stooped the welder and asked electrician to fix it </t>
  </si>
  <si>
    <t>Observed chain block hook without safety latch</t>
  </si>
  <si>
    <t xml:space="preserve">Removed it from the area , marked it with red color code </t>
  </si>
  <si>
    <t>Webbing slings were left unattended in the direct sun shine</t>
  </si>
  <si>
    <t>Webbing slings were removed to a safe storage area</t>
  </si>
  <si>
    <t>Observed 2 workers without safety glassess</t>
  </si>
  <si>
    <t xml:space="preserve">Stopped them to wear their safety glassess, the issue was highlighted in the next TBT </t>
  </si>
  <si>
    <t xml:space="preserve">Observed a weebing sling not color coded </t>
  </si>
  <si>
    <t xml:space="preserve">Informed rigging sup to reinspect the weebing sling and put the color code , </t>
  </si>
  <si>
    <t xml:space="preserve">Scarp need to be removed for safe access way causing tripping hazard </t>
  </si>
  <si>
    <t xml:space="preserve">Instructed riggers to remove scrap , immediatley scarp was removed </t>
  </si>
  <si>
    <t>There was a handrill on a structure with a ladder for the safe access all without inspection card</t>
  </si>
  <si>
    <t>It was secured by a tape not to access it until the scaffold inspector inspected it and put a scaff tag</t>
  </si>
  <si>
    <t>Empty eyewash, need to be refilled.</t>
  </si>
  <si>
    <t xml:space="preserve">eye wash station has been refilled </t>
  </si>
  <si>
    <t>Observed scattered welding electrodes residue under the Assembled pile.</t>
  </si>
  <si>
    <t>Housekeeping has been done Immediately.</t>
  </si>
  <si>
    <t>Observed that one of roller pile can on the ground was not secured by stopper.</t>
  </si>
  <si>
    <t>Rigger secured it by wedges immediately.</t>
  </si>
  <si>
    <t xml:space="preserve"> site electrician tested GFCI and found it works well.
Electric panels are inspected periodically and provided with electrical hazard signs.</t>
  </si>
  <si>
    <t>Recognized the Good job.</t>
  </si>
  <si>
    <t>Improper welding cables</t>
  </si>
  <si>
    <t xml:space="preserve">Replaced it by new welding cables </t>
  </si>
  <si>
    <t xml:space="preserve">Observed leak in Oxygen hose </t>
  </si>
  <si>
    <t>Closed the cylinder valve , informed fitting sup to replace the hose and dviced him to provide bubble bottle for preuse leakage test</t>
  </si>
  <si>
    <t>Electrical Panels are Periodically inspected as required</t>
  </si>
  <si>
    <t>Recognize the safe work</t>
  </si>
  <si>
    <t xml:space="preserve">forklift operator was moved without banks men </t>
  </si>
  <si>
    <t xml:space="preserve">Stopped him to provide banksman </t>
  </si>
  <si>
    <t xml:space="preserve">some cables arein the access ot  scaffold ladder </t>
  </si>
  <si>
    <t>Cable management was done and the access to scaffold ladder was clear</t>
  </si>
  <si>
    <t xml:space="preserve">one of shakles without color code and another one without serial number </t>
  </si>
  <si>
    <t>Sup was informed the color code was placed on shackle and the other was excluded and sent to quarantine box</t>
  </si>
  <si>
    <t xml:space="preserve">one of welders working without face shield </t>
  </si>
  <si>
    <t xml:space="preserve">told the worker to wear his PPE all the time in the working site </t>
  </si>
  <si>
    <t>Observed unused defective cables that need to be removed out of the site.</t>
  </si>
  <si>
    <t>Asked the supervisor and they have been removed.</t>
  </si>
  <si>
    <t>observed good control of lifting operations (lifting area was evacuated- lifting gears&amp;equipment are inspected with valid calibration certificates- good use of tag lines-load drop object check was done prior the operation)</t>
  </si>
  <si>
    <t>Thanked the teaml for the positive behaviours ,</t>
  </si>
  <si>
    <t xml:space="preserve">Observed that welding operation   is carried out safely and full PPE and leather apron are inplace as required, </t>
  </si>
  <si>
    <t>Thanked the welders and reinforced their  positive behaviors</t>
  </si>
  <si>
    <t>Observed a hand tool with metal hand.</t>
  </si>
  <si>
    <t>Informed the fitter and it was excluded from site immediately.</t>
  </si>
  <si>
    <t xml:space="preserve">gas cylinder in basket without protection cap </t>
  </si>
  <si>
    <t>observed presence of a metal object in front of the scaffold's ladder inhibits movement</t>
  </si>
  <si>
    <t xml:space="preserve">spoke to Sup to do re-arrangement of objects and clear access ways to the scaffolds </t>
  </si>
  <si>
    <t>A worker moved the gas cylinder to a safe distance before starting the welding activity as instructed before.</t>
  </si>
  <si>
    <t>Good distribution of firefighting equipment on site .</t>
  </si>
  <si>
    <t>Encouraged the him for their commitment</t>
  </si>
  <si>
    <t>Observed  a crane hook without colorcode.</t>
  </si>
  <si>
    <t>Asked the supervisor to put the required colorcode based on the hook condition and certificate.</t>
  </si>
  <si>
    <t>Welding cable connector rubber coverwas missing,</t>
  </si>
  <si>
    <t>Pointed to electrician at site and he
installed the rubber cover as required.</t>
  </si>
  <si>
    <t>Flash back arrestors in site are installed as
required,</t>
  </si>
  <si>
    <t>Encouraged the team for their commitment</t>
  </si>
  <si>
    <t>Eye wash station (Saline Solution) was changed and checklist is updated as required</t>
  </si>
  <si>
    <t xml:space="preserve">stopped him to wear ear plug </t>
  </si>
  <si>
    <t xml:space="preserve">Observed scattered welding electrodes residue on top of scaffolds and under pile </t>
  </si>
  <si>
    <t>Buckets were provided to welders to maintain good housekeeping</t>
  </si>
  <si>
    <t xml:space="preserve"> Housekeeping found very bad in Open Area #3 – where the Yolks are being stored – a lot of empty plastic bottles</t>
  </si>
  <si>
    <t>Addressed the untidy situation with the PTJ Area Safet Officer to apply immediate Housekeeping</t>
  </si>
  <si>
    <t>Grinding worker observed using fully compliant PPE</t>
  </si>
  <si>
    <t>Congratulated the worker on his excellent attitude towards working safely.</t>
  </si>
  <si>
    <t xml:space="preserve"> scaffold access needs more Fixation </t>
  </si>
  <si>
    <t>Housekeeping need improvement in area 2 especially on scaffold plat form.</t>
  </si>
  <si>
    <t xml:space="preserve">Mentioned   electrical cable to be cover by covered internal protection sections cable bumps-trays.                                   -electrical cables to be protected against heavy equipment manoeuvring and sharp edges  housekeeping to be carried out. </t>
  </si>
  <si>
    <t>Stop them and inform them that the banksman should only guide the crane operator,</t>
  </si>
  <si>
    <t>Cascade LSR 07 SML in the massive TBT  and empohasize that only the competent banks man is allowed to escort / signal the crane operator</t>
  </si>
  <si>
    <t>High</t>
  </si>
  <si>
    <t>PTJ HSE</t>
  </si>
  <si>
    <t>Conduct Stand-down with the grinders to recap the safe meethod/tool of disk replacement</t>
  </si>
  <si>
    <t>PTJ HSE/SV</t>
  </si>
  <si>
    <t>Conduct a survey among the site to check the condition of the whole cylinder gauages</t>
  </si>
  <si>
    <t>PTJ SV</t>
  </si>
  <si>
    <t>Zeit Bay</t>
  </si>
  <si>
    <t>Fitter</t>
  </si>
  <si>
    <t>Flash back arrestors in site are installed as required,</t>
  </si>
  <si>
    <t>CPY noted That several welding/grinding screens are actively and positively being 
utilised. However, PTJ to provide more protection screens within workshops (all).</t>
  </si>
  <si>
    <t>CPY noted during this week (Wk-08) that several workers withinside high risk areas (hotworks) are not wearing their eye protection</t>
  </si>
  <si>
    <t>Instruct Yard based HSE and Supervision to actively intervene when observed.</t>
  </si>
  <si>
    <t>TFMC HSE representative did not attend night shift TBT.</t>
  </si>
  <si>
    <t>Crane Operator was noticed smoking inside crane cabin while the crane is in lifting operation</t>
  </si>
  <si>
    <t>I spoke to him and his supervisor about this unsafe act , This unsafe act was brought to the attention of PTJ area HSE officer.</t>
  </si>
  <si>
    <t>Johan Kruger</t>
  </si>
  <si>
    <t>CPY observed a grinding operator using a pencil grinder without wearing handgloves.</t>
  </si>
  <si>
    <t>Approached the operative and informed him of the risks of not wearing gloves to protect his hands</t>
  </si>
  <si>
    <t>CPY observed a grinding operator using a grinder standing in an upright position and not slightly bending his knees and positioning his feet shoulder width apart, whilst the grinding material is lying on the ground.</t>
  </si>
  <si>
    <t>Approached the grinding operator and informed him to bend his knees and position his feet shoulder width apart, whilst he is grinding This posture helps absorb vibration and reduces fatigue allowing for better control over his tool.</t>
  </si>
  <si>
    <t>CPY observed several pieces of unit weights being manufactured on site. Pieces of scrap metal is being placed within the drums. Thereafter welded shut and 
without determining the weight being lifted onto structures to prevent distortion of the frames being welded</t>
  </si>
  <si>
    <t>The units are to be condemned from being used on site, Unit weight SWL and eye bolts rate shall be detrmined prior any lifting</t>
  </si>
  <si>
    <t>CPY observed that, there is a lack of controlled access in the SIMOPS area while lifting is ongoing, this required to be addressed to prevent safety breaches</t>
  </si>
  <si>
    <t>Ensure this topic will be re-highlighted during TBT, to encourage PTJ workers to follow HSE procedure and being aware by LSRs</t>
  </si>
  <si>
    <t>CPY observed that, manufacturers' standard cables on grinding disk in use have been replaced with extended in-house cables (more than 20m length), posing trip and electrical hazards. Knots are being found in grinder cables.</t>
  </si>
  <si>
    <t>CPY approached TFMC / PTJ HSE, to reinforce compliance with project electrical equipment HSE Procedures</t>
  </si>
  <si>
    <t>Replace the cable of the grinder with a vcable of length 1.5 m and ensure there is a connection to extend electrical lead , this to facilitate the power isolation when its unattededf</t>
  </si>
  <si>
    <t>PTJ Project Manager</t>
  </si>
  <si>
    <t>CPY observed that. Materials in workshop 1&amp;2 and areas 1,2 &amp;4 require proper dunnage support to ensure stability and safet</t>
  </si>
  <si>
    <t>Rprovide the required dunnage and ensure arrangment and maintain houskeepingat the area</t>
  </si>
  <si>
    <t>CPY observed that Protruding nails from storage boxes pose an injury risk and needs to be addressed. Materials placed near walkways need to be barricaded or materials need to be shifted beneath the structure being worked on.</t>
  </si>
  <si>
    <t xml:space="preserve">Ensure that all crew who involved in the activities inside this area are fully aware and acknowledge thathousekeeping is a daily routine activity to be done by end of each shift. </t>
  </si>
  <si>
    <t>Mohamed Farouk Elbeshlawy</t>
  </si>
  <si>
    <t xml:space="preserve"> During monitoring and surveillance inside WK.,I observed one welder working  without earplugs.</t>
  </si>
  <si>
    <t>Amgad Abu Hashem</t>
  </si>
  <si>
    <t>PTJ introduced that 3 safety alarms are in ZB yard, but it was clear that no safety alarms are covering the proposed blasting and painting WS and areas.</t>
  </si>
  <si>
    <t xml:space="preserve">Assess that the siren can be heared at the area  </t>
  </si>
  <si>
    <t>During the routine site surveillance inspection, it was noted that some workers are on duty wearing damaged safety shoes.</t>
  </si>
  <si>
    <t>Ehab Ibrahim Hassan</t>
  </si>
  <si>
    <t>Coating Inspector</t>
  </si>
  <si>
    <t>Situational Awareness</t>
  </si>
  <si>
    <t>During site walkthrough, it was noticed that a technician was using his mobile phone.</t>
  </si>
  <si>
    <t>Advised him not to use the mobile phone inside the workshop</t>
  </si>
  <si>
    <t>During site walkthrough, it was noticed that a technician was not using his earplugs.</t>
  </si>
  <si>
    <t>Advised him to use his earplugs in the noisy environment inside the workshop</t>
  </si>
  <si>
    <t>CPY have noted on several occasion the poor housekeeping around the back of workshop 4 (in-between) blasting and coating storage area</t>
  </si>
  <si>
    <t>Discussed within Weekly HSE meeting to be addressed and provided solutions to 
enhance, including frequent waste management plan.</t>
  </si>
  <si>
    <t>CPY noted during lifting operations the incorrect level of barriers and warning signs are insufficient.
The level of barriers being placed leaves open areas whereas workers can enter and become in the line of fire.
Rigging / lifting supervisor / lead / banksman need to evaluate the correct barrier placement to prevent non-essential personnel from entering the hazard zone.</t>
  </si>
  <si>
    <t>Cascade instructions to the lifting team that barriers are mandatory to prevent any unauthorised personnel from entry. Inaddition to conduct a self verification on the lifting operation  to ensure compliance</t>
  </si>
  <si>
    <t>PTJ/TFMC HSE</t>
  </si>
  <si>
    <t>Abdelhady Ghalwash</t>
  </si>
  <si>
    <t>It Has been observed poor cable management at area2</t>
  </si>
  <si>
    <t>The electrical supervisor has been contacted to relocate the sub-electrical panel and arrange the cables</t>
  </si>
  <si>
    <t>It has been observed a cutting in the electrical cable of a welding machine.</t>
  </si>
  <si>
    <t>The work has been stopped until providing another cable</t>
  </si>
  <si>
    <t>I have observed a forklift operating with materials that were not secured on the forks</t>
  </si>
  <si>
    <t>I intervened and lowered the forks until the loads were secured.</t>
  </si>
  <si>
    <t>It has been observed good housekeeping, clear access and cable management at area 1</t>
  </si>
  <si>
    <t>Mahmoud Samir</t>
  </si>
  <si>
    <t>Mahmoud Elshahat</t>
  </si>
  <si>
    <t>Observed poor housekeeping / poor arrangement of stacked materials inside the workshops and restrict the suitable access to the emergency walkways</t>
  </si>
  <si>
    <t>Stopped the activities till providing proper housekeeping</t>
  </si>
  <si>
    <t>Observed the control handle of the heating torch is not operated properly</t>
  </si>
  <si>
    <t>To check all heating torches and replace any defected ones</t>
  </si>
  <si>
    <t>Observed most of electrical equipment still connected to power supply during brake time (EI)</t>
  </si>
  <si>
    <t>Provided TBT to all workers regarding the importance of energy isolation and LOTO</t>
  </si>
  <si>
    <t>Observed the operator of overhead crane directed the suspended load near to underneath workers</t>
  </si>
  <si>
    <t xml:space="preserve">Stopped the lifting activity, Identify the line of fire area then the area being cleared from workers </t>
  </si>
  <si>
    <t>Observed the operator of new CNC plasma cutting machine is not wear proper PPE (burning goggles)</t>
  </si>
  <si>
    <t>The mentioned operator was advised immediately about the importance of using the proper PPE</t>
  </si>
  <si>
    <t>It has observed one from welding team take a position for welding activity was unsafe, standing on a metal Frame with opening, as a step working platform.</t>
  </si>
  <si>
    <t>Informed the welder responsible SV and HSE PTJ to change that condition and more supervision and mandatory to provide a safe platform to all.</t>
  </si>
  <si>
    <t>Observed one welder working over a frame (WAH) without suitable working platform</t>
  </si>
  <si>
    <t xml:space="preserve">Suitable platform is provided </t>
  </si>
  <si>
    <t>Observed cutting torch set attached with fixed handle with chains to facilitate opening and closing of acetylene cylinder valve specially in case of emergency</t>
  </si>
  <si>
    <t>Observed suitable side walkways (clean and clear from any obstructions)</t>
  </si>
  <si>
    <t>It has observed a good supervision from welding supervisor during night shift also working for implement all hot work precautions.</t>
  </si>
  <si>
    <t>Mahmoud Nasr</t>
  </si>
  <si>
    <t xml:space="preserve">I have observed the welder set on unstable part also plastic material </t>
  </si>
  <si>
    <t xml:space="preserve">I stop him immediately then the supervisor provide the accepted chair for working  </t>
  </si>
  <si>
    <t xml:space="preserve">The HSE responsible for this area will make TBT about PPE and safe work condition and </t>
  </si>
  <si>
    <t>Low</t>
  </si>
  <si>
    <t>Observed the telescopic crane performing lifting operations without identifying the line of fire around the crane</t>
  </si>
  <si>
    <t>Identified the line of fire and installed soft barricades immediately , Provided safety stand down to the riggers regarding safe mechanical lifting</t>
  </si>
  <si>
    <t>I have observed supports without safe working load and serial number.</t>
  </si>
  <si>
    <t>I stop the work immediately and I inform the supervisor to connect with QC to inspect this support./ Any support must be inspected from the QC team and print the SWL and serial number before any work start on any support.</t>
  </si>
  <si>
    <t>It has been observed during night shift, storage metal materials on walk way at area 1.</t>
  </si>
  <si>
    <t xml:space="preserve">I have intervened and report to PTJ HSE team to remove it and check all walk ways also I have informed all of HSE team make site survey before start activities </t>
  </si>
  <si>
    <t>I have observed two eroded welding holder</t>
  </si>
  <si>
    <t>Alert for the supervisor with this issue then he replace the two holder</t>
  </si>
  <si>
    <t>CPY observed several pieces of unit weights being manufactured on site. Pieces of scrap metal is being placed within the drums. Thereafter welded shut and without determining the weight being lifted onto structures to prevent distortion of the frames being welded</t>
  </si>
  <si>
    <t>The weight of these units is not determined, testing has not been carried out as to the strength of the welds of the lifting eyes.
The units are to be condemned from being used on site</t>
  </si>
  <si>
    <t>CPY observed a proper Housekeeping for fabrication activities included prefabrication and welding/NDE, have been carried out properly, inside fabrication workshop#4.</t>
  </si>
  <si>
    <t>Mohamed Nasr</t>
  </si>
  <si>
    <t>During walkabout CPY Fabrication Manager &amp; Deputy Fabrication Manager that both WS required housekeeping.</t>
  </si>
  <si>
    <t>Advised TFMC HSE to pass the observation to day shift to take action. until PTJ provide housekeepers for this shift.</t>
  </si>
  <si>
    <t>During inspection the welding of stiffener Plate piping support require that replacing position between the one on stand and one on ground using
overhead crane.</t>
  </si>
  <si>
    <t>Any lifting operation should be done by approved &amp; certified operator.
Trained riggers to be on site.
Lifting PTW and RA to be provided.</t>
  </si>
  <si>
    <t>During inspection it was noticed that wooden boxes used for stacking material having nails coming out of it that can cause harm to worker while leaning on it or getting material out.</t>
  </si>
  <si>
    <t>All wooden boxes or wood used for stacking should be free of nails</t>
  </si>
  <si>
    <t>During monitoring and surveillance inside WK.,I smell gas came from one of the gas cylinder due to hose damage</t>
  </si>
  <si>
    <t>Stopped the welder and instructed him to close the cylinder and change the hose by new one</t>
  </si>
  <si>
    <t>During monitoring and surveillance inside WK., observed poor handling of cable</t>
  </si>
  <si>
    <t>Stopped the welders and instructed them to handle cable before start welding.</t>
  </si>
  <si>
    <t>Lack of wearing basic / mandatory PPE safety burning goggles, while using flame cutting machine.</t>
  </si>
  <si>
    <t>CPY recommended to reiterate this topic during the TBT to encourage the new team for wearing proper PPE inside workshop.</t>
  </si>
  <si>
    <t>During inspection it was noticed that the crane was working at painting and blasting open area shifting the concrete blocks when I went there the following was observed,
-No PTW
-No PTJ HSE
-No supervision
-Bad lifting arrangement</t>
  </si>
  <si>
    <t>Generic lifting plan should be In place
HSE should be present during lifting
PTW should be available at site</t>
  </si>
  <si>
    <t>CPY observed that, there is a risk of fallen objects where the free end of the ring during the grinding the inner diameter and not fully clamped onto the table used to support during the grinding operation.</t>
  </si>
  <si>
    <t>CPY recommended to ensure that items which are subject to grinded to be fully clamped onto the table used to support the drilling equipment / machine.</t>
  </si>
  <si>
    <t>Ensure that all crew who involved in the activities inside this area are fully aware and acknowledge that housekeeping is a daily routine activity to be done by end of each shift.</t>
  </si>
  <si>
    <t>During inspection one of the wooden pallets used for stacking small material parts have nail coming out of it and during manual handling it can easily pinch someone hand.</t>
  </si>
  <si>
    <t>Any wooden pallet should be free from nail.
Any storge box should be free from nails.</t>
  </si>
  <si>
    <t>During inspection it was observed the following,
One grinding machine with cable isolation cutted inside mud-mat frame</t>
  </si>
  <si>
    <t>All equipment’s should be inspected before starting the job.
All defected equipment’s should be removed from site.
All equipment’s should be stored properly after completing the task.</t>
  </si>
  <si>
    <t>During inspection it was observed the following,
One webbing sling with indication of abrasion.</t>
  </si>
  <si>
    <t>All lifting devises shall be inspected and certified by component person.
TFMC Has to monitor all lifting devises and ensure color code, condition
and certificate are in place.</t>
  </si>
  <si>
    <t>During inspection it was observed, Garbage bag inside welding area that could catch fire.
At open area – 2, 10” PLET type 3, 112T – well side one piece of wood used as scaffolding platform not secured &amp; scaffolding tube not connected with coupler and loose from one end.</t>
  </si>
  <si>
    <t>Area housekeeping should be done at end of shift.
Scaffolding tubes should be connected properly and secured by coupler.
Scaffolder to ensure all scaffolding platform secured and safe.</t>
  </si>
  <si>
    <t>During inspection of equipment’s before shift started it was observed,
-One electrode holder was damaged.
-One electrode holder cable completely damaged.</t>
  </si>
  <si>
    <t>Advised the welder to replace electrode holder and the cable.Informed shift supervisor.</t>
  </si>
  <si>
    <t>During inspection one grinder was using the grinding machine and sparks was heading to gas cylinder nearby.</t>
  </si>
  <si>
    <t>Grinders and welders to remove any flammable material.
Area should be free from any cylinders.
Grinder should check the direction of sparks and ensure it doesn’t affect anyone.</t>
  </si>
  <si>
    <t>During inspection it was observed that they will be welding inside pile sleeve and the welder jumped inside</t>
  </si>
  <si>
    <t>All personal should use approved methods while working.
No jumping or standing on structure without scaffolding steps.
Worker shouldn’t rush and to prepare there working area</t>
  </si>
  <si>
    <t>During inspection three welders one standing on the tube of scaffolding step and two standing on welding chair on Mud-mat frame
PTJ scaffolder was standing on top of the yoke ladder to adjust tarpaulin.</t>
  </si>
  <si>
    <t>Immediately I asked them to come down and to provide secure scaffolding step to stand on.
Advised TFMC that dayshift while handover the task and they knew they have to go up to prepare the area with safety measures applicable on site.</t>
  </si>
  <si>
    <t>During inspection it was observed that cable management is very bad and trip hazard increased due to day shift handover.</t>
  </si>
  <si>
    <t>During inspection of equipment’s before shift started the following was observed,
-One grinding machine socket pin damaged.
-One electrode holder was damaged.</t>
  </si>
  <si>
    <t>Advised the grinder to go to the electrician of the shift to replace socket.
Advised the welder to replace electrode holder.
Informed shift supervisor.
Advised TFMC HSE to monitor.</t>
  </si>
  <si>
    <t>During inspection it was observed that cable management is very bad and trip
hazard increased.</t>
  </si>
  <si>
    <t>Cable management should be carried out before start working.
Message to be addressed during TBT.
Dayshift should organize their cables before leaving.
Access and walkway should be free from cables.</t>
  </si>
  <si>
    <t>During inspection it was observed welding on yoke ladder in WS – 2 sea side and due to adding more tarpaulin because of wind speed the light was insufficient inside.</t>
  </si>
  <si>
    <t>Always have sufficient light in working area.
Workers should ask if they think light is not sufficient.</t>
  </si>
  <si>
    <t>During inspection one grinder was using the grinding machine and sparks was heading to gas cylinder nearby</t>
  </si>
  <si>
    <t>Chris Eaton</t>
  </si>
  <si>
    <t>During visit to workshop 2 TFMC inspector found not using minimum ear protection.</t>
  </si>
  <si>
    <t>Had a conversation on the importance of using hearing protection, inspector agreed that he should be using ear protection and he ensured me he will not forget in future.</t>
  </si>
  <si>
    <t>During inspection it was observed that emergency numbers posted need to be updated for dayshift because some personal in the list shifted to site moreover to cover nightshift.</t>
  </si>
  <si>
    <t>Emergency contact numbers should be checked &amp; updated frequently. 
Nightshift to be covered in the list.</t>
  </si>
  <si>
    <t>During inspection it was observed PTJ worker was using the main electrical panel in WS.</t>
  </si>
  <si>
    <t>Only authorized personal should use main panel.
Main electrical should have lock to prevent unauthorized people from using it.
Safety signs to be posted.</t>
  </si>
  <si>
    <t>During inspection it was observed P Welder sitting on wood and surrounded by wood</t>
  </si>
  <si>
    <t>Welders needs steel chair to sit on.
Any flammable material should be removed from hot work activities.
Housekeeping to be carried frequently.</t>
  </si>
  <si>
    <t>Before shift started and during inspection of equipment’s and cylinders the following was observed,
One gas cylinder found blocking the access way.</t>
  </si>
  <si>
    <t>Access ways should always be clear.
Worker needs to understand the important of free walkway.
Walkway are for emergency also so any obstructions will cause problem.
ERP sold be addressed</t>
  </si>
  <si>
    <t>During inspection it was observed pipe needs stopper to be secured.</t>
  </si>
  <si>
    <t>Advised TFMC to pass concern to dayshift to be followed.
All material should be stacked properly.
Pipes to be secured by stopper.</t>
  </si>
  <si>
    <t>During visit to workshop 2 operator of partially mechanized flame cutting equipment found to be wearing minimum PPE and task specific burning eye protection.</t>
  </si>
  <si>
    <t>During inspection it was observed water kettle inside WS connected and tea glasses, moreover there was a lot of water on ground near electrical connection.</t>
  </si>
  <si>
    <t>Standdown will be conduct to address the issue</t>
  </si>
  <si>
    <t>Nightshift should handover area clear from cables.
Nightshift to organize cables from the start of shift.</t>
  </si>
  <si>
    <t>During lifting activities, it has observed the rigging supervisor weren’t wear reflection vest and using damage safety gloves</t>
  </si>
  <si>
    <t>I was made provide awareness with rigging team to following the lifting procedure and mandatory to HSE PTJ follow up the lifting activities and implement safety lifting precaution before start activity.</t>
  </si>
  <si>
    <t>It has been observed poor storage of gas cylinders (unsecured)</t>
  </si>
  <si>
    <t>The gas cylinder has been secured</t>
  </si>
  <si>
    <t>It has been observed poor storage of materials at area 1</t>
  </si>
  <si>
    <t>I have contacted the supervisor to arrange and organize the area (Closed)</t>
  </si>
  <si>
    <t>It has been observed during welding activities using damage earthing cable.</t>
  </si>
  <si>
    <t>I have intervened and inform the welding SV replace the welding machine by another one with good cables</t>
  </si>
  <si>
    <t xml:space="preserve">I have observed while we testing cylinders before starting the night shift 
that two gas cylinder have leakage from the regulator and one hose without hose clips </t>
  </si>
  <si>
    <t xml:space="preserve">I close the cylinder then inform the supervisor to take them out and inform the morning shift to change the regulator also I put don’t use card </t>
  </si>
  <si>
    <t xml:space="preserve">I have observed two electrical panel not inspected this month . </t>
  </si>
  <si>
    <t>We contact with electric supervisor and he come and inspect the two panel .</t>
  </si>
  <si>
    <t xml:space="preserve">I have observed  defected lifting tools. </t>
  </si>
  <si>
    <t>I inform HSE PTJ to take it out work place.</t>
  </si>
  <si>
    <t xml:space="preserve">I have observed using flammable material (wood) beside welding activity also using the wood as site </t>
  </si>
  <si>
    <t xml:space="preserve">Warning the worker and remove all woods </t>
  </si>
  <si>
    <t xml:space="preserve">I have observed poor cable management also the accessway not clear </t>
  </si>
  <si>
    <t xml:space="preserve">I inform the supervisor and immediately start managing the cable and the accessway be clear  </t>
  </si>
  <si>
    <t>Observed the earth leakage is defected at one of the electric panels</t>
  </si>
  <si>
    <t>the responsible area electrician immediately replaced the earth leakage circuit breaker</t>
  </si>
  <si>
    <t xml:space="preserve">I have observed pip without secure and close the access way to the electrical panel but we don’t have rigger on the night shift  </t>
  </si>
  <si>
    <t xml:space="preserve">I inform the supervisor and secure the pipe and put cone for warning worker from obstruction </t>
  </si>
  <si>
    <t>Observed that one of the supports does not have swl marked on it.</t>
  </si>
  <si>
    <t>the responsible WS immediately Stop working on the supports
the supports were checked and the swl was clarified.L118</t>
  </si>
  <si>
    <t xml:space="preserve">I have observed cable for grinder not isolated  
</t>
  </si>
  <si>
    <t xml:space="preserve">I inform the supervisor to replace it and I put don’t use card until fix it  </t>
  </si>
  <si>
    <t>Any support must be inspected from the QC team and print the SWL and serial number before any work start on any support.</t>
  </si>
  <si>
    <t xml:space="preserve">I have observed the cables on metal hook without isolation </t>
  </si>
  <si>
    <t xml:space="preserve">I inform the HSE to provide isolated hook  </t>
  </si>
  <si>
    <t xml:space="preserve">I have observed different cable connected together using tape </t>
  </si>
  <si>
    <t xml:space="preserve">I inform the supervisor to change this cable   </t>
  </si>
  <si>
    <t xml:space="preserve">I have observed leakage on acetylene cylinder while checking cylinders before starting the night shift and it have defected handle which causing the leakage </t>
  </si>
  <si>
    <t xml:space="preserve">I inform the supervisor to take it out and make the test to find the leakage position and I put sign don’t use </t>
  </si>
  <si>
    <t xml:space="preserve">I have observed that most of the grinders have direct cable connected with the electrical panel </t>
  </si>
  <si>
    <t xml:space="preserve">I inform the supervisor to connect with the morning shift to change all of this cables because we don’t have electrical workshop at night only one technician  for emergence </t>
  </si>
  <si>
    <t>Ahmed Wahba Mohamed</t>
  </si>
  <si>
    <t xml:space="preserve">I have observed a cut in a sling </t>
  </si>
  <si>
    <t>Immediately I stop the job anf got the sling out of service, conduct a survey for nall rigging accessories among the area</t>
  </si>
  <si>
    <t>It has been observed a grinder without weaing the face shield</t>
  </si>
  <si>
    <t xml:space="preserve">A violation have been recorded for the employee , </t>
  </si>
  <si>
    <t>Mohamed Abdelkader Abdlmawgood</t>
  </si>
  <si>
    <t>it hass been observed poor cable management at the area</t>
  </si>
  <si>
    <t>Maintain the cable management at the area by installing scaffold supports among the area to hang the cables on</t>
  </si>
  <si>
    <t>Omar Ahmed Omar</t>
  </si>
  <si>
    <t xml:space="preserve">It has been observed a leak from a butane compressed gas cylinder </t>
  </si>
  <si>
    <t>Got the the cylinder out of service , tagged in the quarantine area and conduct a TBT with the team  regarding CGC inspection .</t>
  </si>
  <si>
    <t>it has been observed poor houskeeping at the area , the grinding disc are left on the area</t>
  </si>
  <si>
    <t>instruct the workforce team to maintain the housekeeping at the area</t>
  </si>
  <si>
    <t>it has been observed a rigger use the lever hoist with improper technique that block the safety latch didn’t close properly</t>
  </si>
  <si>
    <t xml:space="preserve">report to yher rigging supervisor and conduct a TBT with the rigging team </t>
  </si>
  <si>
    <t>Hussein Shehata</t>
  </si>
  <si>
    <t>It has been observed that the team through trash inside the suppor cups which bmay be a potential fire if a hot work carried nearby</t>
  </si>
  <si>
    <t xml:space="preserve">Report to the supervisor Conduct a TBT with the team </t>
  </si>
  <si>
    <t xml:space="preserve">Hisham Abdelhameed </t>
  </si>
  <si>
    <t>it has been observed an angle grinde without the secondary hand</t>
  </si>
  <si>
    <t>Get the angle grinder out of service and report to the supervisor</t>
  </si>
  <si>
    <t>Ehab Sabry Elsayed</t>
  </si>
  <si>
    <t>it has been observed poor cable management for the welding activity</t>
  </si>
  <si>
    <t xml:space="preserve">stop the jop till the team maintain the cable management </t>
  </si>
  <si>
    <t>Ahmed Sobhy Elsayed</t>
  </si>
  <si>
    <t>It has been a leak from the valve of the butane CGC</t>
  </si>
  <si>
    <t>Get it out of service and tag it then conduct a survey among the area foer the rest CGC and conduct a TBT with the workforce team</t>
  </si>
  <si>
    <t>TFMC QC and HSE not attended TBT at last two days 1,2-3-2025.</t>
  </si>
  <si>
    <t>Contacted with them and advised to attend TBT next time.</t>
  </si>
  <si>
    <t xml:space="preserve">Gamal Abdelgawad </t>
  </si>
  <si>
    <t>CPY observed a proper Housekeeping during preparation of fabrication activities included prefabrication and welding, have been carried out properly, within outside fabrication area#4.</t>
  </si>
  <si>
    <t>CPY approach TFMC / PTJ HSE representative, to encourage the whole team have been involved in the lifting operation, for their commitment to HSE rules and requirements.</t>
  </si>
  <si>
    <t>mproper PPE (Dark Glass) been worn by PTJ HSE officer, inside all fabrication workshop#2.</t>
  </si>
  <si>
    <t>Discussed the point in person with PTJ HSE officer, then informed TFMC HSE, to provide a clear glass to the new team.</t>
  </si>
  <si>
    <t>Reiterate this topic (PPE) during the TBT to encourage the new team for wearing proper PPE inside workshops.</t>
  </si>
  <si>
    <t>HSE</t>
  </si>
  <si>
    <t>CPY observed that, TFMC have got lack of HSE supervisors for covering all activities which are happening at the same time at several working areas</t>
  </si>
  <si>
    <t>CPY approached TFMC HSE Manager, to take all necessary actions for this concern to ensure that PTJ supervisions are covering all areas.</t>
  </si>
  <si>
    <t>One welder set on chair of steel above scaffolding during welding .</t>
  </si>
  <si>
    <t xml:space="preserve"> informed the welder to come down and bring scaffolding step.</t>
  </si>
  <si>
    <t xml:space="preserve">Nursing and ambulance not available during night shift. </t>
  </si>
  <si>
    <t>Informed PTJ and TFMC HSE to take the corrective action.</t>
  </si>
  <si>
    <t>During inspection it was observed PTJ welder in unsafe position.</t>
  </si>
  <si>
    <t>Immediately I stopped him and informed him to bring scaffolding step to stand secured.</t>
  </si>
  <si>
    <t>During inspection it was observed very good cable management during and at the end of shift</t>
  </si>
  <si>
    <t>Thanked the works during TBT for job well done.
Thanked the area supervisor and informed him to continue the good work.</t>
  </si>
  <si>
    <t>During inspection before starting shift while equipment’s inspection two of the gas cylinders was leaking one from the flash back arrestor and leaking from the connection coming out of control valve connect to hose, the other leaking from 
the connection coming out of control valve connected to hose, WS – 2 because of nut or the clamps.</t>
  </si>
  <si>
    <t>Informed PTJ area supervisor to take action and replace the clamps, flash back arrestor and tightened the nuts
1.All gas cylinders must be inspected before starting any task.
2- Leak test to be conducted on all connections
3- Any defect equipment should be removed from site.
4- After completing the task pressure must be released.)</t>
  </si>
  <si>
    <t>During inspection it was observed Gas cylinder leaking from the cylinder main valve.</t>
  </si>
  <si>
    <t>Informed the area supervisor not to use it until tightened the nuts and re tested or remove it from WS 
1. All gas cylinders must be inspected before starting any task.
2- Leak test to be conducted on all connections
3- Any defect equipment should be removed from site.
4- After completing the task pressure must be released</t>
  </si>
  <si>
    <t>During inspection immediately after TBT it was observed sheet under the overhead crane with oil spill and PTJ was going to start hot work activities, also it was noticed at the end of WS seaside that there was oil spill and covered by 
sand</t>
  </si>
  <si>
    <t>Immediately I stopped any hot work until removing the sheet and cover any additional oil spill by sand, moreover any lifting was suspended until we know was done during dayshift was it break down, maintenance.I called TFMC HSE once I stopped the activity to come and see TFMC HSEdayshift did not handover this, same for PTJ nobody had clue of what has been done during dayshift</t>
  </si>
  <si>
    <t>While coming out of WS -3 it was observed senior PTJ Eng. On top of scaffolding to photos for WS – 1 &amp; 2 the scaffolding is not inspected with no green tag red tagged, there is no handrail only mid-rail and no toe board it was PTJ project manager waiting down Said Abu elmaged who asked the Eng. To go up to take photos.</t>
  </si>
  <si>
    <t>I approach PTJ project manager and informed him it’s not acceptable and the PTJ senior Eng. Came down immediately. I informed TFMC HSE to ensurescaffolding used is inspected and any unsafe act / condition must be dalliedwith</t>
  </si>
  <si>
    <t>During inspection it was observed the usage of screen between workers to keep each other clear from line of fire and the usage of proper scaffolding steps in WS</t>
  </si>
  <si>
    <t>CPY noted that majority of PTJ workers are constantly engaged on their mobile phones and not fully focused on their work environment.</t>
  </si>
  <si>
    <t>Requested PTJ and TFMC HSE advisors and supervisors intervene and prevent any potential incidents.</t>
  </si>
  <si>
    <t>PTJ senior management to seriously intervene and put a stop to this unsafe 
behavior (using mobile phones at the work area)</t>
  </si>
  <si>
    <t>CPY noted that several scaffolded portable hop-ups are not safe to work on (stand-on) due to being unbalanced. CPY physically watched 2 PTJ workers stand ion these hop-ups and the scaffold hop-up “tilted” off the ground which nearly 
off-balanced the workers.</t>
  </si>
  <si>
    <t>Requested PTJ workers to position the hop-ups in a way that could prevent from toppling over and having an incident.</t>
  </si>
  <si>
    <t>PTJ construction team to remove all not safe scaffolded hop-ups and replace with more fit for use (sturdy) made scaffolds to ensure workers can work safely on them</t>
  </si>
  <si>
    <t>Mohamed El Sawah</t>
  </si>
  <si>
    <t>During site inspection, CPY noticed that one of the shields that used to block sparks while welding or grinding activities is damaged and needs to be fixed.</t>
  </si>
  <si>
    <t>I notified PTJ safety officer and he took the necessary action.</t>
  </si>
  <si>
    <t>During site inspection, CPY noticed that the semi-automatic oxyfuel cutting machine was putted on the top of the gas cylinder.</t>
  </si>
  <si>
    <t>Good progress being made on scaffolding handrails being fitted onto Mudmatsections around site</t>
  </si>
  <si>
    <t>Good progress being made on the installation of sharp edge protections and sanger tape for unsafe identifications</t>
  </si>
  <si>
    <t>Excessive number of workforce/HSE/Supervision observes on mobile phones Whilst within activity areas.</t>
  </si>
  <si>
    <t>Interacted with the area HSE Teams and Fab Supervision to ensure mobile phones are used to minimum at all times.</t>
  </si>
  <si>
    <t>There is still an abundance of workforce wearing dark safety glasses inside the Workshop Areas</t>
  </si>
  <si>
    <t>Tutored the personnel on the correct wearing of PPE inside workshops ,  Interacted with the area PTJ HSE to ensure PPE requirements are fully adhered to at all times</t>
  </si>
  <si>
    <t>Excessive number of cables observed in one area – overloading of the cable scaffold cable bridge and extremely untidy at floor level.</t>
  </si>
  <si>
    <t xml:space="preserve">
Area HSE TFMC/PTJ/Fabrication Supervisor requested to ensure immediate cleaning and cable management of the affected area</t>
  </si>
  <si>
    <t xml:space="preserve">Mohamed Nasr </t>
  </si>
  <si>
    <t>During inspection it was observed that webbing sling with signs of abrasion and serial number tag cut so we can’t check its certificate.</t>
  </si>
  <si>
    <t>Informed TFMC and had PTJ HSE removed from site.</t>
  </si>
  <si>
    <t>All lifting devises shall be inspected and certified by component person.</t>
  </si>
  <si>
    <t>TFMC HSE</t>
  </si>
  <si>
    <t>During inspection it was observed the welder welding while gas hose for heating is under him and gas cylinder is pressurized.</t>
  </si>
  <si>
    <t>Stopped the welder and asked him to put the hose on the cylinder and release pressure and shifted away.</t>
  </si>
  <si>
    <t>it was observed lifting a piece of mud-mat steel structure to
welded on frame without PTW.
Moreover, while inspection of webbing sling it was found defected and no safety pins on shackles.</t>
  </si>
  <si>
    <t>Immediately the operation was stopped, advised TFMC to have PTJ open lifting PTW with all attachment crane certificate, lifting gear certificates, lifting RA, etc.</t>
  </si>
  <si>
    <t>PTW for any lifting operation should be opened before starting.
All related documentation to be attached to PTW, (RA, lifting gear
certificate, crane certificate.</t>
  </si>
  <si>
    <t>it was observed that WS require serios housekeeping and still
no housekeeper during the shift,</t>
  </si>
  <si>
    <t>Advised TFMC to pass concern to dayshift and either PTJ provide one for the shift or handover the WS done.</t>
  </si>
  <si>
    <t>Housekeeping to be carried out frequently. PTJ should provide housekeeper during night shift.</t>
  </si>
  <si>
    <t>CPY observed several pieces of unit weights being manufactured on site. Pieces
of scrap metal is being placed within the drums. Thereafter welded shut and
without determining the weight or showing any base design report.</t>
  </si>
  <si>
    <t>CPY approached TFMC / PTJ HSE, to take an immediate action to ensure that all safety requirements are in place to prevent such a risk.</t>
  </si>
  <si>
    <t>CPY recommended to ensure that items which are subject to lifted to be fullyinspected and released based on official design report and QC report.</t>
  </si>
  <si>
    <t>Discussed the point in person with the team, then informed PTJ/ TFMC HSE, to provide a basic / mandatory PPE to the team.</t>
  </si>
  <si>
    <t>CPY recommended to reiterate this topic during the TBT to encourage the newteam for wearing proper PPE inside workshop.</t>
  </si>
  <si>
    <t>Informed PTJ / TFMC HSE, to postpone the activities, to do all necessary for proper housekeeping all over the cable arrangement / cable management through cable management platform.</t>
  </si>
  <si>
    <t xml:space="preserve">QC </t>
  </si>
  <si>
    <t>Two welders one standing on piece of steel and one on painting can.</t>
  </si>
  <si>
    <t>I informed the welders to come down and bring scaffolding step to stand on and tried to explain that their position and using chairs or cans is unsafe.</t>
  </si>
  <si>
    <t>Always use scaffolding steps or ask scaffolders to erect one.</t>
  </si>
  <si>
    <t>While witnessing blasting operations, it was noticed that some technicians did not wear earplugs in the blasting yard.</t>
  </si>
  <si>
    <t>Advised them to always use the earplugs during blasting process./Subject to be highlighted during the weekly TBT.</t>
  </si>
  <si>
    <t>While painting steel structure with brushes for strip coat, it was noticed that some technician was doing the job without wearing the chemical mask.</t>
  </si>
  <si>
    <t>Advised him to use chemical mask during painting process to protect his lungs from inhaling any VOC(volatile organic compound)/Subject to be highlighted during the weekly TBT.</t>
  </si>
  <si>
    <t>During mechanical repairs for steel structure after blasting, it was noticed that some technician was using the grinding machine without gloves.</t>
  </si>
  <si>
    <t>.Advised him to use proper gloves to avoid any injury to his hands.</t>
  </si>
  <si>
    <t>During inspection before starting shift while equipment’s inspection it was observed damaged welding cable.</t>
  </si>
  <si>
    <t>Advised area supervisor to have the electrician fix it before using.</t>
  </si>
  <si>
    <t>During inspection it was observed that workers are working on mud-mat frame, there steel structure under them but if they stand on beam at edge they might fall.</t>
  </si>
  <si>
    <t>Advised PTJ scaffolder to put hand rail to ensure worker are more secured.</t>
  </si>
  <si>
    <t>Good cable management after night shift ended.</t>
  </si>
  <si>
    <t>Thanked the worker for job well done.
Enforced the continuity these positive actions.</t>
  </si>
  <si>
    <t>During inspection it was observed that PTJ worker with worn up safety boats, some works didn’t have ear plugs and welders with worn up gloves.</t>
  </si>
  <si>
    <t>Advise TFMC HSE to tack action and inform PTJ HSE this concern must be close
ASAP, the welder with worn safety boats left WS, welder gloves changed.</t>
  </si>
  <si>
    <t>During inspection it was observed welders working on the mud-mat frame after fitting without any handrails.</t>
  </si>
  <si>
    <t>Stopped the welder and asked them to come down until scaffolders come and erect handrail to them.</t>
  </si>
  <si>
    <t>During inspection it was observed that housekeeping required in some areas in WS</t>
  </si>
  <si>
    <t>Informed PTJ QC Eng. To take action. Informed TFMC to Follow up.</t>
  </si>
  <si>
    <t>During inspection before starting shift while equipment’s inspection two gas
cylinders was leaking from the control valve.</t>
  </si>
  <si>
    <t>Informed PTJ area supervisors to remove this cylinder and bring another one</t>
  </si>
  <si>
    <t>A good presence of safety information signs posted at the entry to the Open Area used for Blasting &amp; Painting</t>
  </si>
  <si>
    <t>Commended the PTJ HSE Team on good safety sign practices</t>
  </si>
  <si>
    <t>Poor housekeeping was observed in workshop 1</t>
  </si>
  <si>
    <t>I highlighted the issue to area HSE.</t>
  </si>
  <si>
    <t>Poor cables management was observed in workshop 1</t>
  </si>
  <si>
    <t>A worker was observed working without safety glasses and using a piece of offcut steel as a hammering tool to remove welding slag</t>
  </si>
  <si>
    <t>Requested TFMC/PTJ HSE to ensure immediate controls regarding correct use of PPE and ensure stronger controls over the use of homemade tols</t>
  </si>
  <si>
    <t>It was requested to TFMC/PTJ HSE that the worker is to attend a re-induction to ensure improved knowledge on the project HSE requirements</t>
  </si>
  <si>
    <t>A HD steel work bench was incorrectly positioned into a safe walkway creating a blocked scenario</t>
  </si>
  <si>
    <t>Requested PTJ HSE to ensure the workbench was moved out of the walkway bt almost 2m</t>
  </si>
  <si>
    <t>Excessive waste observed outside the office directly in front of Warehouse #2</t>
  </si>
  <si>
    <t>Requested TFMC HSE to ensure the excess waste was removed immediately – excessive waste removed immediately</t>
  </si>
  <si>
    <t>During a site inspection in outside fabrication area #1, I observed one welder standing on unstable small iron chair during the welding process.</t>
  </si>
  <si>
    <t>Instantly, I took the corrective action by stopping the welder and informing him that it is unsafe to use small iron chair to stand on during his work. The welder confirmed and changed the chair with suitable scaffolding</t>
  </si>
  <si>
    <t>Warehouse 1</t>
  </si>
  <si>
    <t>During a site inspection of WH#1, which is Dedicated to ATV valves storage, I noticed a significant amount of sand inside the warehouse.</t>
  </si>
  <si>
    <t>During visit to workshop 1 PTJ fitter found not using minimum light eye protection whilst sitting in between structures on his phone whilst workers are performing hot works around him.</t>
  </si>
  <si>
    <t>Stopped the fitter and requested that he put his phone away and put on his light eye protection. possession.</t>
  </si>
  <si>
    <t>During visit to workshop 1 PTJ worker found not using minimum light eye protection whilst in conversation to his supervisor.</t>
  </si>
  <si>
    <t>Stopped the supervisor and requested he talk with the fitter.</t>
  </si>
  <si>
    <t>A gas cylinder leak has been observed at workshop 1</t>
  </si>
  <si>
    <t>The gas cylinder valve has been closed and the gas cylinder has been removed 
from the workshop</t>
  </si>
  <si>
    <t xml:space="preserve">It has been observed poor housekeeping at workshop 4 </t>
  </si>
  <si>
    <t>The workshop supervisor and safety supervisor has been contacted to provide a 
group of housekeepers at the night shift</t>
  </si>
  <si>
    <t xml:space="preserve">It has been observed damaged cables </t>
  </si>
  <si>
    <t xml:space="preserve">The electrician supervisor has been contacted to fix the damaged cables. 
the power angle grinders with damaged cables were excluded until the cables were fixed. </t>
  </si>
  <si>
    <t>It has been observed the emergency numbers list is not updated</t>
  </si>
  <si>
    <t>The safety supervisor has been contacted to update the Emergency numbers 
list</t>
  </si>
  <si>
    <t>It has been observed bad storage a welding machine in a main access</t>
  </si>
  <si>
    <t>The work has been stopped until relocated the welding machine and 
arrangement the cables</t>
  </si>
  <si>
    <t>It has been observed a group of workers are working at height without any fall 
protections</t>
  </si>
  <si>
    <t>The work has been stopped until erecting a handrail</t>
  </si>
  <si>
    <t>It has been observed a damage in electrical cable for a power angle grinder</t>
  </si>
  <si>
    <t>it has been excluded from the workshop until it is fixed</t>
  </si>
  <si>
    <t>It has been observed some workers are wearing damaged PPE’s</t>
  </si>
  <si>
    <t>The safety supervisor has provided gloves, ear plug and clear glasses. 
But there is no safety shoes in the stock</t>
  </si>
  <si>
    <t xml:space="preserve">The work has been stopped until erecting a handrail </t>
  </si>
  <si>
    <t>It has been observed closed access ways inside fabrication workshop area 1 due to bad cable management</t>
  </si>
  <si>
    <t>I was contacted with HSE ptj and SV construction for made housekeeping and rearrangement cables
More supervision from supervisor and HSE PTJ</t>
  </si>
  <si>
    <t xml:space="preserve">It has been observed different color-codes in the same basket for gas cylinders </t>
  </si>
  <si>
    <t>I’m informed the fabrication SV and HSE PTJ to take immediate action</t>
  </si>
  <si>
    <t>It has been observed opening on work platform during fabrication activities, 
that maybe cause dropped objects or fall from high</t>
  </si>
  <si>
    <t>I’m inform fabrication responsible supervisor PTJ to take immediate action close 
the opens and check site condition</t>
  </si>
  <si>
    <t>It has been observed unsafe storage gas cylinders without caps and secure strap</t>
  </si>
  <si>
    <t>Inform construction SV and HSE PTJ to more supervision and take immediate 
action with anyone repeat that behaviour</t>
  </si>
  <si>
    <t>It has been observed grinding activities using platform not fixed</t>
  </si>
  <si>
    <t>I suspended the grinding activity and contact with Fabrication SV and HSE ptj to 
take corrective action</t>
  </si>
  <si>
    <t>It has been observed electric panel checklist putted on energy sources place 
behind electric panel mirrors</t>
  </si>
  <si>
    <t>I’m contacted immediately with electric responsible supervisor to change place checklist from inside and make sure the electric panels status</t>
  </si>
  <si>
    <t>It has been observed protect sharp edges at workshop  by plastic cover putted 
on Sharp edges</t>
  </si>
  <si>
    <t xml:space="preserve">I have observed defected webbing sling and shackles without safety pin </t>
  </si>
  <si>
    <t>I inform the supervisor to replace it and provide safety pin</t>
  </si>
  <si>
    <t>I have observed lifting activity without permit</t>
  </si>
  <si>
    <t>I stop the work and inform the PTJ HSE and the responsible engineer for night shift because this miss communication to inform the HSE department about all the activities at the night shift  also this consider breaking the life saving rules</t>
  </si>
  <si>
    <t xml:space="preserve">I have observed defected welding pliers  </t>
  </si>
  <si>
    <t xml:space="preserve">I inform the HSE to take it out from the workshop and the supervisor replace it immediately  </t>
  </si>
  <si>
    <t xml:space="preserve">I have observed crack on grinder disc   </t>
  </si>
  <si>
    <t xml:space="preserve">I inform the supervisor to take it out of the grinder and put it on the scrab   </t>
  </si>
  <si>
    <t xml:space="preserve">I have observed poor cable management   </t>
  </si>
  <si>
    <t xml:space="preserve">I inform the supervisor to stop the work and rearrange the cables </t>
  </si>
  <si>
    <t xml:space="preserve">I have observed defected webbing sling also the serial number not clear </t>
  </si>
  <si>
    <t xml:space="preserve">I inform the supervisor to take it out the workshop  </t>
  </si>
  <si>
    <t xml:space="preserve">I have observed defected hose for gas cylinder   </t>
  </si>
  <si>
    <t xml:space="preserve">I inform the supervisor to take this cylinder out until change the hose </t>
  </si>
  <si>
    <t xml:space="preserve">I have observed while heating work there are grinder and cable near to work also exposed to heat   
</t>
  </si>
  <si>
    <t>I inform the supervisor to take this out and continue the work</t>
  </si>
  <si>
    <t xml:space="preserve">I have observed defected earthing for welding that make damage for another cables </t>
  </si>
  <si>
    <t xml:space="preserve">I inform the supervisor to replace all this earthing and change the defected cables </t>
  </si>
  <si>
    <t xml:space="preserve">I have observed expired certification for lifting tools and telescopic crane   </t>
  </si>
  <si>
    <t xml:space="preserve">I inform PTJ HSE to provide new certificate   </t>
  </si>
  <si>
    <t>I have observed lever hoist chain hook have defected safety latch also this hook refused because have welding point and without safety latch
must use sorting hook for this job</t>
  </si>
  <si>
    <t>I inform the HSE PTJ to send it to maintenance</t>
  </si>
  <si>
    <t xml:space="preserve">I have observed wood and paper around the wilder while he wilding .  </t>
  </si>
  <si>
    <t>I inform the HSE PTJ to stop him and clean the area from anything can make fire</t>
  </si>
  <si>
    <t>I have observed sharp edge from plate on the way of worker</t>
  </si>
  <si>
    <t>I inform the PTJ HSE to put cone for warning around workers</t>
  </si>
  <si>
    <t>I have observed welding activity close to gas cylinder</t>
  </si>
  <si>
    <t xml:space="preserve">I inform stope the welder and he take it away with enough distance to safe work.   </t>
  </si>
  <si>
    <t xml:space="preserve">I have observed two worker using the grinder on unsafe way </t>
  </si>
  <si>
    <t>I stop them and give them warning letter.</t>
  </si>
  <si>
    <t>It has been observed good housekeeping, cables management and clear access 
in workshop2</t>
  </si>
  <si>
    <t xml:space="preserve">Three gas cylinders leak has been observed at workshop 1&amp;2 </t>
  </si>
  <si>
    <t>The gas cylinders valves have been closed and the gas cylinders have been 
removed from the workshop</t>
  </si>
  <si>
    <t xml:space="preserve">I have observed defected cable for welding and cable for grinder.   
</t>
  </si>
  <si>
    <t>I inform the welder to change this cable and the grender</t>
  </si>
  <si>
    <t>I have observed the main cable for the electrical panel have cut part</t>
  </si>
  <si>
    <t>I inform the electrical technician to change the cable.</t>
  </si>
  <si>
    <t>I have observed the wilder stand on high scaffolding level without step to go up or down on safe way</t>
  </si>
  <si>
    <t>I inform the PTJ HSE to make step for the wilder to go up or down on safe way</t>
  </si>
  <si>
    <t>I have observed a welder using defected cable for welding.</t>
  </si>
  <si>
    <t>I inform the worker to stop work and change this cable immediately.</t>
  </si>
  <si>
    <t>The wilder before start work ask me it is necessary to use screen at this area 
I said yes 
So he stop and provide screen and continue</t>
  </si>
  <si>
    <t>I have observed flammable material near to hot activity.</t>
  </si>
  <si>
    <t>I stop the wilding immediately and inform the supervisor to take it to the specific place.</t>
  </si>
  <si>
    <t>I have observed using part of wood to increase the level for work position.</t>
  </si>
  <si>
    <t>I stop him and inform the PTJ HSE to bring the scaffolding team to put screw jack to increase the level of the scaffolding</t>
  </si>
  <si>
    <t>I have observed the cranes moving without flag man</t>
  </si>
  <si>
    <t>I stop them , PTJ HSE provide flag man immediately and also make warning paper for both crane operators</t>
  </si>
  <si>
    <t>I have observed poor cable management and the electrical panel near to hot activities</t>
  </si>
  <si>
    <t>I stop them and inform the supervisor to moving the electrical panel and managing the cables</t>
  </si>
  <si>
    <t>I have observed using gas cylinder have defected hose</t>
  </si>
  <si>
    <t>I inform the supervisor to fix this hose.</t>
  </si>
  <si>
    <t>I have observed using scaffolding on high level without safe barricade and access also open the screw jack more than allowed and this scaffolding close the access way for the ladder</t>
  </si>
  <si>
    <t>I inform the supervisor to change this scaffolding also not allowed put chair or unstable parts on the top of the scaffolding and change the ladder position on clear area</t>
  </si>
  <si>
    <t>Manual/Mechanical Handling</t>
  </si>
  <si>
    <t>I have observed the worker moving the gas cylinder without trolley.</t>
  </si>
  <si>
    <t>I inform the supervisor to provide trolly immediately and warning him this situation never repeat again</t>
  </si>
  <si>
    <t>I have observed the basket of cylinders on the road not on safe place</t>
  </si>
  <si>
    <t>I inform the supervisor to provide forklift immediately and moving the basket on safe place.</t>
  </si>
  <si>
    <t>I have observed cup supports full of plastics and welding electrodes.</t>
  </si>
  <si>
    <t xml:space="preserve">The worker put water immediately also he try to clean it but it’s hard to clean, It must take it out and clean it and back to work again
</t>
  </si>
  <si>
    <t>I have observed some of defected cables.</t>
  </si>
  <si>
    <t>I inform the PTJ HSE to send all this cables to electrical workshop some to fix it and another defected
I speak with worker that must check your cables before the work</t>
  </si>
  <si>
    <t>I have observed the safety latch for hoist hook not suitable</t>
  </si>
  <si>
    <t>I inform the supervisor that not accepted and must back to defected area until fix it</t>
  </si>
  <si>
    <t>I have observed painting inside plastic bottle at hiding sides of the workshop.</t>
  </si>
  <si>
    <t>I inform the supervisor to collect all this bottle out of the workshop to storage for painting materials and this painting material must identified and have MSDS</t>
  </si>
  <si>
    <t>Poor housekeeping in Area 1</t>
  </si>
  <si>
    <t>The supervisor has been contacted to conduct housekeeping for the area</t>
  </si>
  <si>
    <t>It has been observed a worker was wearing glasses in a bad condition</t>
  </si>
  <si>
    <t>I got the glasses out of service
I have contacted with the supervisor to provide the worker with glasses in a good condition</t>
  </si>
  <si>
    <t>Two of Corrugated sheets has observed to be loosely fixed and almost fell off</t>
  </si>
  <si>
    <t>The area was secured by stopping work and closing the area until the corrugated sheets were fixed
All corrugated sheets in the area have been checked to make sure they are properly fixed</t>
  </si>
  <si>
    <t>Tools Equipment</t>
  </si>
  <si>
    <t>It has been observed a handmade hand tool, the hammer handle is steel</t>
  </si>
  <si>
    <t>I got the hammer out of service, conduct a survey among the area to ensure hand tool compliance and discuss the risk of Un standard hand tools with the team during the TBT</t>
  </si>
  <si>
    <t>It has been observed poor housekeeping and exist painting waste in the area</t>
  </si>
  <si>
    <t>Housekeeping has been conducted. 
The painting waste has disposed to the hazards waste area. 
The scrabe has removed to the scrabe area</t>
  </si>
  <si>
    <t>It has been observed replacement all rocks using for stabilizing the tarpaulin isolation sheets to metal nails without tripping hazards
Inform sandblasting &amp; painting team to complete that good idea at the site and 
HSE PTJ support them and follow up</t>
  </si>
  <si>
    <t>It has been observed using iron wire for secured the hoses on manometer for gas cylinder</t>
  </si>
  <si>
    <t>I was contacted with welding SV and HSE PTJ for take immediate action and checking all gas cylinders conditions</t>
  </si>
  <si>
    <t>It has been observed storage materials and bad cable management on walk way at workshop 1</t>
  </si>
  <si>
    <t xml:space="preserve">I was interfered and inform construction SV to make re arrangement for cable and remove materials </t>
  </si>
  <si>
    <t>I have observed scaffolding platform 1.5m and the position for work not safe.</t>
  </si>
  <si>
    <t>The supervisor make ladder for access and put barricades to make the worker on safe position but we need the inspector to inspect it and put the green card from the morning shift because we don`t have inspector for night shift</t>
  </si>
  <si>
    <t>I have observed the rigger using only one tagline and not enough to make the load stable.</t>
  </si>
  <si>
    <t>I inform the rigger to use two tagline to make the load more stable</t>
  </si>
  <si>
    <t>I have observed unsafe position for work they put material on one support that make the material not stable</t>
  </si>
  <si>
    <t>I inform the supervisor to move the second support and put the material on stable position</t>
  </si>
  <si>
    <t>Bad housekeeping on scaffolds</t>
  </si>
  <si>
    <t xml:space="preserve">housekeeping has been done </t>
  </si>
  <si>
    <t>Observed an incomplete scaffold with no limitation to its access.</t>
  </si>
  <si>
    <t>Warning tape was added to prevent workers from going up.</t>
  </si>
  <si>
    <t>Argon Gas cylinder need to be Installed</t>
  </si>
  <si>
    <t xml:space="preserve">Asked workers to install and fix the gas cylinders by chains </t>
  </si>
  <si>
    <t>It has been observed that the team maintain good housekeeping at the area</t>
  </si>
  <si>
    <t>observed some steel pieces in  have sharp edegs may cause injury</t>
  </si>
  <si>
    <t>informed fitting supervisor and he had taken the corrective action,</t>
  </si>
  <si>
    <t>un fixed planks of scaffold platform</t>
  </si>
  <si>
    <t xml:space="preserve">Informed scaffold sup to fix and install the planks , he installed it and 
re inspected the rest plat forms </t>
  </si>
  <si>
    <t>Observed some welding electrodes thrown on the ground.</t>
  </si>
  <si>
    <t>All electrodes residue must be collected in buckets.</t>
  </si>
  <si>
    <t>It has been observed that the compressed gas cylinder are not secured by 
chains and there were no caps during its storage.</t>
  </si>
  <si>
    <t>I intervened and ask the supervisor to get the caps and secure the cylinders 
immediately</t>
  </si>
  <si>
    <t>It has been observed poor cable management at W/S 3</t>
  </si>
  <si>
    <t>I immediately suspend the activity till the workforce team maintain the 
management of the cable and ensure the area , clean , safe and tidy</t>
  </si>
  <si>
    <t>It has been observed the block of the access to the main electrical control panel 
at workshop 3 due to storage of material</t>
  </si>
  <si>
    <t>I have intervened and ask the supervisor to remove all the stored material and 
to ensure free access for all the electrical panels</t>
  </si>
  <si>
    <t>Observed welding cable with substandard joint</t>
  </si>
  <si>
    <t>standard joint was done</t>
  </si>
  <si>
    <t>Observed unused grinder left on beams in unsafe position</t>
  </si>
  <si>
    <t>It was removed immediately</t>
  </si>
  <si>
    <t>Bulletin board not found</t>
  </si>
  <si>
    <t>It’s available now</t>
  </si>
  <si>
    <t>Improper arrangement for material/ scrap that form dropped object hazard</t>
  </si>
  <si>
    <t>Situation was remediated immediately</t>
  </si>
  <si>
    <t>Still some workers were not wearing gloves and glasses. Continuous follow-up required</t>
  </si>
  <si>
    <t>They wore them immediately</t>
  </si>
  <si>
    <t>Very good Housekeeping</t>
  </si>
  <si>
    <t>appreciated effort from workers.</t>
  </si>
  <si>
    <t xml:space="preserve">proper waste management </t>
  </si>
  <si>
    <t xml:space="preserve"> appreciated effort from workers.</t>
  </si>
  <si>
    <t>Observed unused cable extended on the ground</t>
  </si>
  <si>
    <t>Welding cables were organized through the area but at the area of the welding transformers still needs improvement as they should be kept in a designated path to prevent being extended haphazardly.</t>
  </si>
  <si>
    <t xml:space="preserve">proper arrangement of welding transformers need to be done </t>
  </si>
  <si>
    <t xml:space="preserve">good handling / material storage </t>
  </si>
  <si>
    <t>Observed many workers involved in a lifting operation in a congested area. And the workpiece was not well secured after placing it on the ground</t>
  </si>
  <si>
    <t>They have been advised to secure it and minimum workers to involved</t>
  </si>
  <si>
    <t xml:space="preserve"> Two Power supply 220 Volts is connected directly which increase the power loss and cable control risk</t>
  </si>
  <si>
    <t xml:space="preserve">Called up the electricity sup and  immediately  connected two power supplies 220 volt to the main distribution panel 380 volt </t>
  </si>
  <si>
    <t xml:space="preserve">Scaffold in good condition and inspected periodically </t>
  </si>
  <si>
    <t>Observed scattered welding electrodes residue</t>
  </si>
  <si>
    <t>Observed unsecured metal piece on beam</t>
  </si>
  <si>
    <t xml:space="preserve"> observed that one of grinders  not wearing  an ears plugs </t>
  </si>
  <si>
    <t>one of fiting team work without complete PPE</t>
  </si>
  <si>
    <t>Observed canvas not well fixed from the wind.</t>
  </si>
  <si>
    <t>Called the scaffolding sv to be well fixed and he did it.</t>
  </si>
  <si>
    <t xml:space="preserve">observed that one of welding cable in improper position above the scaffold causing workers tripping </t>
  </si>
  <si>
    <t>spoke to supervisor to adjust the cables</t>
  </si>
  <si>
    <t xml:space="preserve"> observed that some sharp edge was left without highlighting and it can cause serious injuries</t>
  </si>
  <si>
    <t>Highlighted the serious hazard with fitting supervisor and Ptj HSE at site immediately cover the sharp edge with a cone</t>
  </si>
  <si>
    <t>Kareem Ehab</t>
  </si>
  <si>
    <t>Welding Sup</t>
  </si>
  <si>
    <t>observed scrap box was full</t>
  </si>
  <si>
    <t>informed the sup to keep it empty periodically and he did</t>
  </si>
  <si>
    <t>Observed painting cans with residuals stored on site.</t>
  </si>
  <si>
    <t>Found some tools scattered on the scaffold at the  whch create tripping /dropped Objects  hazards.</t>
  </si>
  <si>
    <t>Eye wash station (Saline Solution) was changed but checklist is Not Found</t>
  </si>
  <si>
    <t>checklist Was added</t>
  </si>
  <si>
    <t xml:space="preserve">Adjusted the position of the beams , the metal sheet is properly rested on beams and secured </t>
  </si>
  <si>
    <t>some unused electrical panel need to transfer out of blasting and painting working area</t>
  </si>
  <si>
    <t xml:space="preserve">electrical panel removed immdiately </t>
  </si>
  <si>
    <t xml:space="preserve">banks man guide the FLT operator as required </t>
  </si>
  <si>
    <t>Good condition of scaffold and Scaff tag system applied and updated as required.</t>
  </si>
  <si>
    <t>Welders were observed standing on temporary cans to reach welding 
positions.</t>
  </si>
  <si>
    <t>Welders were instructed to stop using temporary cans immediately.
➢ Proper and stable scaffolding or work platforms were provided for safe access.
➢ The safety team was notified to reinforce correct working-at-height procedures.</t>
  </si>
  <si>
    <t>It has been observed that a worker were maintaining the over head crane in 
W/Shop 4 using a man lift, while there were no barricades around the working area.</t>
  </si>
  <si>
    <t>Stopped the work and asked the Safety supervisor to put barricade around the working area to avoid people getting heart from any dropped object</t>
  </si>
  <si>
    <t>It has been observed that an Argon gas cylinder hose was not fixed properly</t>
  </si>
  <si>
    <t>Stopped the work and asked the Safety supervisor to rearrange the hose and make sure that the hose has been secured.</t>
  </si>
  <si>
    <t>It was observed that gauge for LPG Cylinder used for pre-heat inside workshop #3 is damaged and gas leak due to valve passing can easily be detected and smelled</t>
  </si>
  <si>
    <t>Informed TFMC HSE Who Suspended hot work activities in the specific location in presence of PTJ HSE And fabrication supervisors till they removed the cylinder away from hot work activities.</t>
  </si>
  <si>
    <t>Conduct standdown with the workforce team to recap  CGC hazardopus and inspection criteria  and what to  do incase a failure observed ion the cylinder</t>
  </si>
  <si>
    <t>It was observed that a big and long piece of pipe left not secured on two points with extension more than 3 m without support and without proper stopper which may roll / fall and hit somebody.</t>
  </si>
  <si>
    <t xml:space="preserve">Informed TFMC HSE Who asked PTJ HSE Supervisor to secure it with another support and install stoppers </t>
  </si>
  <si>
    <t>It was observed before starting activities on night shift that cable management at the entrance of work area not in good condition with presence of some big blocks and may lead to tripping hazard with possibility of falls and injury</t>
  </si>
  <si>
    <t>Informed TFMC HSE Who Suspended the activities in the specific location in presence of PTJ HSE And fabrication supervisors till they corrected the situation.Then allowed them to start the activities</t>
  </si>
  <si>
    <t xml:space="preserve">It has been observed a leak from LPG GGC during the heating process </t>
  </si>
  <si>
    <t>I stopped the jtask , get the cylinder out of service and instruct the team to inspect the whole cylinders  prior starting any operation</t>
  </si>
  <si>
    <t xml:space="preserve">it has been observed a grinder with a damged cable </t>
  </si>
  <si>
    <t>Get the grinder out of service and instruct the workforce team to conduct inpection formthe cabl;e prior any activity</t>
  </si>
  <si>
    <t>it has been observed scraf material and welding rods have been left above the structure / frame after the completion of the task and those may be a PDO and lead to the injury of personnel</t>
  </si>
  <si>
    <t>instruct the team to conduct a houskeeping to maintain the area clean , safe and  tidy proior starting the activities inaddition to coodrinate with the dayshift team for proper hoiuskeeping aftet the task completion for smooth handover</t>
  </si>
  <si>
    <t>it has been observed a pencil grinder with a cut in its cable</t>
  </si>
  <si>
    <t>get it out of service and handed to the electrical supervisor</t>
  </si>
  <si>
    <t>It has been observed angle grinders with electrical cables length 25 M  connected directly to themain panel with no junction installed in it for propere energy isolation</t>
  </si>
  <si>
    <t>I stop the task , conduct standdown with workforce team for proper enegy isolation method (grinder can be left connected while being unattended and while replaceing the disc)</t>
  </si>
  <si>
    <t>Install jnction/connection in the cables of the angle grinder (25 M)  for proper energy Isolation</t>
  </si>
  <si>
    <t>it has been observed poor cable management at W/S 2</t>
  </si>
  <si>
    <t>coordinate with the area supervisor to mainatain proper cable management prior executing the task</t>
  </si>
  <si>
    <t>it has been observed insufficient lighting in the work area</t>
  </si>
  <si>
    <t>coordinate with the supervisor who immediately provide a lighting towerat the area</t>
  </si>
  <si>
    <t>it has been observed poor cable management at area  C</t>
  </si>
  <si>
    <t>it has been observed a CGC cart without a wheel ahich make its movement very hard</t>
  </si>
  <si>
    <t>get the cart out of service and review the condition of the all carts in the area</t>
  </si>
  <si>
    <t>it has been observed compressed gas cylinders are not securedin the rack</t>
  </si>
  <si>
    <t>Immediately secure the cylinders and check the status of the other cylinders in the area</t>
  </si>
  <si>
    <t>A grinder was observed being used above the structure (working at height) with an unsafe grip, which could lead to injury</t>
  </si>
  <si>
    <t>I immediately stopped the work, conducted a stand-down with the whole team 
at Workshop 3</t>
  </si>
  <si>
    <t xml:space="preserve">it has been observed a worker  stand above the fram without any mean of fall protection </t>
  </si>
  <si>
    <t>stop the worker , and conduct onspot coaching for him , provide the employe by a scaffold step to be used during his work</t>
  </si>
  <si>
    <t>it has been observed a grinder operate the angle grinder without put in his gloves</t>
  </si>
  <si>
    <t>immediately I intervene and stop him untill he put in the safety gloves</t>
  </si>
  <si>
    <t>It has been observed unsecured PQR material stored verticallay on a ballet , considerd a PDO</t>
  </si>
  <si>
    <t>Store the material properly and secure them</t>
  </si>
  <si>
    <t xml:space="preserve">It has been observed material stored above the frames which may be a PDO </t>
  </si>
  <si>
    <t>remove all the stored material</t>
  </si>
  <si>
    <t>Cascade instructions during the massive TBT that store material above the frame or left it on it during the work execution is prohibtied</t>
  </si>
  <si>
    <t>It has been observed poor storage for CGC as  there is no segregation between them</t>
  </si>
  <si>
    <t>Segregate the stored CGC immediately and conduct a survey for the rest of the stored CGC status</t>
  </si>
  <si>
    <t>Poor Housekeeping and cable management at WS 3</t>
  </si>
  <si>
    <t>the team maintain HK and proper cabvle managem,ent at the area</t>
  </si>
  <si>
    <t>it has been observed and abgle grinder without a dead man swittch</t>
  </si>
  <si>
    <t>Immediatelyt I got the angle grinder out of service and conduct a survey to check the status of the rest of the angle grinders</t>
  </si>
  <si>
    <t>A grinder was grinding a metal work piece without securing it.</t>
  </si>
  <si>
    <t>Stop him and inform him to secure the metal piece using a vice.</t>
  </si>
  <si>
    <t>Safe Handling Of gas cylinder on trollys , secured by chain and provided with protection cap</t>
  </si>
  <si>
    <t xml:space="preserve">observed that all pile  , machines in site  have been earthed </t>
  </si>
  <si>
    <t>Clear access ways in the project area that enable easy access and egress from the area.</t>
  </si>
  <si>
    <t>normed the grinder , he adjusted the position of machine and secured it</t>
  </si>
  <si>
    <t>Inform PTJ HSE Officer and he informed the welders to remove the cables 
away and carry out proper cable management .</t>
  </si>
  <si>
    <t>Welder observed seating on the top of a frame approximately 1.5 m height 
without any protection from falling and also there was no safe access, which may fall if lose his balance and got serious injuries.</t>
  </si>
  <si>
    <t>He was stopped and potential hazard was clarified immediately, PTJ HSE was informed to follow up similar cases and work supervisor was instructed to provide sufficient access platform for that task.</t>
  </si>
  <si>
    <t>It was observed that all banksman in the area not wearing high visibility jackets when performing there job and given signals to crane operators</t>
  </si>
  <si>
    <t xml:space="preserve">some scrap Was found  on the ground causing some  tripping hazard </t>
  </si>
  <si>
    <t xml:space="preserve">The supervisor was informed and removed immediately. </t>
  </si>
  <si>
    <t xml:space="preserve">observed that scaffolding material scattered on the working area without arrangement </t>
  </si>
  <si>
    <t>material was arranged immediately After inform scaffolding SUP</t>
  </si>
  <si>
    <t>Mostafa Amin</t>
  </si>
  <si>
    <t>It has been observed lack of PPRE of some team members at the night shift</t>
  </si>
  <si>
    <t>I stpped the job ,.get them out of the working area inaddition to share with PTJ the observation to provide PPE for the team</t>
  </si>
  <si>
    <t>it has been observed a grinder working with the angle grinder while there was a cut at the cable</t>
  </si>
  <si>
    <t xml:space="preserve"> have stopped the job , get the grinder out of service and instruct all the the fitters at the workshop to inspect the anle grinder cables </t>
  </si>
  <si>
    <t xml:space="preserve"> A worker has completely checked the gas cylinder parts before usage, to ensure that cylinder, hose, pressure regulator and burning torch are safe to use.</t>
  </si>
  <si>
    <t>Observed crane blocking the access way and will remain in the same position.</t>
  </si>
  <si>
    <t>Another access way was made in the project area</t>
  </si>
  <si>
    <t>Observed scattered welding electrodes residue on top of scaffolds and under structures - trash bin placed in improper  place</t>
  </si>
  <si>
    <t>Buckets were provided to welders to maintain good housekeeping -trash bin relocated immediately</t>
  </si>
  <si>
    <t>Welding cables were not well organized.</t>
  </si>
  <si>
    <t>Cable management was done</t>
  </si>
  <si>
    <t xml:space="preserve">Good and safe scaffold / means of access </t>
  </si>
  <si>
    <t>Housekeeping improvement is required.</t>
  </si>
  <si>
    <t>Cable management: not used earthing cable is connected to structure causing mess cable management.</t>
  </si>
  <si>
    <t xml:space="preserve">Good cable management </t>
  </si>
  <si>
    <t>Observed welder was wearing full PPE (Coverall-face shield-gloves-leather sleeves-apron) and using buckets to collect welding residue to maintain good housekeeping</t>
  </si>
  <si>
    <t>observed that small wooden pieces on the ground that hinder workers while walking</t>
  </si>
  <si>
    <t>The supervisor has been notified and the wood pieces have been removed immediately</t>
  </si>
  <si>
    <t xml:space="preserve"> observed  some metal piece was left in the access way which may cause tripping hazards.</t>
  </si>
  <si>
    <t>Highlighted the tripping hazard and the poor housekeeping with area supervisor and he arranged for the corrective action immediately</t>
  </si>
  <si>
    <t>Observed a grinder was operating and did not secure the workpiece which may fall during work,</t>
  </si>
  <si>
    <t>Stopped the grinder and spoke to him about a safe way of work and he secured the workpiece and returned to work.</t>
  </si>
  <si>
    <t>observed that no scrab waste basket inside the site</t>
  </si>
  <si>
    <t xml:space="preserve"> supervisor has been notified and a basket has been provided</t>
  </si>
  <si>
    <t xml:space="preserve">It has been observed blocked access for the scaffold at the area </t>
  </si>
  <si>
    <t>remove the material stored infront the scaffold access</t>
  </si>
  <si>
    <t>Poor Housekeeping at the area</t>
  </si>
  <si>
    <t>The team maintain the housekeeping at the area</t>
  </si>
  <si>
    <t>It has been observed uncovered hall of the ballet while the team executing activties above it which may lead to potential fall of personnel</t>
  </si>
  <si>
    <t>Erect a guard rail around the opening</t>
  </si>
  <si>
    <t>It has been observed poor lighting at the area</t>
  </si>
  <si>
    <t>an extra  lighting tower provided to cover the area</t>
  </si>
  <si>
    <t>The use the cupboard of the Co2 welding machine  as a storage container</t>
  </si>
  <si>
    <t>Free the cupboard and rearrangement for it</t>
  </si>
  <si>
    <t xml:space="preserve">it has been observed the Co2 cylinders are operated without placeing the cap of the CGC </t>
  </si>
  <si>
    <t>immediately I install the cap on all CGC</t>
  </si>
  <si>
    <t>It has been observed a fitter executing a cutting activity while the hoses are 
directly underneath the resulted spark</t>
  </si>
  <si>
    <t>I have intervened and stop the work immediately rectify the hoses management
and conduct on spot coaching for the all fitters on the area</t>
  </si>
  <si>
    <t>It has been observed material stored above the frames which may be a PDO</t>
  </si>
  <si>
    <t>immediately put the material down and instruct  the teamto don’t store any material above the frames</t>
  </si>
  <si>
    <t>still observe presurreized CGC while being unattended</t>
  </si>
  <si>
    <t>Release the pressure from the CGC and check the status of the other cylinders prior start executing the task and emphasize during the TBT to release the pressure of the CGC while being unattended</t>
  </si>
  <si>
    <t xml:space="preserve">It has been observed poor cable management at area b </t>
  </si>
  <si>
    <t>Stop the work and maintain cable management at the area then resume the activities at the area</t>
  </si>
  <si>
    <t>It has been observed lack of PPE of some team members at the night shift</t>
  </si>
  <si>
    <t>It has been observed the team left the angle grinders connected to the electricity while not being used</t>
  </si>
  <si>
    <t>Isolate the angle grinder and instruct the team to ensure isolation of the power tool while being not used</t>
  </si>
  <si>
    <t xml:space="preserve">observed welding cables and electrical cables are separated properly </t>
  </si>
  <si>
    <t>Observed defective webbing sling that needs to be excluded from site.</t>
  </si>
  <si>
    <t>It has been excluded immediately.</t>
  </si>
  <si>
    <t xml:space="preserve">observed grinder was working without waering gloves </t>
  </si>
  <si>
    <t>Worker on the scaffold with yellow card without a safety harness.</t>
  </si>
  <si>
    <t xml:space="preserve">A work spot haven't emergency access </t>
  </si>
  <si>
    <t xml:space="preserve">ask the area sup to open agate in the hared barricade and make emergency access  </t>
  </si>
  <si>
    <t xml:space="preserve">cables need to arrangement </t>
  </si>
  <si>
    <t>Ask the welding sup to arrangement the cables and he do it immediately</t>
  </si>
  <si>
    <t>Poor housekeeping underneath the structure.</t>
  </si>
  <si>
    <t xml:space="preserve">housekeeping is done </t>
  </si>
  <si>
    <t xml:space="preserve">one of the welders work without full PPE  </t>
  </si>
  <si>
    <t>stopped him and tolk with him aabout the nessesry of PPE and he wear his full PPE</t>
  </si>
  <si>
    <t>CPY observed a proper Housekeeping for fabrication activities included prefabrication and welding/NDE, have been carried out properly, inside fabrication workshop#3.</t>
  </si>
  <si>
    <t>CPY observed a proper lifting operation has been carried out, during lifting / moving pad eyes using gantry crane, inside main fabrication workshop#1.</t>
  </si>
  <si>
    <t>CPY approach TFMC / PTJ HSE representative, to encourage the whole team have been involved in the lifting operation, for their commitment to HSE rules and requirements during the execution.</t>
  </si>
  <si>
    <t>Lack of wearing basic / mandatory PPE (Clear Glass) by welding and rigging teams, inside all fabrication workshops.</t>
  </si>
  <si>
    <t>Discussed the point in person with the team, then informed PTJ/ TFMC HSE, to provide a basic / mandatory PPE to the welding and rigging teams.
CPY recommended to reiterate this topic during the TBT to encourage the WELDING team for wearing proper PPE inside workshop.</t>
  </si>
  <si>
    <t>CPY observed that, leftover of Wooden ballet with stand nails at the end of Workshop #1.</t>
  </si>
  <si>
    <t>Informed Petrojet TFMC / HSE, to do all necessary for proper housekeeping for this specific part of Workshop #1.
Ensure this topic will be re-highlighted during TBT, to encourage PTJ workers to keep all yard facilities clean inline with HSE CPY requirements.</t>
  </si>
  <si>
    <t>CPY observed that, PTJ supervisions not intervening when seeing workers doing unsafe act;</t>
  </si>
  <si>
    <t>CPY approached TFMC / PTJ HSE, to do all necessary corrective actions for this concern and encourage / ensure that PTJ supervisions are intervening all unsafe act.
CPY recommended to reiterate and reinforce this topic to encourage PTJ supervisions are intervening all unsafe act.</t>
  </si>
  <si>
    <t>During a walkthrough in the yard, I noticed admin employee of PETROJET talking on the phone while walking</t>
  </si>
  <si>
    <t>Advised him not to use the phone while walking as this is unsafe behavior.</t>
  </si>
  <si>
    <t>Develop a Plan that idenify the usage of the mobile phones and its restrictions at the wotk site</t>
  </si>
  <si>
    <t>Advised him to use chemical mask during painting process to protect his lungs from inhaling any VOC(volatile organic compound).</t>
  </si>
  <si>
    <t xml:space="preserve">During mechanical repairs for steel structure after blasting, it was noticed that some technician was using the grinding machine without gloves.
</t>
  </si>
  <si>
    <t>Advised him to use proper gloves to avoid any injury to his hands.</t>
  </si>
  <si>
    <t>While in the blasting yard, it was noticed that a technician was not using his earplugs during blasting process.</t>
  </si>
  <si>
    <t>Advised him to use his earplugs during blasting</t>
  </si>
  <si>
    <t>CPY noted that a lifting of a structural support activity was ongoing, when CPY observed that the banksman had his hands all over the lifted structure, likewise the one of the road tag guys. The other had a tag line attached but was doing nothing.</t>
  </si>
  <si>
    <t>CPY requested that the rigging banksman stopped the work while CPY proceeded to discuss the lack of rigging performances. It was very obvious that the rigging crew did not thing right within the correct lifting methodologies and therefore CPY liaised with PTJ HSE advisor to request that all be given training or remove from project.</t>
  </si>
  <si>
    <t>PTJ complete training and follow up at site by rigging supervisor / HSE team to ensure rigging crew know what and how to do their skill.</t>
  </si>
  <si>
    <t>PTJ Fab Manager</t>
  </si>
  <si>
    <t xml:space="preserve">CPY noted that a PTJ workers was sitting in W/S #1 with no glasses on and sleeves
rolled up. Following CPY interaction it was noted that worker had not completed
the site HSE induction and had no visible label / sticker on his helmet.
This is a blatant violation, and which has been discussed on several occasions,
these PTJ workers are placed within a very hazard fabrication workshop and
without knowledge on how to conduct his job safety while in such a hazardous
area is basically incorrect and has a high probability of an incident </t>
  </si>
  <si>
    <t>CPY intervened and requested PTJ HSE and TFMC HSE Advisors to remove worker
from fabrication shop, complete the induction and then return to work.
PTJ HSE Manager and Construction Management to ensure all personnel have
completed the mandatory HSE site induction(s). PTJ are fully responsible and
accountable for this requirement.</t>
  </si>
  <si>
    <t>CPY noted that a PTJ several workers are not wearing the safety glasses while in the fabrication yard.</t>
  </si>
  <si>
    <t>CPY intervened and requested PTJ workers to put their safety glasses on as per advertised by the yard wide PPE related safety boards.
PTJ to reiterate during TBT(s) and discuss the consequences of workers not
wearing correct PPE.</t>
  </si>
  <si>
    <t>One welder was noticed in unsafe position during carrying out welding operation.</t>
  </si>
  <si>
    <t>I highlighted the issue to area HSE.
This unsafe condition was brought to the attention of PTJ area HSE officer.</t>
  </si>
  <si>
    <t>One worker was noticed very close to heating torch during performing welding preheat.</t>
  </si>
  <si>
    <t>During inspection it was observed that Co2 welding machine cable was raped with duct tape.</t>
  </si>
  <si>
    <t>Informed TFMC &amp; PTJ HSE and the duct tape was removed and double cable isolation was added by shift electrician.
1- All Equipment’s must be inspected before starting any task.
2- Any defect equipment should be removed from site.
3- After completing the task pressure must be released.</t>
  </si>
  <si>
    <t>During inspection it was observed Gas cylinder hose damaged.</t>
  </si>
  <si>
    <t>Informed PTJ supervisor that he either change the hose or remove the cylinder from WS.
1- All Equipment’s must be inspected before starting any task.
2- Any defect equipment should be removed from site.
3- After completing the task pressure must be released.</t>
  </si>
  <si>
    <t>During inspection it was observed that the scaffolding step used by welder is high and he is not secured, also the wood of the step was not arranged properly and easily trip the welder.</t>
  </si>
  <si>
    <t>Informed the welders to come down informed TFMC HSE to bring the scaffolder and come, I advised the scaffolder to erect to sides with mid rail and hand rail the third side kept so the welder can use the ladder of the main scaffolding on the frame to come down.
1- Any working at heights should be secured by scaffolding.
2- Scaffolding to have green Scaff tag on it.
3- Any worker should study first his position and where he will work and if
he needs modification, he should ask not put himself at risk.</t>
  </si>
  <si>
    <t>During inspection it was observed webbing sling with signs of abrasion and sparks burning traces.</t>
  </si>
  <si>
    <t>Informed PTJ Rigger supervisor not use it and informed TFMC HSE to follow its not used.
1- All lifting devises shall be inspected and certified by component person.
2- TFMC Has to monitor all lifting devises and ensure color code, condition
and certificate are in place.
All defect lifting gear shall be removed by PTJ HSE and damaged it.</t>
  </si>
  <si>
    <t>During inspection it was observed that the maid rail and hand rail were removed by PTJ day shift workers not PTJ day shift scaffolder as we checked with day shift scaffolders b phone and they did not remove.</t>
  </si>
  <si>
    <t>Advised PTJ Scaffolder to erected again since there will be work on it.
Informed TFMC HES to pass the concern to day sift to understand who
authorized it and how normal workers can remove tubes without scaffolders presents.
"Informed PTJ Rigger supervisor not use it and informed TFMC HSE to follow its not used.
1- All lifting devises shall be inspected and certified by component person.
2- TFMC Has to monitor all lifting devises and ensure color code, condition
and certificate are in place.
All defect lifting gear shall be removed by PTJ HSE and damaged it."</t>
  </si>
  <si>
    <t>During inspection it was observed PTJ welder wrong position standing on scaffolding tube and can easily slip and trip.</t>
  </si>
  <si>
    <t>Stopped the welder at once and advised him to stand properly on the scaffolding step to secure himself while working.
1- Welders should stand properly on the scaffolding step.
2- Any additional modification he should request from scaffolder
3- Workers always should secure their position while working.</t>
  </si>
  <si>
    <t>During inspection it was observed that WS require housekeeping.</t>
  </si>
  <si>
    <t>Informed PTJ area supervisor and TFMC HSE to follow.
1- Housekeeping should be carried on frequent basis.
2- Night shift should have housekeepers.
3- Day shift should handover the WS’s with housekeeping carried out</t>
  </si>
  <si>
    <t>During inspection it was observed gas cylinder leaking from the flashback arrestor.</t>
  </si>
  <si>
    <t>Informed the welder to replace the clamps first and re-test also to check the flashback arrestor.
1- Equipment’s should be inspected before start any task.
2- Leak test should be carried out on all connections.
3- Any defected connection shall be replaced.
4- Depressurized the cylinder after completing the task.</t>
  </si>
  <si>
    <t>During inspection it was observed that PTJ decided to combine both scaffolding that was done due to the high scaffolding was not secured enough, but PTJ scaffolding created a serios trip hazard.</t>
  </si>
  <si>
    <t>Informed PTJ scaffolder to bring longer wood so no trip hazard at all, advised TFMC to follow and it was done.
1- Any working at heights should be secured by scaffolding.
2- Scaffolding to have green Scaff tag on it.
3- Any worker should study first his position and where he will work and if
he needs modification, he should ask not put himself at risk.
4- Trip hazard should be removed from scaffolding</t>
  </si>
  <si>
    <t xml:space="preserve">Chris Eaton </t>
  </si>
  <si>
    <t>During site inspection, I noticed a grinder doing some activity without paying attention to the where the sparks are directed, not considering the shielding screen as a main item for his work. 2. And sparks were directed to a near gas cylinder.</t>
  </si>
  <si>
    <t>I Informed the safety guy from PTJ, and he instructed him to out the shielding screen.</t>
  </si>
  <si>
    <t>During safety site tour, I noticed Scrap material items in several location in the outside area of workshop#1, not in the place dedicated for scrap and bad staking, which hinders works in the surrounding area</t>
  </si>
  <si>
    <t>During site inspection in outside fabrication area #1, I observed a damaged welding cable being used by a welder.</t>
  </si>
  <si>
    <t>Instantly, I took the corrective action by stopping the welder and instructing him to notify the electrical technician to replace the cable.</t>
  </si>
  <si>
    <t>During a site inspection in Outside Fabrication Area #1, I observed a banksman standing on top of the MADMAT framing on a beam to guide the crane during a lift of one small PADEYE.</t>
  </si>
  <si>
    <t>I stopped him from work and contacted TFMC HSE rep., and he took the corrective action.</t>
  </si>
  <si>
    <t>In the Blasting&amp;Painting area it was observed that large size boulders/rocks were being used to secure ground coverage PVC sheeting – creating tripping hazards for workers in the immediate area</t>
  </si>
  <si>
    <t>PTJ HSE requested to remove the boulders/rocks to eliminate tripping hazards for workers in the immediate area.
PTJ Supervisor and HSE tutored on the importance of eliminating tripping
hazards in work areas.</t>
  </si>
  <si>
    <t>Worker grinding without safety gloves</t>
  </si>
  <si>
    <t xml:space="preserve">PTJ Worker sent to the PTJ HSE Manager for reinduction training.
. Instructed TFMC/PTJ HSE to remove the worker from site and send him for
Induction retraining </t>
  </si>
  <si>
    <t>Good cable management observed in WS#2 walkways</t>
  </si>
  <si>
    <t>Commended the workers and PTJ HSE for safe housekeeping practices</t>
  </si>
  <si>
    <t>TFMC/Total Offices</t>
  </si>
  <si>
    <t>Good housekeeping in PMT office walkway areas</t>
  </si>
  <si>
    <t>Commended the workers and PTJ Admin for safe housekeeping practices</t>
  </si>
  <si>
    <t>It has been observed the poor condition of the welding habitat that need immediate replacement</t>
  </si>
  <si>
    <t>Instruct the supervisor , scaffold team to replace the habitat immediately</t>
  </si>
  <si>
    <t>it has been observed cups support the plates with out identified SWL</t>
  </si>
  <si>
    <t xml:space="preserve">stop the work at that frame , barricade it till the SWL is identified and posted on it </t>
  </si>
  <si>
    <t>it has been observed a jack support with only 3 legs ( rejected at the site)</t>
  </si>
  <si>
    <t>Get I out the service and conduct a surevy among the rest supports</t>
  </si>
  <si>
    <t>it has been observed poor cable management and workshop 1</t>
  </si>
  <si>
    <t>Maitain cable management at the area</t>
  </si>
  <si>
    <t>it has been observed a compressed gas cylinder stored in a rack with out being secured</t>
  </si>
  <si>
    <t>secure the cylinder</t>
  </si>
  <si>
    <t>the wind speed increased at the site that may affect the lifitng operation</t>
  </si>
  <si>
    <t>suspend lifting operation at the site</t>
  </si>
  <si>
    <t>it has been observed crane operator placed the counter weight the access walkway</t>
  </si>
  <si>
    <t>it has been observed a grinder with out secondry hand</t>
  </si>
  <si>
    <t>it has been observed a handmade hammer</t>
  </si>
  <si>
    <t>Get it out of service</t>
  </si>
  <si>
    <t>It has been observed  a leaking cylinder at workshop 1</t>
  </si>
  <si>
    <t>Get the cylinder out the area , to the quarantine area</t>
  </si>
  <si>
    <t>it has been observed bags hanged around the w/s which may be a potential fire</t>
  </si>
  <si>
    <t>Rempove the bags from the area</t>
  </si>
  <si>
    <t>poor housekeeping at workshop 2</t>
  </si>
  <si>
    <t>Maintain  HK at the area</t>
  </si>
  <si>
    <t>poor housekeeping at open area 1</t>
  </si>
  <si>
    <t>Maintain HK at the area</t>
  </si>
  <si>
    <t>No recording for the tempereture at the chemical storage area container</t>
  </si>
  <si>
    <t>Instruct the SV to maintain redcording the temp and post the checklist in the storage area</t>
  </si>
  <si>
    <t>it has been observed poor stacking for the material at workshop 1</t>
  </si>
  <si>
    <t>rearrange the material with proper stacking</t>
  </si>
  <si>
    <t>it has been observed a lot of cigarrated butts on the ground at the smoking area</t>
  </si>
  <si>
    <t xml:space="preserve">it has been observed poor houskeeping at workshop 4 </t>
  </si>
  <si>
    <t>it has been observed poor condition of Tarps at area 4</t>
  </si>
  <si>
    <t>Replace it immediately</t>
  </si>
  <si>
    <t>it hs been observed a lifting operation in place without barricading the area</t>
  </si>
  <si>
    <t>stop the work till barricade the exclusion zone</t>
  </si>
  <si>
    <t>Instructed the lifting sup to relocate his position to be away from the line of fire , TOFS Held with lifting crew to highlight the issue , Line of fire stand down was done to highlight the risk of being in the line of fire.</t>
  </si>
  <si>
    <t xml:space="preserve">one worker standing next to the crane during lifting operation </t>
  </si>
  <si>
    <t>Instructed the worker to go away the manuvering crane area</t>
  </si>
  <si>
    <t xml:space="preserve">Good securing of gas cylinders on trolly provided with protection caps /Flash back arrestor and fixed by chains. </t>
  </si>
  <si>
    <t>It has been observed that there is a good house keeping in Yard space Area C</t>
  </si>
  <si>
    <t xml:space="preserve">Observed welding cable with substandard joint which may led to electric / fire hazard </t>
  </si>
  <si>
    <t xml:space="preserve">Texas connection was  done </t>
  </si>
  <si>
    <t>Observed unused grinder left on  Plet  in unsafe position</t>
  </si>
  <si>
    <t>t was removed immediately</t>
  </si>
  <si>
    <t>During HSE inspection of site I noticed that still some workers doesn’t have TFMC HSE Induction stickers on their helmets and when I asked them, they confirmed that they only attend PTJ INDUCTION but did not take stickers but not inducted by TFMC HSE</t>
  </si>
  <si>
    <t>Informed TFMC HSE Advisor and HSE TL Whom removed them from site immediately till arranging a session to finalize this issue.</t>
  </si>
  <si>
    <t>The noncompliance has been transferred to the TFMC HSE TL for further intervention and follow up.</t>
  </si>
  <si>
    <t>During HSE inspection of site I noticed that still some workers doesn’t have TFMC /PTJ HSE Induction stickers on their helmets and when I asked them, they confirmed that they only attend PTJ INDUCTION but did not take stickers but not inducted by TFMC HSE</t>
  </si>
  <si>
    <t>Informed TFMC HSE Advisor and HSE TL Whom arranged a day and night sessions to finalize this issue although PTJ Confirmed that all project employees are inducted</t>
  </si>
  <si>
    <t>Fitting Supervisor</t>
  </si>
  <si>
    <t>mproper arrangement for material/ scrap that may lead to dropped object hazard</t>
  </si>
  <si>
    <t>Contractor/Subcontractor doesn’t perform a deep check for all grinding machines prior each use or when adding the color code to find out what is missing which may lead to serious injuries.</t>
  </si>
  <si>
    <t>The potential hazard was explained to them and advised to remove it from site until installing the hands, replacing the covers and ensure a safe operate of the machines especially dead man switch.</t>
  </si>
  <si>
    <t>Contractor / subcontractor shall deeply check all grinding machines prior use at each shift and remove the color code if nonconformity</t>
  </si>
  <si>
    <t>It has been observed that the cables has been arranged in a proper way</t>
  </si>
  <si>
    <t>Welding Supervisor</t>
  </si>
  <si>
    <t>Housekeeping has been performed</t>
  </si>
  <si>
    <t>during ascending the scaffold observed scaffold tube which installed the scaffold canvas in the same level of the head that  may lead to collision with head .</t>
  </si>
  <si>
    <t xml:space="preserve">removed scaffold tube </t>
  </si>
  <si>
    <t>observed a worker transporting an electric panel without any assisstance</t>
  </si>
  <si>
    <t>Stopped him and called another worker to help him carrying the panel And the issue was highlighted in the next TBT</t>
  </si>
  <si>
    <t>observed the supervisor  keep  scrap box empty periodically</t>
  </si>
  <si>
    <t>Grinders Supervisor</t>
  </si>
  <si>
    <t>Stopped the worker, and instructed him</t>
  </si>
  <si>
    <t>Grinding Supervisor</t>
  </si>
  <si>
    <t xml:space="preserve">Improper cable management </t>
  </si>
  <si>
    <t xml:space="preserve">Observed that some  lifting shackles and hand chain blocks without color code </t>
  </si>
  <si>
    <t>Asked the rigging supervisor to inspect the tools  and apply the right colorcode</t>
  </si>
  <si>
    <t>observed a fitter carrying support without gloves</t>
  </si>
  <si>
    <t xml:space="preserve">Adviced hime to wear the gloves  , he did </t>
  </si>
  <si>
    <t>CPY observed that, there is a modification has been made for some fabrication support which is lifting the structure up from the support and not fully rested on it.</t>
  </si>
  <si>
    <t>CPY recommended to. ensure that all structures are fully rested on the fabrication support (full contact points). In addition to that, PTJ to remove the weight block wherever located on top of the portable fabrication stands.</t>
  </si>
  <si>
    <t>During monitoring and surveillance outside WS.2, observed poor housekeeping for metal scrap without boxes due to using cold cutting machine.</t>
  </si>
  <si>
    <t>Stopped the worker, and instructed him to using boxes for metal scrap.</t>
  </si>
  <si>
    <t>Informed HSE PTJ about this case to prevent recurrence.</t>
  </si>
  <si>
    <t>Outdated helmets were seen when I inspected the PPE of some workers.</t>
  </si>
  <si>
    <t>Communicated to TECHNIP formally by email and to the blasting yard engineer.</t>
  </si>
  <si>
    <t>Subject to be highlighted during the weekly TBT.</t>
  </si>
  <si>
    <t xml:space="preserve">stop him and inform him to wear a safety glassess and comply with site PPE , violation was done </t>
  </si>
  <si>
    <t>He was stoped  from work and instructed to wear</t>
  </si>
  <si>
    <t xml:space="preserve">Area Supervisor </t>
  </si>
  <si>
    <t>observed grinder was working without ear plugs</t>
  </si>
  <si>
    <t>Stoped him to remove the wooden plate , advised him not to use combustible material near hot work area</t>
  </si>
  <si>
    <t>Stop him and inform him to remove the gas cylinder from the area</t>
  </si>
  <si>
    <t>Area Supervisor</t>
  </si>
  <si>
    <t>Scaffold Supervisor</t>
  </si>
  <si>
    <t>Inormed the grinder , he adjusted the position of machine and secured it</t>
  </si>
  <si>
    <t>It was observed Noncompliant from contractor /subcontractors for using correct and good condition PPE Including (glasses, face shield, helmets. Safety shoes and coveralls) due to shortage of distribution</t>
  </si>
  <si>
    <t>TFMC / PTJ HSE was instructed to adhere to CPY Instructions and to provide all the required PPE and its accessories for workforce.</t>
  </si>
  <si>
    <t>Continues follow up / inspection by contractor and subcontractor for work site to insure compliant of PPE.</t>
  </si>
  <si>
    <t>CPY noted that a lot of areas within the fabrication outdoor areas have unsafe and in poor condition(s) habitats</t>
  </si>
  <si>
    <t>CPY discussed with PTJ HSE Manager and Supervisor to implement corrective actions. Remove/replace or ensure habitats are in safe/good condition.</t>
  </si>
  <si>
    <t>CPY requests PTJ Management/supervision to take control of their facilities and ensure that workers have a safe environment to accordingly do their activities.</t>
  </si>
  <si>
    <t>Note Some electrical and welding cables are unused and need to be excluded</t>
  </si>
  <si>
    <t xml:space="preserve"> Electrical and welding cables were excluded</t>
  </si>
  <si>
    <t>observed that one of welding cable in improper position above the scaffold causing workers tripping</t>
  </si>
  <si>
    <t xml:space="preserve">spoke to supervisor to adjust the cables </t>
  </si>
  <si>
    <t>Observed a grinder working without his Leather sleeves and apron</t>
  </si>
  <si>
    <t>Stopped him and let him wear his it immediately.</t>
  </si>
  <si>
    <t>instructed the worker to go away the manuvering crane area</t>
  </si>
  <si>
    <t xml:space="preserve">Grinding Supervisor </t>
  </si>
  <si>
    <t>observed presence of a metal object in front of the scaffold's ladder (Tripping hazard )</t>
  </si>
  <si>
    <t xml:space="preserve">spoke to sups  to do re-arrangement of objects and clear access ways to the scaffolds </t>
  </si>
  <si>
    <t>Observed scattered welding electrodes residue on top of scaffolds and under structures</t>
  </si>
  <si>
    <t>One of the welding cable was observed extended without use</t>
  </si>
  <si>
    <t>CPY observed that, PTJ workers copious amounts resting/relaxing and not focused on fabrication activities during normal working hours.</t>
  </si>
  <si>
    <t>Informed TFMC / PTJ management, to do all necessary corrective actions for this specific concern which has been seen at several Work areas.</t>
  </si>
  <si>
    <t>Ensure this topic will be re-highlighted during TBT, to encourage PTJ workers to follow the timing scheduled for break and resting etc.….</t>
  </si>
  <si>
    <t>It was observed that most of CGC Doesn’t have the correct / standard identification color code as per standard although the identification singe is posted /distributed at the site</t>
  </si>
  <si>
    <t>TFMC HSE Manager and PTJ HSE Manager have been advised to take the necessary action and correct the situation.</t>
  </si>
  <si>
    <t>The subcontractor should provide standard color coded CGC For project site</t>
  </si>
  <si>
    <t>CPY observed several pieces of unit weights being manufactured on site. Pieces of scrap metal is being placed within the drums. Thereafter welded shut and without determining the weight or showing any base design report.</t>
  </si>
  <si>
    <t>CPY recommended to ensure that items which are subject to lifted to be fully inspected and released based on official design report and QC report.</t>
  </si>
  <si>
    <t xml:space="preserve">observed that one of welders was smoking in fabrication area </t>
  </si>
  <si>
    <t>Warning to him not to repeat, and a violation of safety instructions was issued to him</t>
  </si>
  <si>
    <t>one of welders was working without proper PPE (Mask )</t>
  </si>
  <si>
    <t>told the worker to wear his PPE all the time during  working .</t>
  </si>
  <si>
    <t>Grinder</t>
  </si>
  <si>
    <t xml:space="preserve">one worker  not wearing  a safety gloves </t>
  </si>
  <si>
    <t>Stopped him to wear safety glassess</t>
  </si>
  <si>
    <t>Some of the electrical panels do not have the warning signs,</t>
  </si>
  <si>
    <t>Electrical hazard sign is dispalyed on the panel</t>
  </si>
  <si>
    <t xml:space="preserve">Reinspection was done for all electrical panels and updated check lists </t>
  </si>
  <si>
    <t>The supervisor has been notified</t>
  </si>
  <si>
    <t>It has been observed that the team comply with site PPE especially the ear plug at the W/S</t>
  </si>
  <si>
    <t xml:space="preserve">Stoped him to remove the wooden plate , advised him not to use combustible material near hot work area /Advised him not to use combustible material near hot work area </t>
  </si>
  <si>
    <t xml:space="preserve">observed that small wooden pieces on the ground that may lead to tripping hazard </t>
  </si>
  <si>
    <t>The supervisor has been notified and the wood pieces have been removed immediatel</t>
  </si>
  <si>
    <t xml:space="preserve">Advised him not to use combustible material near hot work area </t>
  </si>
  <si>
    <t xml:space="preserve">some sharp edges need to be highlighted </t>
  </si>
  <si>
    <t>Asked area Sup to highlight sharp edges in site and they have been highlighted.</t>
  </si>
  <si>
    <t>housekeeping has been done</t>
  </si>
  <si>
    <t>Welding cables were not well organized</t>
  </si>
  <si>
    <t>houskeeping was done immediately</t>
  </si>
  <si>
    <t>Supervisor</t>
  </si>
  <si>
    <t xml:space="preserve">Stopped the grinder , instructed him to send the macchine to electric dept to change the cable , he did </t>
  </si>
  <si>
    <t>Scaffolding  Supervisor</t>
  </si>
  <si>
    <t>Observed that grinding motor cable without color code</t>
  </si>
  <si>
    <t xml:space="preserve">Infromed Grinding sup to inspect grinding motor cables and put the valid color code </t>
  </si>
  <si>
    <t>quick reposne from PTJ by providing proper lighting during the night shift</t>
  </si>
  <si>
    <t>Note  Some electrical and welding cables are unused and need to be excluded</t>
  </si>
  <si>
    <t xml:space="preserve"> electrical and welding cables were excluded</t>
  </si>
  <si>
    <t>Observed that there are materials not related to the project stored in the project area</t>
  </si>
  <si>
    <t xml:space="preserve">Informed Maintenance Dept to remove it </t>
  </si>
  <si>
    <t xml:space="preserve">Small pipe in the access way </t>
  </si>
  <si>
    <t xml:space="preserve">it was removed immediately </t>
  </si>
  <si>
    <t>Gas cylinder with empty bubble test bottle</t>
  </si>
  <si>
    <t>Observed one scaffold without identifcation scaff tag</t>
  </si>
  <si>
    <t>called up the scaffold sup to inspect the scaffold and identify the scaff tag</t>
  </si>
  <si>
    <t>The team maintain proper houskeeping  between the day and the nightshift</t>
  </si>
  <si>
    <t xml:space="preserve"> houskeeping was done immediately</t>
  </si>
  <si>
    <t xml:space="preserve">observed that Pipe fitter was working without proper ppe </t>
  </si>
  <si>
    <t>Advised the fitter to wear full ppe and he did.</t>
  </si>
  <si>
    <t>wear glasses Immediately.</t>
  </si>
  <si>
    <t xml:space="preserve">ipe fitter was wearing welding faceshield </t>
  </si>
  <si>
    <t>Stopped him to wear clear face shield</t>
  </si>
  <si>
    <t xml:space="preserve">observed a fitter carrying support without gloves </t>
  </si>
  <si>
    <t xml:space="preserve"> Appreciate the good job.</t>
  </si>
  <si>
    <t xml:space="preserve">Improper wast management </t>
  </si>
  <si>
    <t xml:space="preserve">Highlighted the issue with work force to carry out waste management </t>
  </si>
  <si>
    <t>one Prpopane  cylinder hose without installation clip</t>
  </si>
  <si>
    <t>Infromed welding sup to install the hose by clip</t>
  </si>
  <si>
    <t>Issue was highlighted on Tuesday TBT.</t>
  </si>
  <si>
    <t xml:space="preserve">poor  Cable Management </t>
  </si>
  <si>
    <t>Cable Management has been done Immediately.</t>
  </si>
  <si>
    <t>The area around the lifting was not Completely barriered-off for the safe work</t>
  </si>
  <si>
    <t>Work was stopped and barriers were put</t>
  </si>
  <si>
    <t>Informed rigging sup to reinspect the weebing sling and put the color code</t>
  </si>
  <si>
    <t>Observed damaged Webbing sling left on site</t>
  </si>
  <si>
    <t>Removed the wire from the work area, identify it with red color code and put it in the quarantine box.</t>
  </si>
  <si>
    <t>The issue was highlighted in the next TBT with lifting team</t>
  </si>
  <si>
    <t xml:space="preserve">some cables are in the access ot  scaffold ladder </t>
  </si>
  <si>
    <t>Observed that welding machine nearby the fabrication activity,</t>
  </si>
  <si>
    <t>Spoke to rigging supervisor to relocate the welding machine, 
They have been relocated.</t>
  </si>
  <si>
    <t>observed that some unused habitat was left between the storage materials causing bad housekeeping in the place</t>
  </si>
  <si>
    <t>Corrective action was taken immediately.</t>
  </si>
  <si>
    <t xml:space="preserve">there was not barricades around Scaffold Dismantling area </t>
  </si>
  <si>
    <t xml:space="preserve"> electrical panel do not have the warning signs</t>
  </si>
  <si>
    <t>CPY wishes to acknowledge the good housekeeping from PTJ dedicated cleaners within workshops 1 and 2</t>
  </si>
  <si>
    <t>CPY witnessed a lifting operation with PTJ rigging team lifting a piece of steel/plate (circa 200kgs) using a forklift. The piece of steel was not sitting balanced and being pushed through existing scaffolding.The rigging / supervisor are directing the forklift driver to push the steel while several PTJ workers were in the line of fire.Very dangerous activities which should not occur and using the correct mode of lifting and preparations were not addressed.</t>
  </si>
  <si>
    <t>PTJ rigging supervisor to be removed from Total Energies project and PTJ and TFMC HSE to roll out lesson learnt to all workers on body positional, likewise the rigging team on how to do their job safely.</t>
  </si>
  <si>
    <t>Worker conducting grinding in a safe manner and complete PPE</t>
  </si>
  <si>
    <t>Commended the PTJ HSE Advisor of the area on his initiative to control unsafe conditions.</t>
  </si>
  <si>
    <t xml:space="preserve">Cables in outside fabrication area-4 are properly managed </t>
  </si>
  <si>
    <t>One of access ways @ outside Fab Area 1 was blocked by gas cylinder and access scaffold.</t>
  </si>
  <si>
    <t>I spoke to supervisor and area HSE about these unsafe conditions, and they immediately acted to rectify these unsafe conditions.</t>
  </si>
  <si>
    <t>Pulling of a welding cable that was stuck on a structure without going to actually see what was causing the cable to be stuck</t>
  </si>
  <si>
    <t>Engaged with the worker to safely suspend his welding and go investigate why his cable was stuck and nit to keep on pulling the cable</t>
  </si>
  <si>
    <t>Various sharp steel edges identified in WS#1 areas.</t>
  </si>
  <si>
    <t xml:space="preserve">
Engaged with TFMC/PTJ HSE Team to ensure sharp steel edges are identified and closed/buffered on an ongoing basis to eliminate any possibility of  injuries/incidents</t>
  </si>
  <si>
    <t>Ensure that items (Unit weights ) which are subject to lifted to be fully 
inspected and released based on official design report and QC report.</t>
  </si>
  <si>
    <t>CPY observed a proper Housekeeping during preparation of fabrication activities included prefabrication and welding, have been carried out properly, within  outside fabrication area#4.</t>
  </si>
  <si>
    <t>CPY observed that there is a modification that has been made for some fabrication support which is lifting the structure up from the support not fully rested on it.CPY observed that portable stand has been used for leveling, is locating under the weight block, used during the fabrication / welding activities.</t>
  </si>
  <si>
    <t>CPY approached TFMC / PTJ HSE, to take immediate action to ensure that all structures are fully rested on the fabrication support (full contact points). In addition to that, PTJ to remove the weight block wherever it is located on top of the portable fabrication stands.</t>
  </si>
  <si>
    <t>nsure that all structures are fully rested on the 
fabrication support (full contact points). In addition to that, PTJ to remove the weight block wherever it is located on top of the portable fabrication stands.</t>
  </si>
  <si>
    <t>CPY observed a proper lifting operation has been carried out, during offloading
unit weight on top of the structure, inside fabrication workshop#2.</t>
  </si>
  <si>
    <t>CPY approach TFMC / PTJ HSE representative, to encourage the whole team
have been involved in the lifting operation, for their commitment to HSE rules
and requirements during the execution.</t>
  </si>
  <si>
    <t>CPY observed a proper Housekeeping for fabrication activities included
prefabrication and welding/NDE, have been carried out properly, inside
fabrication workshop 4.</t>
  </si>
  <si>
    <t>CPY approach TFMC / PTJ HSE representative, to encourage the whole team
have been involved in the lifting operation, for their commitment to HSE rules
and requirements.</t>
  </si>
  <si>
    <t>Improper PPE (Dark Glass) been worn by WELDING team, inside main
fabrication workshop#1.</t>
  </si>
  <si>
    <t>Informed Petrojet TFMC / HSE, to provide a clear glass to the new team.</t>
  </si>
  <si>
    <t>Held a quick TBT to encourage the new team for wearing proper PPE inside
workshop.</t>
  </si>
  <si>
    <t>CPY observed that, there is lack of Portable welding / grinding screens in
comparison to grinding activities</t>
  </si>
  <si>
    <t>CPY approached TFMC / PTJ HSE, to Relocate the Portable welding / grinding
screens in conjunction to the Grinding activities been in progress.</t>
  </si>
  <si>
    <t>CPY recommended to reiterate this topic during the TBT to encourage everyone
coming to the ZB yard for wearing proper PPE inside workshop.</t>
  </si>
  <si>
    <t>CPY observed that, proper handling and storing of grinding machines post of
grinding process, has been carried out in respect of HSE requirement, inside
fabrication workshop#2.grinding activities</t>
  </si>
  <si>
    <t>CPY approach TFMC / PTJ HSE representative, to encourage the whole team
have been involved in the grinding process, for their commitment to HSE rules
and requirements during the execution.</t>
  </si>
  <si>
    <t>Very safety barricading administered in Open Area #4</t>
  </si>
  <si>
    <t>Commended PTJ area HSE for very good safety barricading practices/controls</t>
  </si>
  <si>
    <t>Worker using a large grinder observed with fully compliant PPE</t>
  </si>
  <si>
    <t>Commended the worker for safe PPE practices</t>
  </si>
  <si>
    <t>One PTJ supervisor observed in two workshops not wearing his safety glasses</t>
  </si>
  <si>
    <t>Intervened together with the TFMC/PTJ HSE area team to ensure the Supervisor
complies with the full PPE requirements</t>
  </si>
  <si>
    <t>The Supervisor was tutored on the importance of wearing PPE and the impact
of not wearing PPE and having an incident.</t>
  </si>
  <si>
    <t>Worker observed doing grinding activities at lower ground area – ergonomically
unsafe – the worker was handling a 9” heavy grinder whilst performing his
actvitiy at a low ground lever (100mm oof ground level) – this is deemed as
ergonomically unsafe – activity suspended</t>
  </si>
  <si>
    <t>Activity suspended – TFMC/PTJ Area HSE and Supervisor requested to move the
item being grinded onto a suitable height support for better ergonomical work
stance.</t>
  </si>
  <si>
    <t>CPY noted that a PTJ have installed physical hard barriers are the mobile crane at fab Shop #2 location. Good implementation for safe environment and keeping machinery away from human prevention</t>
  </si>
  <si>
    <t>PTJ to continue the use of hard barriers in all applicable lifting areas</t>
  </si>
  <si>
    <t>CPY noted that several PTJ workers (cleaners) wore safety gloves during the housekeeping and lifting of materials which have sharp edges. Good use of correct PPE and elimination of risk, preventing potential cuts and lacerations.</t>
  </si>
  <si>
    <t>PTJ to share feedback and peer the cleaning team for their positive safe working</t>
  </si>
  <si>
    <t>CPY observed a supervisor placing his hand into a piece of structure that was suspended from the overhead crane and being fitted into a secondary part</t>
  </si>
  <si>
    <t>Immediately intervened and explained to him that should the material move, his hand could be crushed</t>
  </si>
  <si>
    <t>Never place your hands into on onto a suspended piece of equipment to prevent a caught between / crushing incident</t>
  </si>
  <si>
    <t>CPY observed several pieces of unit weights being manufactured on site. Pieces of scrap metal is being placed within the drums. Thereafter welded shut and without determining the weight or showing any base design report</t>
  </si>
  <si>
    <t>CPY recommended to ensure that items which are subject to lifted to be fully inspected and released based on official design report and QC report</t>
  </si>
  <si>
    <t>CPY approach TFMC / PTJ HSE representative, to encourage the whole team have been involved in the lifting operation, for their commitment to HSE rules and requirements</t>
  </si>
  <si>
    <t>CPY noted that a lot of rubbish (plastic bottle, broken pieces of wood and other items of waste are unacceptable</t>
  </si>
  <si>
    <t>CPY requests PTJ to arrange a cleaning team t completely remove all waste from area and ensure a safe working environment</t>
  </si>
  <si>
    <t>CPY requests PTJ personnel to set up a weekly walkaround (internally) and address all fabrication yard areas with corrective actions</t>
  </si>
  <si>
    <t>CPY noted that a lifting operation was ongoing within workshop 1 whereas the PTJ rigging team were lifting a structural sub-element. During the lifting activities a PTJ workers (not involved with the lifting) started to walk right into the line of fire and put himself into danger</t>
  </si>
  <si>
    <t>One of the PTJ rigging team members stopped and interacted, positive behaviour and prevention</t>
  </si>
  <si>
    <t>Position of People</t>
  </si>
  <si>
    <t>Walking past outside area 3 some ground preparation road side works were being undertaken utilizing an excavator, banksman was controlling personnel entering the area efficiently</t>
  </si>
  <si>
    <t>Commended the workers on the control and safe working practice</t>
  </si>
  <si>
    <t>Working observed walking through workshop 2 without light eye protection</t>
  </si>
  <si>
    <t>Requested the worker to wear mandatory PPE</t>
  </si>
  <si>
    <t>Soke to the supervisor and requested enforcement of mandatory PPE requirements</t>
  </si>
  <si>
    <t>Outdated helmets were seen when I inspected the PPE of some workers.
2. That is still a repeated issue.</t>
  </si>
  <si>
    <t>Reminded TECHNIP and PETROJET engineer with the importance of resolving this issue at the earliest.</t>
  </si>
  <si>
    <t>Subject to be highlighted during the weekly TBT</t>
  </si>
  <si>
    <t>CPY observed a chain block being used in area # 3 with a faulty safety latch on the hook</t>
  </si>
  <si>
    <t>Stopped the activity and instructed the supervisor to remove the chain block from site</t>
  </si>
  <si>
    <t>Inspect equipment before use on site</t>
  </si>
  <si>
    <t>Poor housekeeping was observed in the work area, along with inadequate cable management for electrical and welding cables.</t>
  </si>
  <si>
    <t>Chemical materials were observed stored in the workshop in an area not designated for chemical storage</t>
  </si>
  <si>
    <t>A worker was observed manually handling heavy materials in an unsafe manner, which could lead to potential spinal injuries.</t>
  </si>
  <si>
    <t>It was observed a scaffold with vacation between wooden blanks, this has the
potential to expose workers for tripping hazards</t>
  </si>
  <si>
    <t>A lifting sling was observed to be damaged (cut), posing a potential risk of failure during lifting operations.</t>
  </si>
  <si>
    <t>An oxygen cylinder was found leaking, with a damaged pressure gauge.</t>
  </si>
  <si>
    <t>A worker was observed using an angle grinding machine while wearing full
personal protective equipment (PPE), with a barrier in place to prevent sparks
from reaching other workers. The work area was clean and well-organized.</t>
  </si>
  <si>
    <t>Mahmoud samir</t>
  </si>
  <si>
    <t>It was observed that the rigging supervisor conducted a survey for the crane documents and held a TBT with the lifting team and check PPE condition for all team.</t>
  </si>
  <si>
    <t>It was observed that unsafe hand tools were being used in the workplace</t>
  </si>
  <si>
    <t>It was observed that a grinder during grinding activities without wearing ear plugs and was working in an unsafe position</t>
  </si>
  <si>
    <t>It was observed that chemical materials stored by the PTJ QC department were located near ongoing hot work activities</t>
  </si>
  <si>
    <t>It was observed that some cup supports used for lifting the frame need to re-inspection, as the welding is not yet completed.</t>
  </si>
  <si>
    <t>It was observed that a welder was using a scaffold platform that was incomplete and not yet inspected.</t>
  </si>
  <si>
    <t xml:space="preserve">It has been observed during site survey unsafe storage materials on work place. </t>
  </si>
  <si>
    <t>It has been observed grinder during hot work activities using grinding device  with damage cable.</t>
  </si>
  <si>
    <t xml:space="preserve">It has been observed electrical panel without caution signs and not inspected </t>
  </si>
  <si>
    <t xml:space="preserve">It has been observed there is more workers using damage hand tools ( Hammer ) on work place </t>
  </si>
  <si>
    <t>It has been observed a lot of power equipment’s connected to electrical energy sources during break time.</t>
  </si>
  <si>
    <t xml:space="preserve">It has been observed using trolly for gas cylinders for transportation materials   </t>
  </si>
  <si>
    <t xml:space="preserve">It has been observed bad cable management on sandblasting area this will cause tripping hazard or damage during moving or lifting activities  </t>
  </si>
  <si>
    <t xml:space="preserve">It has been observed fire hydrant not fitting and  without secure frame. </t>
  </si>
  <si>
    <t>It has been observed manual excavation activities without create specific PTW.</t>
  </si>
  <si>
    <t xml:space="preserve">It has been observed Grinding activity on un-stable pipeline this will cause injury during grinding activities </t>
  </si>
  <si>
    <t>It has been observed opening on fabrication frame that will cause falling somebody from high level.</t>
  </si>
  <si>
    <t>It has been observed lifting activities using damaged web sling  .</t>
  </si>
  <si>
    <t>During site survey it has observed a good condition for access ways and good general housekeeping inside WS 2</t>
  </si>
  <si>
    <t>Toxic/Flammable Gas</t>
  </si>
  <si>
    <t xml:space="preserve">It has been observed painting team is doing the mixing operation of painting  inside the chemical storage area ( closed Area allow the vapours accumulation) </t>
  </si>
  <si>
    <t xml:space="preserve">It has been observed good ACT, workers making housekeeping on workplace and segregate it on bins </t>
  </si>
  <si>
    <t xml:space="preserve">It has been observed someone smoking inside welding habitat during hot work activity </t>
  </si>
  <si>
    <t xml:space="preserve">It has been observed moving and loading un-secured load by forklift at workplace </t>
  </si>
  <si>
    <t xml:space="preserve">It has been observed some welding habitat non fixed and there is another one damaged. </t>
  </si>
  <si>
    <t xml:space="preserve">it has been observed all fire extinguishers at workshops are inspected also electrical supervisor inspect the E-panels by full PPE </t>
  </si>
  <si>
    <t xml:space="preserve">It has been observed empty fire extinguisher putted on workshop </t>
  </si>
  <si>
    <t xml:space="preserve">It has been observed loading &amp; offloading activities by forklift 16 TON need to re-inspection there is no maintenance certificate and daily inspection checklist. </t>
  </si>
  <si>
    <t xml:space="preserve">During site survey , it was observed that the handle of a gas torch burner (LPG torch) was damaged. </t>
  </si>
  <si>
    <t>Unsafe material storage was observed inside the workshop, where small metal pieces were stacked on top of each other without proper securing.</t>
  </si>
  <si>
    <t xml:space="preserve">It has been observed during site survey there is damage earthing cable for welding machine. </t>
  </si>
  <si>
    <t>It has been observed that loading and offloading activities are being conducted using a forklift, and the load is unsecured.</t>
  </si>
  <si>
    <t>It was observed that maintenance activity was being carried out on the 50-ton crane by the operator without a work permit and without prior notification to the maintenance department.</t>
  </si>
  <si>
    <t>During a routine site inspection, it was observed that some workers were smoking within the workplace</t>
  </si>
  <si>
    <t>During hot work activities, it was observed that a grinder was in use with a damaged power cable, posing a potential electrical and fire hazard.</t>
  </si>
  <si>
    <t>It has been observed sandblasting supervisor good supervision and follow up.</t>
  </si>
  <si>
    <t>It was observed that cables were inadequately managed on walkways, posing potential tripping hazards to workers.</t>
  </si>
  <si>
    <t>A gas leak from the cylinder hoses was observed during the gas cylinder testing.</t>
  </si>
  <si>
    <t>Good housekeeping was observed, and materials were stored in an organized and safe manner.</t>
  </si>
  <si>
    <t>it has been observed,  grinder was observed performing well and keeping his work area clean and orderly.</t>
  </si>
  <si>
    <t>It was observed during the site survey that flashback arrestors were not installed on the hoses of the gas cylinders.</t>
  </si>
  <si>
    <t>It was observed during the site survey that some workers were wearing damaged PPE.</t>
  </si>
  <si>
    <t>It was observed that cable management was in poor condition, and the welding habitat was not properly installed.</t>
  </si>
  <si>
    <t>During site survey , it was observed that some of the hand tools being used were handmade and lacked proper certification, posing potential safety risks</t>
  </si>
  <si>
    <t>It was observed that a lifting activity was being carried out without creating a Permit to Work (PTW).</t>
  </si>
  <si>
    <t>A lifting operation was observed, and the workers were wearing their (PPE) and had secured the lifting process properly.</t>
  </si>
  <si>
    <t>During the inspection, multiple damaged hand tools were found in the workshop, posing potential safety hazards if used.</t>
  </si>
  <si>
    <t>It was observed that more materials were scattered throughout the sandblasting area, creating a potential tripping hazard.</t>
  </si>
  <si>
    <t>During  site survey, the welding supervisor was observed monitoring his team's condition and performance closely, reflecting strong and proactive supervision.</t>
  </si>
  <si>
    <t>During site survey, a worker was observed grinding metal without wearing proper eye protection (face shilde)</t>
  </si>
  <si>
    <t>It was observed that during hot work, a grinder was being used with its control handle removed.</t>
  </si>
  <si>
    <t>Non-routine lifting activities were observed, and the Permit to Work (documentation was incomplete—specifically, the (TRA) was missing, and the rigging technique did not align with the approved lifting plan.</t>
  </si>
  <si>
    <t>During the site survey, it was observed that a forklift was in operation with a discharged (empty) fire extinguisher, which is a violation of safety requirements.</t>
  </si>
  <si>
    <t>Install S hook for proper cable management</t>
  </si>
  <si>
    <t>The team is complying with required PPE</t>
  </si>
  <si>
    <t>It has been observed a worker working at the plet with out handrail</t>
  </si>
  <si>
    <t>it has been observed the team at the W/S didn’t put in a ear plugs</t>
  </si>
  <si>
    <t>It has been observed a scaffolder using unstardized hand tool</t>
  </si>
  <si>
    <t xml:space="preserve">It has been observed  a grinder remvoed the secondary handle of the angle grinder </t>
  </si>
  <si>
    <t>CPY noted that a lot of areas within the fabrication outdoor areas have unsafe
and in poor condition(s) habitats</t>
  </si>
  <si>
    <t>CPY noted that several painters were conducting their activities in a safe manor. CPY noted that all workers had donned the correct level of PPE such as paper coveralls, breathing masks, glasses, gloves etc.</t>
  </si>
  <si>
    <t>During visit to workshop 1 welders were found to be wearing all mandatory and task based PPE.</t>
  </si>
  <si>
    <t>During visit to outside work area 4 all personnel were found to be wearing
hearing protection &amp; safety glasses</t>
  </si>
  <si>
    <t>I noticed Torn pairs of safety shoes worn by 4 technicians from PETROJET.</t>
  </si>
  <si>
    <t>1. Outdated helmets were seen when I inspected the PPE of some workers.</t>
  </si>
  <si>
    <t>Observed scaffold team in open area 2, wearing PPE and being tied off whilst erecting scaffolding for shaded area</t>
  </si>
  <si>
    <t>Observed grinder operator containing sparks from his task, by properly placing a barrier shield to prevent a shower of sparks around his work area.</t>
  </si>
  <si>
    <t>CPY observed a gas cylinder with a faulty pressure gauge, as well as the pressure adjustment knob was faulty.</t>
  </si>
  <si>
    <t>Stopped the activity and instructed the safety officer to remove the faulty equipment from site.</t>
  </si>
  <si>
    <t>CPY observed two workers sorting and placing small pieces of metal onto a pallet without wearing any hand gloves.</t>
  </si>
  <si>
    <t>Stopped the activity and instructed the two workers to wear hand gloves when performing their task.</t>
  </si>
  <si>
    <t>CPY noted that outside fabrication shops 1 and 2 is in poor condition and requires cleaning up with removal of material / rubbish.</t>
  </si>
  <si>
    <t>PTJ to organize and supervisor the yard  housekeeping conditions and not let the conditions become in a poor state.</t>
  </si>
  <si>
    <t>CPY noted that copious amounts of PTJ workers are sitting and using mobile phones in very exposed (risk) areas.
CPY observations are that workers are not focused and sitting underneath or beside structures where hotworks/lifting activities are ongoing therefore putting their position in a dangerous place.</t>
  </si>
  <si>
    <t>CPY requests PTJ Management/supervision to take control and hold smaller TBT(s) on relevant topic to stop this occurrence. CPY has advised PTJ on so many previous times.</t>
  </si>
  <si>
    <t>CPY noted that copious amounts of PTJ workers are notwearing their safety glasses as part of the minimum PPE requirement within any fabrication area.
CPY also noted that a higher number of PTJ workers arewearing dark safety  lasses within the fabrication shops.</t>
  </si>
  <si>
    <t>CPY requested all workers to wear the safety glasses or change to clear glasses and remove dark glasses</t>
  </si>
  <si>
    <t>CPY noted that a lot of areas within the fabrication shops are in poor housekeeping condition.CPY was advised that the last day of working 26th or 27th of March PTJ would 
conduct a thorough housekeeping of all areas. This was not completed (obviously) due to the poor conditions within all fabrication shops as off early this morning.</t>
  </si>
  <si>
    <t>CPY discussed with PTJ HSE Manager and Supervisor to implement correct housekeeping actions. CPY advised that no housekeeping personnel are present.</t>
  </si>
  <si>
    <t>Grinder was noticed smoking at non-dedicated smoke area</t>
  </si>
  <si>
    <t>I spoke to him and his supervisor about this unsafe act.</t>
  </si>
  <si>
    <t xml:space="preserve">Reda Zaghloul </t>
  </si>
  <si>
    <t>Poor cables management was observed in outside fabrication area-3</t>
  </si>
  <si>
    <t>CPY observed that, there is a risk of fallen objects where thefree end underneath of the steel plate ring being grinded, not fully clamped onto the 
table used to support the steel plate ring.
CPY observed that items which are subject to drill it hasprotentional risk of fallen object</t>
  </si>
  <si>
    <t>CPY approached TFMC / PTJ HSE, to take an immediate action to ensure that allsafety requirements are in place to prevent such a risk</t>
  </si>
  <si>
    <t>ImmediateCPY approached TFMC / PTJ HSE, to Relocate the Portable welding / grinding screens in conjunction to the Grinding activities been in progress.</t>
  </si>
  <si>
    <t>CPY observed that, there is a modification has been made for some fabrication support which is lifting the structure up from the support and not fully rested 
on it.CPY observed that portable stand has been used for leveling, is locating under the weight block, used during the fabrication / welding activities.</t>
  </si>
  <si>
    <t>CPY approached TFMC / PTJ HSE, to take an immediate action to ensure that all structures are fully rested on the fabrication support (full contact points). In 
addition to that, PTJ to remove the weight block wherever located on top of the portable fabrication stands.</t>
  </si>
  <si>
    <t>CPY continuously observed several pieces of unit weights being manufactured on site. Pieces of scrap metal are placed within the drums. Thereafter partially welded shut and without determining the weight or showing any base design report.</t>
  </si>
  <si>
    <t>CPY approached TFMC / PTJ HSE, to take an immediate action to ensure that all structures are fully rested on the fabrication support (full contact points). In addition to that, PTJ to remove the weight block wherever located on top of the portable fabrication stands</t>
  </si>
  <si>
    <t>Workshop 5</t>
  </si>
  <si>
    <t>Poor Housekeeping from tarpaulins and other items at location</t>
  </si>
  <si>
    <t>Dedicated personnel / supervisor in charge to make regular overview and proactive rectifications progressively</t>
  </si>
  <si>
    <t>CPY wishes to acknowledge the layout of the workshop 2 structures.
Positive / safe layout to ensure personnel are not restricted or put at risk during SIMPOS.</t>
  </si>
  <si>
    <t>PTJ to keep up the safe working arrangements.</t>
  </si>
  <si>
    <t>One of TECHNIP engineers came to PETROJET site office in sneakers forgetting to wear his safety shoes.</t>
  </si>
  <si>
    <t>He was reminded and it was clear it was not intentional violation, he went back to his office and picked his safety shoes immediately.</t>
  </si>
  <si>
    <t>A technician was grinding mechanical defects in the blasting yard not wearing the proper mask.</t>
  </si>
  <si>
    <t>He was taken off the work area after advising PETROJET in charge.</t>
  </si>
  <si>
    <t>Blasting area was not barricaded properly</t>
  </si>
  <si>
    <t>I spoke to PETROJET safety who immediately set barriers and no enterance signs and all people not involved in the job was evacuated.</t>
  </si>
  <si>
    <t>Housekeeper was sweeping workshop # 1, wearing full PPE and in addition a dust mask.</t>
  </si>
  <si>
    <t>Approached the housekeeper and thanked him for working safely and taking the additional precaution to prevent dust inhalation</t>
  </si>
  <si>
    <t>Observed grinding operation being conducted using proper screens to contain flying sparks</t>
  </si>
  <si>
    <t>approached the operator and thanked him for working safely to contain the sparks.</t>
  </si>
  <si>
    <t>Health, Hygiene, Food or Water</t>
  </si>
  <si>
    <t>PTJ have taken proactive measures by placing a freezer in workshop # 2 filled with 1,5l water bottles for workers consumption</t>
  </si>
  <si>
    <t>Thanked PTJ HSE Manager Mahmoud for taking a proactive approach to the prevention of heat stress at site</t>
  </si>
  <si>
    <t>PTJ to show appreciation for these cleaners and provide small incentives to boost their moral and appreciation</t>
  </si>
  <si>
    <t>CPY witnessed a lifting operation with PTJ rigging team lifting a piece of steel/plate (circa 200kgs) using a forklift. The piece of steel was not sitting balanced and being pushed through existing scaffolding. 
The rigging / supervisor are directing the forklift driver to push the steel while several PTJ workers were in the line of fire. 
Very dangerous activities which should not occur and using the correct mode of lifting and preparations were not addressed</t>
  </si>
  <si>
    <t>PTJ rigging supervisor to be removed from Total Energies project and PTJ and TFMC HSE to roll out lesson learnt to all workers on body positional, likewise the rigging team on how to do their job safely</t>
  </si>
  <si>
    <t>A worker conducting grinding activities was observed working safely and with full PPE</t>
  </si>
  <si>
    <t>Commended the worker on his safe working act and conditions</t>
  </si>
  <si>
    <t>Excess materials at the front of WS#4 has been seen to be well barricaded to ensure no workers enter the area</t>
  </si>
  <si>
    <t>Commended the PTJ HSE Advisor of the area on his initiative to control unsafe conditions</t>
  </si>
  <si>
    <t>Cables in outside fabrication area-4 are properly managed</t>
  </si>
  <si>
    <t>Spoke to the involved team and encouraged them to continue safe works in such manners</t>
  </si>
  <si>
    <t>One of access ways @ outside Fab Area 1 was blocked by gas cylinder and access scaffold</t>
  </si>
  <si>
    <t>I spoke to supervisor and area HSE about these unsafe conditions, and they immediately acted to rectify these unsafe conditions
These unsafe conditions were brought to the attention of PTJ area HSE officer</t>
  </si>
  <si>
    <t>Engaged with the worker to safely suspend his welding and go investigate why his cable was stuck and nit to keep on pulling the cable
Engaged with TFMC/PTJ site safety teams to ensure suitable communications to the workers to not simply pull at their cables when stuck – go and investigate why the cable is stuck/caught and then release it safely</t>
  </si>
  <si>
    <t>Various sharp steel edges identified in WS#1 areas</t>
  </si>
  <si>
    <t>Engaged with TFMC/PTJ HSE Team to ensure sharp steel edges are identified and closed/buffered on an ongoing basis to eliminate any possibility of injuries/incidents
Engaged with TFMC/PTJ site safety teams to ensure suitable sharp edges buffering/closures</t>
  </si>
  <si>
    <t>CPY approached TFMC / PTJ HSE, to take an immediate action to ensure that all safety requirements are in place to prevent such a risk
CPY recommended to ensure that items which are subject to lifted to be fully inspected and released based on official design report and QC report</t>
  </si>
  <si>
    <t>CPY observed a proper Housekeeping during preparation of fabrication activities included prefabrication and welding, have been carried out properly, within outside fabrication area#4</t>
  </si>
  <si>
    <t>CPY observed that there is a modification that has been made for some fabrication support which is lifting the structure up from the support not fully rested on it.  
CPY observed that portable stand has been used for leveling, is locating under the weight block, used during the fabrication / welding activities</t>
  </si>
  <si>
    <t>CPY approached TFMC / PTJ HSE, to take immediate action to ensure that all structures are fully rested on the fabrication support (full contact points).  In addition to that, PTJ to remove the weight block wherever it is located on top of the portable fabrication stands
CPY recommended to ensure that all structures are fully rested on the fabrication support (full contact points).  In addition to that, PTJ to remove the weight block wherever it is located on top of the portable fabrication stands</t>
  </si>
  <si>
    <t>CPY witnessed a suspended hook and rigging slings which were with an elevation at head height. 
The crane driver was in cab, (on mobile phone) not focused on position of his “hook”, further to the dangerous positioning the location of suspension was right-out side a barrier walkway which increased the severity of risk</t>
  </si>
  <si>
    <t>CPY intervened with on site TFMC and PTJ HSE Advisors (who maybe did not notice) and requested crane to boom up or reposition boom/hook and rigging slings into a more safe static location
PTJ rigging supervisor to ensure his rigging crew and crane drivers are focused and mitigate about any potential risk of injury/incident to follow workers etc</t>
  </si>
  <si>
    <t>CPY witnessed a safe transfer of material (small size square plates) which was being transferred within workshop.  CPY noted that 2 PTJ workers were using a manual trolly which was being pushed / steered. Good use of manual safe movement lifting operations</t>
  </si>
  <si>
    <t>PTJ supervision to show and recognize / acknowledge the workers safe manual 
handling methodologies</t>
  </si>
  <si>
    <t>CPY noted that outside area (between workshop 2 and 3) all collected fab shop floor debris (welding electrodes / rubbish) was just placed in an uncontrolled manor with personnel having to step on these derbies. 
Slips, trips and falls are extremely a high percentage of daily incidents</t>
  </si>
  <si>
    <t>PTJ supervision to ensure housekeeping is maintained, but consideration to correct environmental disposal. 
Not just thrown and left in a poor condition</t>
  </si>
  <si>
    <t>During a site inspection in Outside Fabrication Area #2, it was observed one fitter Forman use magnetic drill without safety belt</t>
  </si>
  <si>
    <t>I stopped him and contacted TFMC HSE rep., and he took the corrective action</t>
  </si>
  <si>
    <t>During a site inspection in WS # 02, It was observed one welder standing on top of the MADMAT framing beam outside the barrier during welding process</t>
  </si>
  <si>
    <t>I stopped him and contacted TFMC HSE rep., and he took all the corrective action required</t>
  </si>
  <si>
    <t>Olivier Toupin</t>
  </si>
  <si>
    <t>Wrong tag color (blue) on scaffolding access (ladder)</t>
  </si>
  <si>
    <t>Talk with the supervisor to replace the tag
Talk with the supervisor to replace the tag</t>
  </si>
  <si>
    <t xml:space="preserve">A worker was on the first step (1.5m) of a scaffolding with a belt too long to stop the fall </t>
  </si>
  <si>
    <t>Talk with the worker &amp; the supervisor</t>
  </si>
  <si>
    <t xml:space="preserve">Mohamed El Sawah </t>
  </si>
  <si>
    <t>During site inspection, CPY noticed WK#5, where the CPI(s) are stored, it’s full of sand and dust and rest of foods from the workers</t>
  </si>
  <si>
    <t>I notified PTJ safety officer and he told that he will take the corrective action</t>
  </si>
  <si>
    <t>While site inspection I noticed plates stacked in a bad position in WK#1, along the side of the walk way</t>
  </si>
  <si>
    <t>I informed safety officer and he took the corrective action and redo the stacking from the beginning in a proper manner</t>
  </si>
  <si>
    <t>Forklift driver stopped and checked for seatbelt compliance - in place</t>
  </si>
  <si>
    <t>Commended the forklift operator on his awareness to using a seatbelt whilst in operation</t>
  </si>
  <si>
    <t>Worker clearing blasting garnet observed wearing required PPE</t>
  </si>
  <si>
    <t>Commended the workers on safe PPE practices</t>
  </si>
  <si>
    <t>Cables not being placed correctly on ground level and being left suspended off cable bridges creating tripping hazards</t>
  </si>
  <si>
    <t>PTJ HSE requested to ensure improved cable management in all areas effected</t>
  </si>
  <si>
    <t>A worker observed conducting grinding creating sparks into the safe walkway inside the workshop area</t>
  </si>
  <si>
    <t>Suspended the activity – requested TFMC/PTJ HSE and the worker to place a suitable grinding spark barrier to deflect the sparks out of the safe walkway area 
TFMC/PTJ HSE and the worker tutored on the importance of being aware of the area working in and to ensure his area is safe and areas that might be affected at all times</t>
  </si>
  <si>
    <t>All technicians involved in stripe coat activities were seen wearing chemical masks during a surprising inspection visit and not just dust masks. When discussed, they confirmed they have not had enough chemical masks in the past but they kept after their management until they got full set of them</t>
  </si>
  <si>
    <t>One of PETROJET technicians was doing housekeeping in the yard not wearing his safety glasses</t>
  </si>
  <si>
    <t>He was reminded with the importance of protecting his eyes from dust and elements during work and he immediately obliged to the site safety rules
Subject to be highlighted during the weekly TBT</t>
  </si>
  <si>
    <t>Many of the workers did not wear hearing protection</t>
  </si>
  <si>
    <t>I spoke to PETROJET safety who immediately conveyed the message to all of them and handed earplugs to the one who do not have
Subject to be highlighted during the weekly TBT</t>
  </si>
  <si>
    <t>PTJ Offices</t>
  </si>
  <si>
    <t>Some rigger was standing in the box of a truck crane at relatively 1.5M height without fixing his belt to the cage box. He was planning to fix the project board hanged on some post</t>
  </si>
  <si>
    <t>Immediately talked to him and his supervisor and he shackled his belt
Subject to be highlighted during the weekly TBT</t>
  </si>
  <si>
    <t>2 welders were using the mobile phones in the work area, one sitting on the structure (WS1) and the other one under the structure(WS2)</t>
  </si>
  <si>
    <t>Immediately stopped them and spoke to PETROJET safety officer
Subject to be highlighted during the weekly TBT</t>
  </si>
  <si>
    <t>Some technician was doing cutting process using the grinding disk without facial mask</t>
  </si>
  <si>
    <t>Immediately talked to him and stopped work until he wore the facial mask
Subject to be highlighted during the weekly TBT</t>
  </si>
  <si>
    <t>Poor storage of materials was observed in Workshop 1</t>
  </si>
  <si>
    <t>The materials were reorganized to clear pathways and ensure safe access throughout the workshop</t>
  </si>
  <si>
    <t>Insufficient cups were observed under a steel structure (Mudmat) in Workshop 2, posing a risk of instability or collapse.</t>
  </si>
  <si>
    <t>Work was immediately stopped, and additional cups were installed to stabilize the structure.</t>
  </si>
  <si>
    <t>A lack of sufficient control measures was observed in the unauthorized risk assessment for the magnetic drilling machine</t>
  </si>
  <si>
    <t>The issue was reported to the PTJ safety department for immediate action. The current risk assessment is being reviewed and updated to include adequate safety controls</t>
  </si>
  <si>
    <t>A damaged webbing sling was observed in Workshop 4, posing a potential lifting hazard</t>
  </si>
  <si>
    <t>The damaged sling was immediately removed from service and replaced with a certified one. Workers were reminded to inspect all lifting equipment, including webbing slings, before each use and report any defects.</t>
  </si>
  <si>
    <t>A fire extinguisher does not exist in the designated smoking area in front of Workshop 2, which poses a potential fire safety risk.</t>
  </si>
  <si>
    <t>The safety team was notified, and a fire extinguisher was immediately installed in the designated area. Workers were reminded of fire safety rules applicable to smoking zones.</t>
  </si>
  <si>
    <t>A caution tape was observed installed along the cable routes in Workshop 1, enhancing protection and reducing the risk of electrical hazards.</t>
  </si>
  <si>
    <t>Workers were observed working at height without fall protection measures in place</t>
  </si>
  <si>
    <t>Work was stopped, and both the supervisor and safety team were informed. 
A handrail was installed, and workers were briefed on the hazards associated with working at heights.</t>
  </si>
  <si>
    <t>A crane was being guided by an unauthorized individual instead of a designated pankes man.</t>
  </si>
  <si>
    <t>instructed the crane driver to only be guided by a designated banksman</t>
  </si>
  <si>
    <t xml:space="preserve">A cut was observed on the rigging cable during the lifting operation
</t>
  </si>
  <si>
    <t>The lifting operation was hald and the equipment was removed from the workshop.</t>
  </si>
  <si>
    <t>observed the magnetic drill installed in a side position without securing it, posing a risk of the drill falling in the event of a power failure.</t>
  </si>
  <si>
    <t xml:space="preserve">
The operation was hald, the drill was removed from the work area, and a securing strap was provided to ensure safe operation.</t>
  </si>
  <si>
    <t>The ground cable of a welding machine was found to be severed.</t>
  </si>
  <si>
    <t>The welding machine was taken out of service, and the electrical department was notified to repair the cable. Additionally, all cables in the work area were inspected to ensure safety.</t>
  </si>
  <si>
    <t>A grinding motor was observed to have a crack in its casing.</t>
  </si>
  <si>
    <t>The grinding motor was removed from service, and all other grindings in the work area were inspected for similar defects to prevent potential hazard</t>
  </si>
  <si>
    <t>A compressed gas cylinder was found to be leaking during a routine inspection</t>
  </si>
  <si>
    <t>The leaking cylinder was removed from service, and all compressed gas cylinders in the area were inspected to ensure they were free from leaks and other defects.</t>
  </si>
  <si>
    <t xml:space="preserve">CPY observed proper Housekeeping during preparation of fabrication activities included prefabrication and welding, have been carried out properly, within outside fabrication blasting and painting area. </t>
  </si>
  <si>
    <t xml:space="preserve">CPY approach TFMC / PTJ HSE representative, to encourage the whole team have been involved in the lifting operation, for their commitment to HSE rules and requirements.  </t>
  </si>
  <si>
    <t xml:space="preserve">CPY observed that, leftover of Wooden sign with stand nails at the end of Workshop #4. </t>
  </si>
  <si>
    <t>Informed Petrojet TFMC / HSE, to do all necessary for proper housekeeping for this specific part of Workshop #4. 
Ensure this topic will be re-highlighted during TBT, to encourage PTJ workers to keep all yard facilities clean inline with HSE CPY requirements</t>
  </si>
  <si>
    <t>CPY observed that during lifting operation for top plate of hub tower, there was unsafe positioning of people/workforce who were not directly involved in the actual lifting operation positioned in areas of direct line of fire and general unsafe positions</t>
  </si>
  <si>
    <t>CPY asked TFMC/PTJ HSE to stop the activity and discuss the CPY identified risks with PTJ rigging team as this was deemed to be unsafe condition due to a hazardous environment as well as the possibility of being classified as an unsafe act, if the individuals have knowingly entered the area despite warnings – both conditions would contribute to heightened risks.
TFMC/PTJ instructed to reiterate this topic and risks during a dedicated TBT, to improve PTJ workers awareness and acknowledgement</t>
  </si>
  <si>
    <t>Informed PTJ / TFMC HSE, to postpone the activities, to do all necessary for proper housekeeping all over the cable arrangement / cable management through cable management platform.
Ensure that all crew who involved in the activities inside this area are fully aware and acknowledge that housekeeping is a daily routine activity to be done by end of each shift.</t>
  </si>
  <si>
    <t xml:space="preserve">PETROJET lead blaster managing style, for long time I have been witnessing how is guiding the new blasters how to deliver a safe and quality job </t>
  </si>
  <si>
    <t>Subject was taken to TECHNIP coating inspector who promised to reward him in the next TBT</t>
  </si>
  <si>
    <t xml:space="preserve">2 engineers were noticed talking on the phone while walking opposite of PETROJET main office going to the fab workshops </t>
  </si>
  <si>
    <t xml:space="preserve">They were reminded never to use the mobile phone while walking
They promised not to repeat it again. </t>
  </si>
  <si>
    <t xml:space="preserve">CPY noted that a lifting operation was ongoing within the outside area #2 when CPY passed.  CPY noted that PTJ had attempted to put some barriers up, however, barriers had blown down and crane was exposed for workers to become in line of fire. 
A PTJ workers passed the back of the crane weight block, workers completely disobeyed the crane lifting activities.  No PTJ HSE and No TFMC were present. 
Poor SEZ and poor rigging team awareness, CPY extremely concerned at how poor the lifting activities are within ZB Yard. </t>
  </si>
  <si>
    <t>CPY proceeded to STOP the lifting activities, acquired TFMC and PTJ HSE Advisors to implemented hardened barriers and explained the conditions. 
PTJ supervision / management to start to act accordingly and take appropriate actions to prevent such reoccurring unsafe lifting activities.</t>
  </si>
  <si>
    <t>CPY noted that a lifting operation was ongoing within the outside area between workshop #2 and #3 when CPY passed.  CPY noted that PTJ had not installed / arranged any safe exclusion zone or barriers prior to lifting activities commenced.  
Several personnel (including CPY) walked right into this lifting activity and were unaware due to no barriers. 
No PTJ HSE and No TFMC were present.  However, upon looking CPY noted that a PTJ HSE advisor was not too far away with zero interaction and shortly after a TFMC HSE Advisor passed but was on his mobile phone and passed without looking 
Poor SEZ and poor rigging team awareness, CPY extremely concerned at how poor the lifting activities are within ZB Yard.</t>
  </si>
  <si>
    <t>CPY Did not take any action and wanted to see if any other party interacted prior to the lift being taken place. However No other person of company did any interactions.
PTJ supervision / management to start to act accordingly and take appropriate actions to prevent such reoccurring unsafe lifting activities.</t>
  </si>
  <si>
    <t>During a site inspection in outside fabrication area # 1, it was observed grinder used a pencil grinding machine on the hammer head eyes.</t>
  </si>
  <si>
    <t>I stopped him and contacted TFMC HSE rep., and he took all the corrective action required.</t>
  </si>
  <si>
    <t>During a site inspection in outside fabrication area # 1, it was observed welder sat under a piping support frame without wearing a safety helmet or a welding face shield.</t>
  </si>
  <si>
    <t>During a site inspection in outside fabrication area # 1, it was observed grinder used grinding machine without wearing hand protection gloves.</t>
  </si>
  <si>
    <t>A worker pre heating a structure, the connection of gas manometer leaking.
Strong smell in the workshop</t>
  </si>
  <si>
    <t xml:space="preserve">Talk with the worker &amp; the supervisor  </t>
  </si>
  <si>
    <t xml:space="preserve">Forklift driver wearing his seatbelt as per procedure </t>
  </si>
  <si>
    <t>Commended the forklift driver for his safe actions</t>
  </si>
  <si>
    <t xml:space="preserve">Welder observed wearing his full PPE and in good condition </t>
  </si>
  <si>
    <t>Commended the welder on good PPE safety</t>
  </si>
  <si>
    <t xml:space="preserve">Housekeeping under the PLET in Open Area #1 was found to be in a bad condition. </t>
  </si>
  <si>
    <t>TFMC/PTJ HSE representatives requested to temporarily suspend activities and ensure a mini housekeeping campaign</t>
  </si>
  <si>
    <t>A worker grinding did not protect his sparks from reaching the safe walkway area, causing an unsafe condition</t>
  </si>
  <si>
    <t xml:space="preserve">Activity suspended and requested that a grinding screen be erected, and the grinding worked to change his position of activity 
Tutored the grinding personnel on the importance of using grinding screens at all times </t>
  </si>
  <si>
    <t>A support was found to be non-compliant with the approved design and had incomplete welding joints</t>
  </si>
  <si>
    <t>Work on the steel structure was immediately suspended. The workshop supervisor was instructed to follow the approved design strictly. A full inspection of all supports within the workshop was conducted to ensure compliance and safety.</t>
  </si>
  <si>
    <t>Flammable materials were discovered stored inside the supports beneath the structure, posing fire hazard.</t>
  </si>
  <si>
    <t>The workshop supervisor was instructed to remove all flammable materials immediately. Workers were warned and educated on the importance of disposing of combustible waste only in designated containers and areas to prevent fire risks</t>
  </si>
  <si>
    <t>Lifting activities were being conducted without securing the lifting area or installing safety barriers around the crane</t>
  </si>
  <si>
    <t>The lifting operation was halted immediately. A toolbox talk was conducted to raise awareness among workers about the importance of isolating the lifting zone and using barriers before initiating any lifting activity</t>
  </si>
  <si>
    <t>A welder was observed performing hot work without wearing a welding apron, exposing himself to burns and injury</t>
  </si>
  <si>
    <t>A safety briefing was held for all workers involved in hot work to stress the mandatory use of PPE, including welding aprons, to comply with safety standards and reduce injury risk</t>
  </si>
  <si>
    <t>Electrical cables in the workshop were found to be disorganized and scattered, creating a tripping hazard for workers</t>
  </si>
  <si>
    <t>The workshop supervisor was instructed to organize and secure all electrical cables properly to eliminate tripping hazards and ensure a safe working environment</t>
  </si>
  <si>
    <t>materials inside the workshop were not properly arranged, and there were no barriers around them, increasing the risk of collision and injury</t>
  </si>
  <si>
    <t>The supervisor was directed to organize all materials and install barriers around them to maintain a safe and orderly workspace, reducing the risk of worker collisions and material damage</t>
  </si>
  <si>
    <t xml:space="preserve">It has been observed that loading and offloading activities involving a forklift were carried out, but the load was not properly secured. </t>
  </si>
  <si>
    <t xml:space="preserve">Immediately stop all loading and offloading activities involving forklifts. Conduct  (TBT) with the rigging supervisor, flagmen, and forklift operators to reinforce the importance of proper load securing and safe handling practices </t>
  </si>
  <si>
    <t xml:space="preserve">It has been observed that a scaffolder was working at height without wearing a safety harness. </t>
  </si>
  <si>
    <t xml:space="preserve">Immediately suspend the work and ensure the scaffolder is brought down safely, Conduct a disciplinary action with him. </t>
  </si>
  <si>
    <t xml:space="preserve">It has been observed that access to the scaffold platform was blocked due to excessive cable storage and poor PPE conditions. </t>
  </si>
  <si>
    <t xml:space="preserve">The Area Supervisor was informed immediately. The access way to the scaffold platform was cleared by removing excess cables and ensuring proper cable management. Additionally, all PPE was inspected, and any damaged or non-compliant items were replaced </t>
  </si>
  <si>
    <t xml:space="preserve">It has been observed that a lifting activity was being carried out using a crawler crane, but the lifting area was not properly barricaded. </t>
  </si>
  <si>
    <t>The lifting supervisor was informed immediately and instructed to take corrective action. A soft barrier was installed around the lifting area. 
I have given the supervisor a verbal warning, and informed him that disciplinary action will be taken if the violation is repeated</t>
  </si>
  <si>
    <t xml:space="preserve">It has been observed that hot work activities were being carried out using a damaged welding habitat, with poor housekeeping inside the habitat. </t>
  </si>
  <si>
    <t xml:space="preserve">Replace the damaged welding habitat immediately to ensure a safe environment for hot work activities. Conduct (TBT) with the workers to address the importance of proper workplace arrangement and housekeeping. </t>
  </si>
  <si>
    <t xml:space="preserve">It has been observed that there is poor cable management and housekeeping inside the workshop. </t>
  </si>
  <si>
    <t xml:space="preserve">Immediately conduct a Toolbox Talk with the fabrication team, and implement the necessary corrective actions. </t>
  </si>
  <si>
    <t xml:space="preserve">It has been observed that at the beginning of the day, the Area Supervisor was checking the team's PPE condition and providing good supervision at the site. </t>
  </si>
  <si>
    <t xml:space="preserve"> The Area Supervisor was encouraged to keep up the good work and was given positive feedback for his proactive safety efforts. </t>
  </si>
  <si>
    <t>CPY observed proper Housekeeping during preparation of fabrication activities included prefabrication and welding, have been carried out properly, within outside fabrication areas</t>
  </si>
  <si>
    <t>Improper PPE (Dark Glass) been worn by welders, inside all fabrication workshops - WS 1 &amp; 2</t>
  </si>
  <si>
    <t>Discussed the point in person with the welder, then informed PTJ/ TFMC HSE, to provide a clear glass to the new team
Reiterate this topic during the TBT to encourage the new team for wearing proper PPE inside workshops</t>
  </si>
  <si>
    <t>Lack of wearing basic / mandatory PPE safety burning goggles, while using flame cutting machine</t>
  </si>
  <si>
    <t>Discussed the point in person with the team, then informed PTJ/ TFMC HSE, to provide a basic / mandatory PPE to the team
CPY recommended to reiterate this topic during the TBT to encourage the new team for wearing proper PPE inside workshop</t>
  </si>
  <si>
    <t>Scaffold for mechanical repairs work was not up to TOTAL standard</t>
  </si>
  <si>
    <t>Issue was raised to our HSE management who took immediate action by enforcing stop work</t>
  </si>
  <si>
    <t>Some technicians were performing cutting and grinding without wearing masks</t>
  </si>
  <si>
    <t>Advised them to wear masks to avoid inhaling smoke or any air-born products during cutting and grinding jobs</t>
  </si>
  <si>
    <t>NDT inspector working outside scaffolding</t>
  </si>
  <si>
    <t>We talked with the worker to inform him that he shall request scaffolding modification or wear an harness</t>
  </si>
  <si>
    <t>Truck driver driving in reverse while focused only on his mobile phone</t>
  </si>
  <si>
    <t>We stopped the driver and talked to him
Reinforcement of PTJ HSE personnel</t>
  </si>
  <si>
    <t>CPY noted that a PTJ workers was smoking and not wearing correct PPE while in the PTW/Hotwork area within outside area 4</t>
  </si>
  <si>
    <t>CPY intervened and requested PTJ workers to stop smoking and correctly wear his PPE.  CPY also insisted that workers went to see the PTJ HSE for guidance and understanding of rules and procedures
PTJ supervision / management put the focus to how the PTJ workers do their business and coordinate a training session to mitigate against offenders breaking the set criteria</t>
  </si>
  <si>
    <t>CPY noted that this workshop is in an extremely poor housekeeping condition</t>
  </si>
  <si>
    <t>CPY advised HSE advisor who was near by
PTJ supervision / management to enforce their supervision to ensure good housekeeping is maintained.  Likewise for PTJ/TFMC HSE advisors to intervene and request PTJ to make working environment acceptable</t>
  </si>
  <si>
    <t>Open Area 5</t>
  </si>
  <si>
    <t>CPY noted that a very dangerous scaffolding condition existed outside area 5 due to high winds. 
Observations that scaffold tie-in-cup may have not been installed correctly and came loose due to fairly high winds</t>
  </si>
  <si>
    <t>CPY immediately reached out to TFMC and HSE to rectify and make safe, which was completed
PTJ scaffolding supervision and/or scaffolding inspector to physically check the scaffold once it has been assembled.  We have just had a case in Maadia due to the same case (maybe) on lack of installation/assembly as per standard scaffolding methodologies</t>
  </si>
  <si>
    <t>A scaffolding technician was observed working at height without any fall protection measures, standing directly on a scaffold tube. This represents a serious fall hazard</t>
  </si>
  <si>
    <t>The technician was immediately instructed to stop work. The safety team intervened, and the worker was provided with proper fall protection equipment. A toolbox talk was conducted to reinforce safe working-at-height practices
Ensure all workers working at height use appropriate fall protection systems at all times. Regularly monitor scaffolding activities and conduct refresher training sessions to prevent recurrence of such unsafe behaviors</t>
  </si>
  <si>
    <t>During lifting operations, warning tapes were properly placed around the lifting zone to prevent unauthorized personnel from entering</t>
  </si>
  <si>
    <t>An incomplete platform was observed on a scaffold located in Open Area 4, posing a significant fall hazard</t>
  </si>
  <si>
    <t>Work in the area was immediately stopped, and the issue was reported to the scaffolding supervisor. The scaffold was tagged as unsafe and access was restricted until the platform was completed and inspected by a competent person</t>
  </si>
  <si>
    <t>A damaged electrical cable was observed on an angle grinder, posing a potential electrical hazard</t>
  </si>
  <si>
    <t>The tool was immediately removed from the worksite to prevent use until proper maintenance and cable replacement are completed. The issue was reported to the maintenance team for corrective action</t>
  </si>
  <si>
    <t>A hydraulic jack was being used in fabrication work without a valid calibration certificate</t>
  </si>
  <si>
    <t>The jack was removed from the work area, and workers were instructed not to use it until a valid calibration certificate is provided</t>
  </si>
  <si>
    <t>Unsafe wooden board was placed on a working platform and used by a welder, creating a fall hazard</t>
  </si>
  <si>
    <t>The worker was stopped, and it was instructed to use only approved working platforms without any modifications</t>
  </si>
  <si>
    <t>Poor cable management and housekeeping were observed inside the workshop, leading to potential tripping and electrical hazards</t>
  </si>
  <si>
    <t>All electrical cables were arranged properly, and general housekeeping was carried out to</t>
  </si>
  <si>
    <t>Flammable materials were found stored near the designated smoking area, posing fire hazard</t>
  </si>
  <si>
    <t>All flammable materials were removed from the area, and the space was secured to ensure fire safety</t>
  </si>
  <si>
    <t>It was observed that a scaffold platform was incomplete but had a green tag attached</t>
  </si>
  <si>
    <t>Scaffold-related activities were suspended, and HSE was informed to stop all work on the platform until it is re-inspected by a competent person</t>
  </si>
  <si>
    <t>It was observed that the frame was being lifted manually using a cavalet on uneven ground</t>
  </si>
  <si>
    <t>Fabrication activities were stopped, and the frame was secured with a soft barrier placed around it until the lifting team takes the necessary action</t>
  </si>
  <si>
    <t>It was observed that a grinder was being used during hot work activities, and the worker's PPE was in unsafe condition</t>
  </si>
  <si>
    <t>The hot work activity was stopped immediately. The worker was instructed to replace the damaged or inadequate PPE
HSE PTJ instructed that make site survey for PPE condition</t>
  </si>
  <si>
    <t>It was observed unsafe manual lifting by some grinders using tagline for lift the frame</t>
  </si>
  <si>
    <t>Instruct the grinders to stop using taglines for manual lifting of the frame immediately and take disciplinary action with them</t>
  </si>
  <si>
    <t>It was observed that scaffold materials were stored unsafely in the workplace, and there is a damaged scaffold barrier</t>
  </si>
  <si>
    <t>Stop the activities and the materials were reorganized and scaffold team make re inspection for scaffold barrier</t>
  </si>
  <si>
    <t>With the noticeable rise of temp during the last 2 days, there was no electrolyte drink seen in the site</t>
  </si>
  <si>
    <t xml:space="preserve">I brought the issue to the attention of PTJ in charge, that they have to provide the technicians with electrolyte drink. People were advised with drinking lots of water as well. </t>
  </si>
  <si>
    <t xml:space="preserve">The yard supervisor promised to take action and request the logistics to supply the site with the proper drinks. </t>
  </si>
  <si>
    <t>Some technicians (#2) wearing torn safety shoes.</t>
  </si>
  <si>
    <t>They were asked to leave the yard immediately until they wear proper ones</t>
  </si>
  <si>
    <t>Issue to be highlighted in the subcontractor pre-job TBT.</t>
  </si>
  <si>
    <t>CPY noted that during a (ready to go) lifting operation at outside work area #2 it was observed that PTJ HSE and TFMC had approved the lifting operation of a 14mT structural load with lifting shackles being of two (2) different colours. 
CPY has reraised this concern on several occasions to ensure PTJ/TFMC have only one (1) lifting colour on rigging equipment.</t>
  </si>
  <si>
    <t xml:space="preserve">CPY immediately intervened and held site discussion whereas PTJ HSE Manager agreed this was not per procedure. CPY discussed with TFMC HSE and PTJ Construction Manager to ensure PTJ Rigging Supervisor is accountable. </t>
  </si>
  <si>
    <t xml:space="preserve">PTJ rigging supervision / lifting specialist to complete a full lifting equipment audit and share to TFM that PTJ have completed their due diligence and continuous compliance to safety / rigging/lifting procedure(s). </t>
  </si>
  <si>
    <t>CPY noted that during a lifting operation at workshop #2 it was observed that PTJ Banksman was giving signals to the crane (correct procedure) however the tag line person who was wearing a banksmen yellow jacket was performing hand signals to the crane driver at the same time. 
Additionally, what was concerning as well was the arrival of the PTJ rigging supervisor who also was given hand signals to the lifting assigned banksmen.  This is completely in none compliance with correct lifting operations whereas 2 additional persons giving instructions to the crane banksmen.</t>
  </si>
  <si>
    <t>PTJ rigging supervision / lifting specialist to reinforce the correct communications and advise why this occurs on several occasions.</t>
  </si>
  <si>
    <t>Observed a worker using the correct tool to remove a grinding disc from his 9” grinder – safe act conducted</t>
  </si>
  <si>
    <t>Encouraged the worker to ensure continued focus on safe tool practices</t>
  </si>
  <si>
    <t>It has been observed that the workers in WS#2 area are wearing the required PPE</t>
  </si>
  <si>
    <t>Encouraged the team to ensure continued focus on the correct use of PPE</t>
  </si>
  <si>
    <t>Observed a worker not wearing his safety gloves whilst shifting small steel components</t>
  </si>
  <si>
    <t xml:space="preserve">Suspended the activity to ensure the worker wore his correct safety gloves and tutored him on the importance of wearing his PPE at all times – together with TFMC/PTJ HSE Advisor of the area </t>
  </si>
  <si>
    <t>Ensure both PTJ/TFMC are aware of safe PPE usage</t>
  </si>
  <si>
    <t>Observed a workers safety helmets flying off in high wind conditions</t>
  </si>
  <si>
    <t>raised SHOC Card for TFMS/PTJ awareness to instruct workers to use helmet strap</t>
  </si>
  <si>
    <t>It has been observed that the Rigger Supervisor conducted a good toolbox talk with his team, facilitated a productive discussion, and also checked the condition of the PPE</t>
  </si>
  <si>
    <t>The good supervision was appreciated, and the supervisor was encouraged to keep up the excellent work</t>
  </si>
  <si>
    <t>Good housekeeping, cable management, and materials management were observed in the sandblasting and painting area</t>
  </si>
  <si>
    <t>A welder was observed performing hot work without wearing a welding apron and thermal gloves, exposing himself to burns and injury</t>
  </si>
  <si>
    <t>A safety briefing was held for all workers involved in hot work to stress the mandatory use of PPE, including welding aprons and thermal gloves, to comply with safety standards and reduce injury risk</t>
  </si>
  <si>
    <t>Mohamed Barakat</t>
  </si>
  <si>
    <t>Due to high wind speed, the main gate of Workshop-1 has been displaced from its original position and is currently not properly fixed or supported. Kindly take the necessary action to secure and repair it as soon as possible to ensure safety and avoid further damage</t>
  </si>
  <si>
    <t>I was informed the concerned department (construction Department)</t>
  </si>
  <si>
    <t>I have observed the workers without required PPE while the work procced</t>
  </si>
  <si>
    <t>Inform HSE PTJ to take action with this issue and stop repeat it again.</t>
  </si>
  <si>
    <t>I have observed the frame and stand for welding machines without earthing , And the door for electrical panel not fixed</t>
  </si>
  <si>
    <t>Inform HSE PTJ to take action with this issue and isolate the electrical panel and stope working until fix the earthing for stand and the frame</t>
  </si>
  <si>
    <t>Workshop 7</t>
  </si>
  <si>
    <t>I have observed piping without safe securing , unclear accessway and poor cable management</t>
  </si>
  <si>
    <t>Inform HSE PTJ to stop the work and rearrange this situation immediately</t>
  </si>
  <si>
    <t>I have observed blending painting without using dip tray and that unsafe for the environmental</t>
  </si>
  <si>
    <t>Inform HSE PTJ to take action work and rearrange this situation immediately.</t>
  </si>
  <si>
    <t>I have observed the position for work unsafe for using angle grinder</t>
  </si>
  <si>
    <t>I have observed the supports for frame uncomplete the welding for support as mention on the supports design</t>
  </si>
  <si>
    <t>Inform HSE PTJ to stop the work on this frame and rearrange this situation 
immediately</t>
  </si>
  <si>
    <t>Worker was using grinding motor without any face protection</t>
  </si>
  <si>
    <t xml:space="preserve">Stopped him and called another worker to help him carrying the panel </t>
  </si>
  <si>
    <t>Electric cables were running through a scaffolding structure</t>
  </si>
  <si>
    <t xml:space="preserve"> the welders  removed the cables away.</t>
  </si>
  <si>
    <t>Wooden supports were removed and replaced</t>
  </si>
  <si>
    <t xml:space="preserve"> Grinder make sure that all welders are away before  grinding,</t>
  </si>
  <si>
    <t>observed a fitter using improper hammering tools</t>
  </si>
  <si>
    <t>stopped him immediately, inform the sup to instruct the workers to use proper tools .</t>
  </si>
  <si>
    <t>one grinder was grinding by cutting desk</t>
  </si>
  <si>
    <t xml:space="preserve">stopped him to change the grinding disk to prevent disk breaking </t>
  </si>
  <si>
    <t xml:space="preserve">Inform PTJ HSE Officer and he informed the welders to remove the cables away and carry out proper cable management </t>
  </si>
  <si>
    <t>observed that  wrong  replacing method of  grinding disk.</t>
  </si>
  <si>
    <t>Instructed the Grinders to use dedicaded tool  for changing grinding disks</t>
  </si>
  <si>
    <t>The supervisor was informed and removed immediately.</t>
  </si>
  <si>
    <t>Immediately stopped him and instruct him not to use his cell phone during operation or in Working site .</t>
  </si>
  <si>
    <t xml:space="preserve">banks man guide the fork lift operator as required </t>
  </si>
  <si>
    <t>Appreciate the good work</t>
  </si>
  <si>
    <t>Electrical cable in bad condition.</t>
  </si>
  <si>
    <t>Cable to be replaced as an immediate action. Ensure good housekeeping and cable management in the area.</t>
  </si>
  <si>
    <t>many cables welding machines laid on the floor unorganized which could lead to the tripping hazard.</t>
  </si>
  <si>
    <t>Work stopped, HSE officer was informed and supervised the condition</t>
  </si>
  <si>
    <t>It has been observed that many electrical plugs with out plastic cover</t>
  </si>
  <si>
    <t xml:space="preserve"> change the plugs with proper plugs with cover</t>
  </si>
  <si>
    <t xml:space="preserve">informed the sup to keep it empty </t>
  </si>
  <si>
    <t xml:space="preserve">observed improper housekeeping </t>
  </si>
  <si>
    <t>Observed poor welding cable management</t>
  </si>
  <si>
    <t>proper cable management was done</t>
  </si>
  <si>
    <t xml:space="preserve">grinder work with full PPE  </t>
  </si>
  <si>
    <t xml:space="preserve">Observed a grinder working without his Leather sleeves </t>
  </si>
  <si>
    <t>oxygen and acetlyene hoses were near hot surface during cutting stell plates</t>
  </si>
  <si>
    <t>Job stopped , hoses were secured away from the hot surfaces</t>
  </si>
  <si>
    <t>Unsafe earthing connection was found in the area.</t>
  </si>
  <si>
    <t>the connection was safely repaired by clamp</t>
  </si>
  <si>
    <t>Chain hoist without safety latch</t>
  </si>
  <si>
    <t>It was removed from work area and identified it with red color code</t>
  </si>
  <si>
    <t xml:space="preserve">Grinding machine with broken cover </t>
  </si>
  <si>
    <t>Grinding supervisor replaced the cover</t>
  </si>
  <si>
    <t>Observed electrical Cable for welding cabinet may lead to tripping hazard</t>
  </si>
  <si>
    <t>Relocated the welding cabinet very close to  the main electrical panel.</t>
  </si>
  <si>
    <t>Improper storage of material in the work area lead to poor access</t>
  </si>
  <si>
    <t>Removed the material to the dedicated storage area.</t>
  </si>
  <si>
    <t xml:space="preserve">observed grinder was working , grinding machine spark was toward gas bottle hoses may lead to Fire Hazard </t>
  </si>
  <si>
    <t>instructed him to focus all the time to the direction of spark to be away from workers, electric panels , cables , gas bottles</t>
  </si>
  <si>
    <t>stopped work and inform the sup of area to fixed it and check all scaffold in the site work</t>
  </si>
  <si>
    <t>Flash back arrestors are installed as required,</t>
  </si>
  <si>
    <t>Mostafa Abdelgany</t>
  </si>
  <si>
    <t xml:space="preserve">The barricade around our area have some gaps </t>
  </si>
  <si>
    <t>Notify the scaffolder supervisor  to complete the barricade</t>
  </si>
  <si>
    <t>observed scaffolding material scattered on the working area without arrangement</t>
  </si>
  <si>
    <t>Observed poor welding cables management</t>
  </si>
  <si>
    <t>Ahmed ibrahim</t>
  </si>
  <si>
    <t xml:space="preserve">telling to Welding Sup and he put cap on it </t>
  </si>
  <si>
    <t>It has been observed that there some welding cables are damaged</t>
  </si>
  <si>
    <t>inform welding supervisor to change the damaged cables.</t>
  </si>
  <si>
    <t>Hamdy Ahmed</t>
  </si>
  <si>
    <t>Propane gauge wasnot working well</t>
  </si>
  <si>
    <t>scaffolding material in the access</t>
  </si>
  <si>
    <t>ask the scaffolding sup to clean the acces</t>
  </si>
  <si>
    <t>While site inspection it was observed that one of the soft slings has minor sign of damage</t>
  </si>
  <si>
    <t>Asked the rigging supervisor to change the sling and he did,</t>
  </si>
  <si>
    <t>Cabels were found in bad condition</t>
  </si>
  <si>
    <t>Cabel management was conducted</t>
  </si>
  <si>
    <t>Scaffold was having open spots not covered by timber boards creating a falling hazards.</t>
  </si>
  <si>
    <t>openings were protected by timber boards</t>
  </si>
  <si>
    <t xml:space="preserve">Hassan said </t>
  </si>
  <si>
    <t xml:space="preserve">Observed pipes and beams which are blocked the access ways </t>
  </si>
  <si>
    <t>Informed Lifting sup, he removed it immediately</t>
  </si>
  <si>
    <t>Observed damaged cable for portable electrical panel</t>
  </si>
  <si>
    <t>Replaced the portable electrical panel</t>
  </si>
  <si>
    <t xml:space="preserve">some scarb need to be reomved </t>
  </si>
  <si>
    <t>informed Riiging sup and he removed scrap</t>
  </si>
  <si>
    <t xml:space="preserve">observed long earthing cable lead to tripping Hazard </t>
  </si>
  <si>
    <t>Informed electrician and he buried the cable</t>
  </si>
  <si>
    <t xml:space="preserve">observed welding cables need to be arranged </t>
  </si>
  <si>
    <t>cable management has been performed</t>
  </si>
  <si>
    <t xml:space="preserve">Ahmed Sobhy </t>
  </si>
  <si>
    <t>Observed poor House keeping and improper material arrangement</t>
  </si>
  <si>
    <t>observed  welding rods on the ground</t>
  </si>
  <si>
    <t>housekeeping was done</t>
  </si>
  <si>
    <t>Stopped the grinder , instructed him to send the machine to electric dept to change the cable  , he did</t>
  </si>
  <si>
    <t>Abdelfatah Mohamed</t>
  </si>
  <si>
    <t>Spoke to rigging supervisor to relocate the welding machine</t>
  </si>
  <si>
    <t>Transferred all scaffold material to the dedicated storage area</t>
  </si>
  <si>
    <t xml:space="preserve">Material stands blocked the main access  </t>
  </si>
  <si>
    <t>removed them from the main access</t>
  </si>
  <si>
    <t>The cylinder was secured by protection cap</t>
  </si>
  <si>
    <t>Removed it from the area , marked it with red color code</t>
  </si>
  <si>
    <t xml:space="preserve">Observed that welding operation is carried out safely and full PPE and leather apron are inplace as required, </t>
  </si>
  <si>
    <t xml:space="preserve">Thanked the team for the positive behaviours </t>
  </si>
  <si>
    <t>good level of housekeeping and clearness of passages</t>
  </si>
  <si>
    <t>Observed welders using empty painting buckets  to collect electrodes in.</t>
  </si>
  <si>
    <t>Buckets were provided.</t>
  </si>
  <si>
    <t>It has been observed that a Grinder was using a grinding machine, where the power cable was damaged.</t>
  </si>
  <si>
    <t>The work has been stopped and asked the grinder to send the machine to the maintenance to change the damaged cable</t>
  </si>
  <si>
    <t>One of the Grinders using his grinding machine without hand gloves.</t>
  </si>
  <si>
    <t>Stop him and Informed him to wear suitble PPE</t>
  </si>
  <si>
    <t>Observed the Forklift driver is smoking while he unloading material at fabrication area.</t>
  </si>
  <si>
    <t>Stopped him immediately and inform the HSE officer to inform the driver to smoke only in smoking area.</t>
  </si>
  <si>
    <t xml:space="preserve">Stop work and advising him to go from  his position </t>
  </si>
  <si>
    <t>Stopped him to remove cylinder away  from grinding operation area , advised him to focus on the direction of sparks all the time</t>
  </si>
  <si>
    <t>Encouraged the team for their commitmen</t>
  </si>
  <si>
    <t>Thanked the team for the positive behaviours</t>
  </si>
  <si>
    <t xml:space="preserve">Crane is inspected , has a valid calibration certificate , color coded and inspected daily as required </t>
  </si>
  <si>
    <t>mohamed ahmed</t>
  </si>
  <si>
    <t>welder</t>
  </si>
  <si>
    <t>Lifting Gears&amp;Equipment In good condition, have valid certificates and color coded</t>
  </si>
  <si>
    <t>Observed Good Level  Housekeeping</t>
  </si>
  <si>
    <t xml:space="preserve">Cables need to arrangement </t>
  </si>
  <si>
    <t xml:space="preserve">Tell the grinders sup to arrangement the cables </t>
  </si>
  <si>
    <t>Storage material with sharp edge</t>
  </si>
  <si>
    <t>put a cone in front sharp edge and Highlighted the issue with the lifting sup</t>
  </si>
  <si>
    <t xml:space="preserve">I have observed the angle grinder man working on Unsafe way  </t>
  </si>
  <si>
    <t>Inform HSE PTJ to take the action with him by warning letter</t>
  </si>
  <si>
    <t xml:space="preserve">I have observed the welder using chair above the  frame. </t>
  </si>
  <si>
    <t>Inform HSE PTJ to take the action with him and provide safe scaffolding for work.</t>
  </si>
  <si>
    <t xml:space="preserve">I have observed the scaffolder using the board on unsafe way for work </t>
  </si>
  <si>
    <t xml:space="preserve">Inform HSE PTJ to take the action with him and correct this position for work. </t>
  </si>
  <si>
    <t xml:space="preserve">Observed the Angle grinder man using the angle grinder on Unsafe 
position also without gloves </t>
  </si>
  <si>
    <t xml:space="preserve">Inform HSE PTJ to take action with him. </t>
  </si>
  <si>
    <t xml:space="preserve">I have observed the riggers secure the load without saving the wire from the 
sharp edges  </t>
  </si>
  <si>
    <t xml:space="preserve">Inform HSE PTJ to take the action with the riggers </t>
  </si>
  <si>
    <t xml:space="preserve">Observed Unsafe support or securing for pipe while working on it  </t>
  </si>
  <si>
    <t>Inform HSE PTJ to take the action and correct this position immediately.</t>
  </si>
  <si>
    <t>I have observed accessway unclear and poor cable management</t>
  </si>
  <si>
    <t xml:space="preserve">Inform HSE PTJ to take the action and correct this position immediately. </t>
  </si>
  <si>
    <t xml:space="preserve">I have observed poor housekeeping.   </t>
  </si>
  <si>
    <t xml:space="preserve">Inform HSE PTJ to take the action.. </t>
  </si>
  <si>
    <t>Observed workers of scaffold erection team using single wooden boaed while working</t>
  </si>
  <si>
    <t>Advised worker to use atleast 2 wood boards eveb while erecting the scaffold</t>
  </si>
  <si>
    <t xml:space="preserve">Observed cups holding the steel frame has unapproved modifications and not stable </t>
  </si>
  <si>
    <t>Advised them to replace them with cups that are up to standard</t>
  </si>
  <si>
    <t>Advised workers to arrange the material to eliminate slip and trip hazards</t>
  </si>
  <si>
    <t>I observed a butane cylinder on a cart in Workshop that was not secured with a chain</t>
  </si>
  <si>
    <t>Observed that workers are wearing proper PPE while painting steel structures</t>
  </si>
  <si>
    <t>Condemed the team for following the safe PPE  standards</t>
  </si>
  <si>
    <t xml:space="preserve">Observed the SIMOPS between lifting operation , scaffolding and hot 
activities also there are no barricades to stop moving around the crane so they 
broke the line of fire. </t>
  </si>
  <si>
    <t xml:space="preserve">Inform HSE PTJ to stop all the activities immediately and make TBT and rearrange the work to avoid any SIMOPS  </t>
  </si>
  <si>
    <t xml:space="preserve">I have observed broken cup lock using at Area 4 </t>
  </si>
  <si>
    <t xml:space="preserve">Inform HSE PTJ to stop this scaffolding immediately and change the defected cup lock </t>
  </si>
  <si>
    <t xml:space="preserve">I have observed leakage on 50 ton crawler crane at Area 3 </t>
  </si>
  <si>
    <t xml:space="preserve">Inform HSE PTJ to stop the crane and call the maintenance to check it </t>
  </si>
  <si>
    <t xml:space="preserve">I have observed material without securing and barricades  </t>
  </si>
  <si>
    <t xml:space="preserve">Inform HSE PTJ to provide securing and barricade it </t>
  </si>
  <si>
    <t>Observed forklift operator moving materials into workshop # 3 without the aid of a flagman to guide and warn persons within the workshop of the material movement</t>
  </si>
  <si>
    <t xml:space="preserve">Approached and stopped the task until the flagman who was elsewhere in the workshop approached and started guiding the forklift operator </t>
  </si>
  <si>
    <t xml:space="preserve">Flagman to always be in attendance when forklift is in motion, especially in tight 
spaces and congested areas where personnel are working </t>
  </si>
  <si>
    <t>Presence of some personnel during blasting a mudmat before mechanical 
repair.</t>
  </si>
  <si>
    <t xml:space="preserve">They were asked to leave the yard immediately. </t>
  </si>
  <si>
    <t>Blasting area must to be barricaded during blasting and no one is allowed to 
enter during the process except the watchman.</t>
  </si>
  <si>
    <t xml:space="preserve">Few technicians were grinding on the mudmat to repair mechanical defects without wearing facial mask. </t>
  </si>
  <si>
    <t xml:space="preserve">I spoke to them and they immediately put on their facial masks and others requested new ones as the masks they use were not clear. </t>
  </si>
  <si>
    <t xml:space="preserve">PTJ safety was informed and requested to stay vigilant. </t>
  </si>
  <si>
    <t>CPY observed unkept smoking shelter in outside area # 2. No proper seating in the shelter is available as well as no ashtray, with the result of cigarette stubs being discarded onto the ground.</t>
  </si>
  <si>
    <t>Informed Area Safety Officer to ensure immediate area is rectified and housekeeping done</t>
  </si>
  <si>
    <t xml:space="preserve">Ensure proper seating as well as an ashtray to extinguish cigarette butts </t>
  </si>
  <si>
    <t>Observed damaged/cut welding cable lying within the walkway.</t>
  </si>
  <si>
    <t xml:space="preserve">Informed area Safety officer as well as welding operator to ensure welding cables are not lying in walkways as it can cause to be damaged when walked on or other equipment being placed thereon </t>
  </si>
  <si>
    <t>Cable management to improve and cables to be laid where no damage can be caused</t>
  </si>
  <si>
    <t xml:space="preserve">CPY noted at workshop #7 there is only one welding/hotwork screen within all the workshop. 
CPY requested to TFMC to ensure that adequate screens are provided to multiple working fronts.  </t>
  </si>
  <si>
    <t>TFMC HSE to intervene and liaise with PTJ HSE to ensure a working environment for PTJ workers is provided and ensures good working practices are being implemented</t>
  </si>
  <si>
    <t xml:space="preserve">During visit to workshop 1 welders were found to be wearing all mandatory and task based PPE. </t>
  </si>
  <si>
    <t xml:space="preserve">Commended the workers and encouraged them to keep up the good PPE standard. </t>
  </si>
  <si>
    <t xml:space="preserve">During visit to outside work area 4 all personnel were found to be wearing 
hearing protection &amp; safety glasses </t>
  </si>
  <si>
    <t xml:space="preserve">CPY observed that, leftover welding and grinding residual material outside of 
Workshop #2 and outside workshop#1. </t>
  </si>
  <si>
    <t xml:space="preserve">Informed Petrojet TFMC / HSE, to do all necessary for proper housekeeping for this specific part of Workshop #2. </t>
  </si>
  <si>
    <t xml:space="preserve">Ensure this topic will be re-highlighted during TBT, to encourage PTJ workers to keep all yard facilities clean inline with HSE CPY requirements. </t>
  </si>
  <si>
    <t xml:space="preserve">Improper PPE (Dark Glass) been worn by welders, inside all fabrication workshops. </t>
  </si>
  <si>
    <t xml:space="preserve">Discussed the point in person with the welder, then informed PTJ/ TFMC HSE, to provide a clear glass to the new team.  </t>
  </si>
  <si>
    <t xml:space="preserve">Reiterate this topic during the TBT to encourage the new team for wearing proper PPE inside workshops. </t>
  </si>
  <si>
    <t xml:space="preserve">CPY observed that, Portable welding / grinding screens in comparison to grinding activities needs to be reposition. </t>
  </si>
  <si>
    <t xml:space="preserve">CPY approached TFMC / PTJ HSE, to Relocate the Portable welding / grinding screens in conjunction to the Grinding activities been in progress.  </t>
  </si>
  <si>
    <t xml:space="preserve">CPY recommended to reiterate this topic during the TBT to encourage everyone coming to the ZB yard for wearing proper PPE inside workshop. </t>
  </si>
  <si>
    <t>CPY observed that, there is unsafe practice to fix and support stabbing cradle together by screw bolt and not fully rested on the ground.  
CPY observed that unsafe practice it has a potential risk of the heavy weight 
fallen.</t>
  </si>
  <si>
    <t>CPY approached TFMC / PTJ HSE, to take an immediate action to ensure that all structures are fully rested on (full contact points).  In addition to that, PTJ to stopped the activities and barricaded.</t>
  </si>
  <si>
    <t xml:space="preserve">CPY recommended to. ensure that all structures are fully rested on the ground (full contact points).  In addition to that, PTJ to get engineering approved proposal on how to support such a critical item. </t>
  </si>
  <si>
    <t>CPY noted that several poor stacking arrangements of project material outside the workshops.  CPY discussed and requested TFMC/PTJ to ensure a better / safer and best practices for storing of material in applied.</t>
  </si>
  <si>
    <t xml:space="preserve">CPY immediately discussed with TFMC and PTJ on way forward and implementation of corrective actions. </t>
  </si>
  <si>
    <t xml:space="preserve">TFMC HSE to ensure PTJ HSE advisors intervene when seeing or observing an unsafe condition(s).  Likewise for TFMC HSE team to be intervening at all times. </t>
  </si>
  <si>
    <t xml:space="preserve">CPY noted that several extremely poor scaffolding boards have been used to erect the scaffold hop-ups. 
Boards are of extremely bad condition and should not be used. </t>
  </si>
  <si>
    <t xml:space="preserve">TFMC HSE to ensure PTJ HSE advisors intervene when seeing or observing an unsafe condition(s).  Likewise, for TFMC HSE team to be intervening at all times. 
PTJ to replace all damaged/poor condition boards and TFMC / PTJ to set up a scaffold hop-up campaign immediately to address this condition </t>
  </si>
  <si>
    <t>CPY noted PTJ/TFMC have not completed all the fabrication support stands 
having rubber protection installed. 
This topic has been ongoing for circa 5 months with no improvements</t>
  </si>
  <si>
    <t xml:space="preserve">Discussed during the safety management walkaround and safety management meeting. </t>
  </si>
  <si>
    <t xml:space="preserve">TFMC HSE to engage with HQ and purchasing rubber protection then applying </t>
  </si>
  <si>
    <t xml:space="preserve">CPY has noted for some time now that TFMC and PTJ senior management participation is not being adhered to. 
CPY has discussed and requested that TFMC and PTJ senior management be available and take part in this weekly mandatory HSE meeting. </t>
  </si>
  <si>
    <t xml:space="preserve">Discussed during the safety management meeting. </t>
  </si>
  <si>
    <t xml:space="preserve">TFMC/PTJ HSE Manager(s) or Leads to discuss with their management on correct attending. </t>
  </si>
  <si>
    <t>Good cable management and housekeeping observed in Workshop 2 walkways</t>
  </si>
  <si>
    <t>Observed that proper barricading has been used around material storage outside Workshop 1</t>
  </si>
  <si>
    <t>Commended the workers and PTJ HSE to keep up safe practices</t>
  </si>
  <si>
    <t>Observed worker grinding without wearing face shield</t>
  </si>
  <si>
    <t xml:space="preserve">Stopped work immediately, advised not to continue work without proper PPE.
</t>
  </si>
  <si>
    <t>Observed worker welding on a frame while standing on it with no safe measures.</t>
  </si>
  <si>
    <t>Stopped work immediately, requested to erect a scaffolding for such works to keep worker in a safe position for work.</t>
  </si>
  <si>
    <t>Mohamed Saber</t>
  </si>
  <si>
    <t>Found welding compressed as cylinder hose is worn out and cracked</t>
  </si>
  <si>
    <t>Compressed Gas cylinder was immediately isolated 
Hose was replaced</t>
  </si>
  <si>
    <t>Observed that workers are sitting on the frame of the steel structures while working on it with no safety measures.</t>
  </si>
  <si>
    <t>Stopped the work immediately and requested for safe measures to commence job (elevated scaffold platforms ).</t>
  </si>
  <si>
    <t xml:space="preserve">Observed ongoing lifting activity aside hot work activity </t>
  </si>
  <si>
    <t>Advised welders to clear the lifting area till work is done then resume hot works</t>
  </si>
  <si>
    <t>Observed worker grinding on a frame that is not safely supported</t>
  </si>
  <si>
    <t>Suspended the activity,
advised to provide adequate support to the frame then continue working</t>
  </si>
  <si>
    <t>Observed ground protection sheets at blasting and painting area is fixed with rocks which is considered as a tripping hazard.</t>
  </si>
  <si>
    <t>Advised to replace the anchoring rocks with visible yellow-coloured metal plates</t>
  </si>
  <si>
    <t>Observed hop-ups are scattered the working area obstructing many access ways</t>
  </si>
  <si>
    <t>Advised that the number of hop ups to be reduced for only ongoing work and manage it so it never obstructs a pathway</t>
  </si>
  <si>
    <t xml:space="preserve">It was observed that some electrical panels had not been inspected. </t>
  </si>
  <si>
    <t xml:space="preserve">The electrical maintenance department and HSE PTJ  was notified and instructed to conduct a full inspection. </t>
  </si>
  <si>
    <t>A site-wide survey of all electrical panels was carried out by the HSE team to ensure compliance with inspection.</t>
  </si>
  <si>
    <t xml:space="preserve">It was observed that scaffold materials were unsafely stored on a frame inside Workshop 1, creating a potential tripping hazard. </t>
  </si>
  <si>
    <t xml:space="preserve">The materials were immediately rearranged and stored properly. the scaffolding team was reminded to follow safe storage practices. </t>
  </si>
  <si>
    <t>It was observed that worker during hot work activities using grinding power machine with damage cable.</t>
  </si>
  <si>
    <t xml:space="preserve">The activity was stopped immediately, and appropriate action was taken with the worker. </t>
  </si>
  <si>
    <t xml:space="preserve">It was observed that two workers were performing hot work activities on a damaged scaffold platform. </t>
  </si>
  <si>
    <t xml:space="preserve">The activity was stopped immediately. A survey of all scaffold platforms on site was conducted, and a Toolbox Talk was held with the workshop team. </t>
  </si>
  <si>
    <t xml:space="preserve">It was observed that a scaffold was missing part of its guardrail system, yet it had a green tag attached. </t>
  </si>
  <si>
    <t xml:space="preserve">Immediate action was taken by informing the scaffold inspector to remove the green tag, carry out corrective actions, and complete the re-inspection of the scaffold. </t>
  </si>
  <si>
    <t xml:space="preserve">During the site survey, it was observed that the fabrication team was using a non-certified, handmade cavalet to support ongoing frame welding activities. </t>
  </si>
  <si>
    <t xml:space="preserve">The ongoing activity was suspended, the area was evacuated and secured with caution tape, and all support structures were referred to the QC department for re-inspection before resuming work. </t>
  </si>
  <si>
    <t xml:space="preserve">A lifting activity was observed inside the workshop, and the area around the loading zone was not evacuated. </t>
  </si>
  <si>
    <t xml:space="preserve">Immediate action was taken by suspending the lifting activity. TBT was conducted with the workshop team, and disciplinary action was taken against the lifting supervisor. </t>
  </si>
  <si>
    <t>Observed scaffolding at the area that is loose in the area</t>
  </si>
  <si>
    <t>Notified the scaffolding supervisor to tighten up the loose scaffold and inspect the area for any other potential fixes</t>
  </si>
  <si>
    <t>Observed compressed gas cylinders in the area that are not matching the color code, hose not safely tied to thecylinders, and nonfunctional gauges</t>
  </si>
  <si>
    <t>Notified the supervisor in the area about the issue and suspended it from the area.</t>
  </si>
  <si>
    <t>Observed the overhead crane chain block safety latch is broken and has no updated color code.</t>
  </si>
  <si>
    <t>Advised the rigging supervisor to get maintain the latch and update the color code after inspection.</t>
  </si>
  <si>
    <t>Observed worker using damaged tools (worn cables and not color coded)</t>
  </si>
  <si>
    <t>Stopped work immediately, requested to suspend damaged tools and use only well-maintained tools that areupdated to the current color code</t>
  </si>
  <si>
    <t>Whilst inspecting permits in WS#3 it was observed that a hot work permit wasattached to a cold work permit attachments.</t>
  </si>
  <si>
    <t>Removed the permit and informed PTJ HSE to rectify and attach the correct documentation that correspond to the permit.</t>
  </si>
  <si>
    <t>PTW coordinator to ensure all documentation pertaining to a permit is correct.</t>
  </si>
  <si>
    <t xml:space="preserve">CPY noted that personnel were permitted to enter onto a scaffold (circa 1.5m high) using steps.  CPY went onto scaffold with green scafftag in operation.  
PTJ HSE advisor then asked CPY to come off scaffold due to scaffolders doing modifications to the wooden planks which are the walkway. </t>
  </si>
  <si>
    <t xml:space="preserve">CPY immediately came off scaffold and held discussions to both TFMC and PTJ HSE Advisors as to why person(s) were allowed to go onto scaffold with modifications.  The green scafftag was removed to show red (do not enter). </t>
  </si>
  <si>
    <t>TFMC/PTJ HSE Manager(s) or leads to discuss with their teams and follow up with internal training of safety advisors and their roles and responsibilities (education).</t>
  </si>
  <si>
    <t>CPY immediately came off scaffold and held discussions to both TFMC and PTJ HSE Advisors stopped the offenders and requested the person(s) to wear the correct PPE for their environment. 
PTJ and TFMC to hold smaller bundle of TBTs at the workface and reiterate the safe wearing of correct PPE and look at mitigations to stop this negative trending.</t>
  </si>
  <si>
    <t>CPY immediately came off scaffold and held discussions to both TFMC and PTJ 
HSE Advisors stopped the offenders and requested the person(s) to wear the correct PPE for their environment. 
PTJ and TFMC to hold smaller bundle of TBTs at the workface and reiterate the safe wearing of correct PPE and look at mitigations to stop this negative trending.</t>
  </si>
  <si>
    <t xml:space="preserve">TFMC/PTJ HSE Manager(s) or leads to push out at all times and MUST interact / intervene when observing this PPE violation. </t>
  </si>
  <si>
    <t>Observed several loose/dislodged scaffold tubes on scaffold frame attached to blue corrugated sheeting in Area # 3.</t>
  </si>
  <si>
    <t>Informed TFMC HSE Hany, who arranged with PTJ Scaffolders to re attach and rectify the scaffold pieces that had become dislodged</t>
  </si>
  <si>
    <t xml:space="preserve">During visit to workshop 1 welders were found to be wearing all mandatory and task-based PPE. </t>
  </si>
  <si>
    <t xml:space="preserve">During visit to blasting and paint are 1, grinders were found to be wearing all mandatory and task-based PPE. </t>
  </si>
  <si>
    <t xml:space="preserve">The blasting watchman was in the blasting area without dust mask </t>
  </si>
  <si>
    <t xml:space="preserve">I spoke to him and he was outside the area until he got one. </t>
  </si>
  <si>
    <t xml:space="preserve">Safety issues to be discussed in the blasting and painting daily TBT.  </t>
  </si>
  <si>
    <t xml:space="preserve">Improper PPE (Dark Glass) been worn by welders and fitters, inside all fabrication workshops. </t>
  </si>
  <si>
    <t xml:space="preserve">Discussed the point in person with the welder and the fitter, then informed PTJ/ TFMC HSE, to provide a clear glass to the new team.  </t>
  </si>
  <si>
    <t>Reiterate this topic during the TBT to encourage the new team for wearing proper PPE inside workshops</t>
  </si>
  <si>
    <t xml:space="preserve">CPY observed that, there is lack of Portable welding / grinding screens in comparison to grinding activities  </t>
  </si>
  <si>
    <t xml:space="preserve">CPY observed that, leftover of Wooden box with stand nails at Workshop #1. </t>
  </si>
  <si>
    <t xml:space="preserve">Informed Petrojet TFMC / HSE, to do all necessary for proper housekeeping for this specific part of Workshop #1. </t>
  </si>
  <si>
    <t xml:space="preserve">Ensure this topic will be re-highlighted during TBT, to encourage PTJ workers to 
keep all yard facilities clean inline with HSE CPY requirements. </t>
  </si>
  <si>
    <t xml:space="preserve">CPY observed that several cables were found on the ground without any arrangement / cable management through cable management platform. </t>
  </si>
  <si>
    <t xml:space="preserve">Informed PTJ / TFMC HSE, to postpone the activities, to do all necessary for proper housekeeping all over the cable arrangement / cable management through cable management platform. </t>
  </si>
  <si>
    <t xml:space="preserve">Ensure that all crew who involved in the activities inside this area are fully aware and acknowledge that housekeeping is a daily routine activity to be done by end of each shift.  </t>
  </si>
  <si>
    <t>PTJ blaster was able safely to blast very hard to reach areas on the mudmat producing outstanding result.</t>
  </si>
  <si>
    <t>It was decided to reward him in the next weekly TBT</t>
  </si>
  <si>
    <t xml:space="preserve">It was observed that a welding machine had a damaged cable, which could potentially cause electric shock or uncontrolled power load on the electrical panel. </t>
  </si>
  <si>
    <t xml:space="preserve">The welding machine was immediately taken out of service, and the damaged cable was removed and replaced by the maintenance team. </t>
  </si>
  <si>
    <t xml:space="preserve">Observed workers are working on uninspected Scaffolding platform  </t>
  </si>
  <si>
    <t>Suspended work 
Removed workers from platform 
Advised workers to work only on inspected platforms</t>
  </si>
  <si>
    <t xml:space="preserve">Observed that the grinding tool has a defective housing and cable </t>
  </si>
  <si>
    <t>Advised to remove tool from site until it is fixed</t>
  </si>
  <si>
    <t>During the lifting activity, the frame was observed being lifted using an unsafe method, posing a risk to personnel and equipment.</t>
  </si>
  <si>
    <t xml:space="preserve">The lifting activity was stopped immediately and the load was lowered and secured in a safe position. </t>
  </si>
  <si>
    <t>Creating TBT with the lifting team to reinforce safe lifting procedures and prevent recurrence of unsafe practices.</t>
  </si>
  <si>
    <t xml:space="preserve">Observed that the painting buckets are stored on the ground   </t>
  </si>
  <si>
    <t>Advised area supervisor to store paint buckets in the designated area for paint storage to prevent spillage on ground</t>
  </si>
  <si>
    <t>It has been observed that small metal frames were found stored on the walkway inside the workshop, obstructing safe access and creating a tripping hazard.</t>
  </si>
  <si>
    <t xml:space="preserve">The small frames were immediately removed from the walkway and relocated to a designated storage area and supervisor was instructed that following the procedure and more supervision. </t>
  </si>
  <si>
    <t>Observed workers have properly barricaded the Forklift open area 3</t>
  </si>
  <si>
    <t>Provide positive feedback for the Area supervisor</t>
  </si>
  <si>
    <t xml:space="preserve">It was observed that a grinder crossed the scaffold guardrail system and stood on an unsafe platform to carry out grinding activity. </t>
  </si>
  <si>
    <t xml:space="preserve">The activity was stopped immediately, and the grinder was instructed to come down from the unsafe platform. </t>
  </si>
  <si>
    <t xml:space="preserve">Disciplinary action was taken against the violator, and a Toolbox Talk (TBT) was conducted with all. </t>
  </si>
  <si>
    <t>Observed pipes stacked without chocks</t>
  </si>
  <si>
    <t>Advised area supervisor to provide chocks during pipe storage</t>
  </si>
  <si>
    <t xml:space="preserve">It was observed that a worker was manually moving a gas cylinder without using a trolley. </t>
  </si>
  <si>
    <t>The worker was stopped immediately, and the HSE team instructed the workshop to conduct aTBT on the safe manual handling of gas cylinders at the worksite.</t>
  </si>
  <si>
    <t>Observed that the cables are not arranged in the area and may lead to slip and trip</t>
  </si>
  <si>
    <t>Advised area supervisor to arrange cables and housekeeping in the area</t>
  </si>
  <si>
    <t xml:space="preserve">It was observed that grinding activities were being performed without the appropriate PPE, and the equipment cables were in poor condition. </t>
  </si>
  <si>
    <t>The activity was stopped immediately, and the supervisor was instructed to replace the PPE and inspect the area conditions to ensure safe working practices.</t>
  </si>
  <si>
    <t xml:space="preserve">CPY recommended to ensure that items which are subject to lifted to be fully inspected and released based on official design report and QC report. </t>
  </si>
  <si>
    <t>CPY observed that, leftover of Wooden bar with stand nails at outside fabrication area #1</t>
  </si>
  <si>
    <t>Ensure this topic will be re-highlighted during TBT, to encourage PTJ workers to keep all yard facilities clean inline with HSE CPY requirements.</t>
  </si>
  <si>
    <t xml:space="preserve">CPY observed a proper Housekeeping during preparation of fabrication activities included prefabrication and welding, have been carried out properly, within outside fabrication area#4. </t>
  </si>
  <si>
    <t xml:space="preserve">CPY approach TFMC / PTJ HSE representative, to encourage the whole team have been involved in the lifting operation, for their commitment to HSE rules and requirements. </t>
  </si>
  <si>
    <t xml:space="preserve">CPY observed there is lack of hop-up stands, using scrap pieces of beams instead during mechanical activities. </t>
  </si>
  <si>
    <t>CPY approached TFMC / PTJ HSE, to remove these pieces of scrap and replaced them with hop-up stands.</t>
  </si>
  <si>
    <t xml:space="preserve">CPY recommended to reiterate this topic during the TBT to encourage everyone coming to the ZB yard to follow the correct procedure. </t>
  </si>
  <si>
    <t>CPY observed that there is a modification that has been made for some fabrication support which is lifting the pipe frame not fully rested on it during the fabrication / welding activities.</t>
  </si>
  <si>
    <t>CPY approached TFMC / PTJ HSE, to take immediate action to ensure that all same frames must be fully rested on the fabrication support (full contact points).</t>
  </si>
  <si>
    <t xml:space="preserve">CPY recommended to ensure that all structures / sub elements items are fully rested on the fabrication support (full contact points). </t>
  </si>
  <si>
    <t>Observed that the area is congested with workers and has no enough space to work</t>
  </si>
  <si>
    <t>Advised supervisor to either reduce workforce or rearrange space to accommodate more workers.</t>
  </si>
  <si>
    <t>Observed that the area has poor cable management</t>
  </si>
  <si>
    <t>Advised supervisor to arrange cables around area to reduce slip and trip hazard</t>
  </si>
  <si>
    <t>Some scaffold plates on scaffold need to be propely installed and fixed</t>
  </si>
  <si>
    <t>Instructed the sup to relocate the cylinder and he did</t>
  </si>
  <si>
    <t>Replaced it by new welding cables</t>
  </si>
  <si>
    <t>Welding cable connector rubber cover
was missing,</t>
  </si>
  <si>
    <t>Stopped the welders and asked all to clean the area.  Housekeeping done</t>
  </si>
  <si>
    <t xml:space="preserve">Observed that some waste container is full, and it needs to be empty. </t>
  </si>
  <si>
    <t xml:space="preserve">Informed Scaffold Sup to complete the hard barricade and action took place. </t>
  </si>
  <si>
    <t>Observed scattered welding electrodes residue on top of scaffolds and under piles  - trash bin placed in improper  place</t>
  </si>
  <si>
    <t xml:space="preserve">Ask the welding sup to arrangement the cables and he do it immediately </t>
  </si>
  <si>
    <t xml:space="preserve">scaffold material in the access </t>
  </si>
  <si>
    <t xml:space="preserve">ask the scaffolding sup to clean the access </t>
  </si>
  <si>
    <t>Worker was using grinding motor without  face protection</t>
  </si>
  <si>
    <t xml:space="preserve">one of the fitters wear full ppe specially the gloves while use the hammer </t>
  </si>
  <si>
    <t xml:space="preserve">Observed Good Level  Housekeeping </t>
  </si>
  <si>
    <t>good participation and intervention throught the morning TBT</t>
  </si>
  <si>
    <t>stopped him to wear safety glassess</t>
  </si>
  <si>
    <t>All Cables onsite are well organized</t>
  </si>
  <si>
    <t xml:space="preserve">welders wearing their full ppe on site </t>
  </si>
  <si>
    <t>Observed good housekeeping in the project area.</t>
  </si>
  <si>
    <t>all lifting equipment/gears are inspected, certified and color coded.</t>
  </si>
  <si>
    <t>Recognize the good work from lifting team</t>
  </si>
  <si>
    <t xml:space="preserve">Safe handling of gas cylinders </t>
  </si>
  <si>
    <t>Appreciate the safe work</t>
  </si>
  <si>
    <t xml:space="preserve">On-site cylinders are handled safely </t>
  </si>
  <si>
    <t>Encouraged him for their commitment</t>
  </si>
  <si>
    <t xml:space="preserve">Appreciated the Good Work </t>
  </si>
  <si>
    <t xml:space="preserve">Welding equipments are  inspected , provided with Inspection and in good condition </t>
  </si>
  <si>
    <t>Flag man is always guiding the forklift operator</t>
  </si>
  <si>
    <t>Scaffold in good condition, provided with retractable gate/updated Scaff tag and inspected periodically.</t>
  </si>
  <si>
    <t>observed  welding rods on scaffold platform</t>
  </si>
  <si>
    <t>Inform PTJ HSE Officer and he informed the welders to remove the cables away and carry out proper cable management .</t>
  </si>
  <si>
    <t>supervisor has been notified and a basket has been provided</t>
  </si>
  <si>
    <t>The welders have been notified and unused cables were concealed</t>
  </si>
  <si>
    <t>It was observed that some work pieces stored wrongly at the fitters working 
table</t>
  </si>
  <si>
    <t>Spoke to fitters and they re-organized 
the working table immediately</t>
  </si>
  <si>
    <t xml:space="preserve">Asked the rigging supervisor to change the sling and he did, </t>
  </si>
  <si>
    <t>One of HSE signs about to fall due to wind.</t>
  </si>
  <si>
    <t xml:space="preserve">Asked the SUP to reposition and stabilize it </t>
  </si>
  <si>
    <t>Heating torch left unattended while under operation Which may lead to a fire hazard</t>
  </si>
  <si>
    <t xml:space="preserve">A special operator is assigned to attended the Heating Torch </t>
  </si>
  <si>
    <t>Sharp edge not highlighted and can cause injury,</t>
  </si>
  <si>
    <t>Highlighted the hazard condition to fitting supervisor and he had taken the corrective action,</t>
  </si>
  <si>
    <t>A damage webbing sling was observed at the fabrication area  </t>
  </si>
  <si>
    <t>Rigging foreman to ensure the pre-sue inspection is carried out and all damaged tools to be quarantined.</t>
  </si>
  <si>
    <t>The supervisor was informed and removed immediately. .</t>
  </si>
  <si>
    <t>some scaffold materials scattered on the ground</t>
  </si>
  <si>
    <t>Asked the Scaffolder Sup to arrangement the material and the corrective action taken immediately</t>
  </si>
  <si>
    <t>Buckets were provided.
Painting buckets were removed from site.</t>
  </si>
  <si>
    <t>Observed improper material arrangement</t>
  </si>
  <si>
    <t>materials have been arranged immediatly.</t>
  </si>
  <si>
    <t xml:space="preserve">Observed lifting shackles without color code </t>
  </si>
  <si>
    <t>Asked the rigging supervisor to inspect the shackle and apply the right colorcode</t>
  </si>
  <si>
    <t>Poor scaffolding material arrangement</t>
  </si>
  <si>
    <t>asked the scaffolder sup and The material was arranged properly</t>
  </si>
  <si>
    <t xml:space="preserve"> observed that one of the soft slings has minor sign of damage</t>
  </si>
  <si>
    <t xml:space="preserve">Asked the rigging sup to change the sling and he did, </t>
  </si>
  <si>
    <t>Improper attaching of the slings to the chain block hook and the hook has no latches.</t>
  </si>
  <si>
    <t xml:space="preserve"> work was stopped.- A TBT was conducted with riggers and the hazard was addressed.-the chain block has been replaced.</t>
  </si>
  <si>
    <t>Poor cable arrangement in a welding point that exposes workers to trip risk</t>
  </si>
  <si>
    <t>The work was stopped and the cables were arranged properly.</t>
  </si>
  <si>
    <t>color code in some lift slings needs to be clear</t>
  </si>
  <si>
    <t>asked lifting team to clarifying color code of slings and they did.</t>
  </si>
  <si>
    <t>Observed that welding machine nearby the fabrication activity</t>
  </si>
  <si>
    <t>Inspection scaffold tag for one of scaffold was not in place.</t>
  </si>
  <si>
    <t>Stopped the fitters and asked them to get down and emphasized the issue with scaffold inspector at site and he corrected</t>
  </si>
  <si>
    <t>Grinding spark towards crane</t>
  </si>
  <si>
    <t xml:space="preserve">spoke to the grinder to change his position </t>
  </si>
  <si>
    <t>Observed a grinder working without safety glasses</t>
  </si>
  <si>
    <t>Stopped him and asked him not to do this  again.</t>
  </si>
  <si>
    <t>One of worker was observed working without gloves</t>
  </si>
  <si>
    <t xml:space="preserve">stopped the worker and asked him to wear the gloves </t>
  </si>
  <si>
    <t>One worker wearing a damage safety shoes .</t>
  </si>
  <si>
    <t xml:space="preserve">Stopped the worker and asked him to change the safety shoes by another one </t>
  </si>
  <si>
    <t>One of the fitting team operating and he was not wearing gloves</t>
  </si>
  <si>
    <t>Stopped the worker and spoke to him about the importance of wearing the hand protection.
It was highlighted on Monday HSE TBT.</t>
  </si>
  <si>
    <t>Good securing of gas cylinders on trolly provided with protection cap and fixed by chains and with bottle  of water and soap</t>
  </si>
  <si>
    <t>Good commitment from the work force with the site required PPE</t>
  </si>
  <si>
    <t>Observed that they have flash back arrestor in both oxy and gas lines and use water test in the cylinder</t>
  </si>
  <si>
    <t>One of the grinding team is wearing full PPE, proper gloves and leather apron as required.</t>
  </si>
  <si>
    <t>Observed cables not properly arranged and some housekeeping need to be done</t>
  </si>
  <si>
    <t>Advised to arrange cables to avoid slip and trip hazard 
and maintain house keeping in area</t>
  </si>
  <si>
    <t>Observed workers working on with no safe platform to cover  gaps In frame</t>
  </si>
  <si>
    <t>Suspended activity 
advised to cover gaps to make workplace safe</t>
  </si>
  <si>
    <t xml:space="preserve">Observed the access at worksite is blocked by electrical panels </t>
  </si>
  <si>
    <t>Advised to relocate electrical panels to clear access way</t>
  </si>
  <si>
    <t xml:space="preserve">It was observed that unsafe lifting activities lifting gears not matching and the 
lifting work place not secured by caution tap. </t>
  </si>
  <si>
    <t xml:space="preserve">The lifting activity was suspended until the supervisor replaced the lifting gears and secured the area with caution tape around the activity zone. </t>
  </si>
  <si>
    <t>The HSE department instructed that the lifting team be sent for retraining, and 
requested that feedback be submitted upon completion.</t>
  </si>
  <si>
    <t>It was observed that materials with sharp edges were stored in the workplace.</t>
  </si>
  <si>
    <t xml:space="preserve">Workshop supervisor instructed that remove all materials to temporary storage area and check the site condition before start activities. </t>
  </si>
  <si>
    <t xml:space="preserve">It was observed grinder during fabrication activity using unsafe scaffold  platform to grinding materials. </t>
  </si>
  <si>
    <t xml:space="preserve">The activity was suspended, and the HSE workshop team was instructed to take disciplinary action against the worker and arrange for retraining on safe work at height. </t>
  </si>
  <si>
    <t xml:space="preserve">It was observed bad housekeeping and the cable management in a bad condition </t>
  </si>
  <si>
    <t xml:space="preserve">The area supervisor and HSE team instructed that cable management be rearranged and proper housekeeping be completed before starting any activities. </t>
  </si>
  <si>
    <t xml:space="preserve">It was observed that the fitting supervisor provided good supervision during the ongoing activities </t>
  </si>
  <si>
    <t xml:space="preserve">positive feedback was given, and an incentive card was issued in recognition of his commitment to safe work practices. </t>
  </si>
  <si>
    <t xml:space="preserve">It was observed that a welding machine had a damaged cable during welding activities. </t>
  </si>
  <si>
    <t xml:space="preserve">The workshop supervisor was informed to stop the activity and replace any damaged equipment before resuming work. </t>
  </si>
  <si>
    <t xml:space="preserve">Observed a grinder following proper safety procedures, wearing the required PPE, and ensuring good housekeeping at the workplace. </t>
  </si>
  <si>
    <t>positive feedback was given, and an incentive card was issued in recognition of his commitment to safe work practices.</t>
  </si>
  <si>
    <t xml:space="preserve">Observed that the CGCs are stored close to each other without safe segregation </t>
  </si>
  <si>
    <t>Advised area supervisor to safely segregate CGCs</t>
  </si>
  <si>
    <t xml:space="preserve">Observed that the general condition of housekeeping is poor and needs more attention. </t>
  </si>
  <si>
    <t>Advised area supervisor &amp; HSE to ensure proper housekeeping to be arranged monitored at all times</t>
  </si>
  <si>
    <t xml:space="preserve">I have observed the GFCI not working inside the electrical panel while making 
random check. </t>
  </si>
  <si>
    <t xml:space="preserve">Inform HSE PTJ to take action immediately.  
HSE PTJ isolate the panel until fix the GFCI.  </t>
  </si>
  <si>
    <t xml:space="preserve">Make test for all GFCI and reporting the condition of all GFCI on site. </t>
  </si>
  <si>
    <t>Observed that the grinder is using an unclear face shield that needs to be replaced.</t>
  </si>
  <si>
    <t>Suspended the job of grinder and advised the supervisor to immediately replace the face shield for the worker to commence work.</t>
  </si>
  <si>
    <t xml:space="preserve">I have observed Using electrical welding machine out of the isolated stand that 
connected with earthing. </t>
  </si>
  <si>
    <t xml:space="preserve">Inform HSE PTJ to take action immediately.  
HSE PTJ inform the supervisor to use the welding machine only from the stand connected with earthing. </t>
  </si>
  <si>
    <t xml:space="preserve">I have observed the wood for scaffolding unstable. </t>
  </si>
  <si>
    <t xml:space="preserve">Inform HSE PTJ to take action and fixed this woods with clamps.  </t>
  </si>
  <si>
    <t xml:space="preserve">I have observed the overhead crane have oil on the chains and the wire 
absorbed the oil </t>
  </si>
  <si>
    <t xml:space="preserve">Inform HSE PTJ to take action immediately.  
HSE PTJ stope the overhead crane until clean all this oil and change the wire.  </t>
  </si>
  <si>
    <t xml:space="preserve">I have observed damage plug inside the electrical panel. </t>
  </si>
  <si>
    <t xml:space="preserve">Inform HSE PTJ to take action immediately.  
HSE PTJ shutdown the panel until the electrical technician fix it.  </t>
  </si>
  <si>
    <t xml:space="preserve">Some technicians were doing stripe coat using dust masks instead of chemical masks. </t>
  </si>
  <si>
    <t xml:space="preserve">Work stopped until they got the chemical mask that were not enough for all the technicians, however, only technicians with chemical masks were allowed to proceed with work. </t>
  </si>
  <si>
    <t xml:space="preserve">Safety issues to be discussed in the blasting and painting daily TBT. </t>
  </si>
  <si>
    <t xml:space="preserve">Some technicians were performing mechanical repairs on mudmat 112M without facial masks. </t>
  </si>
  <si>
    <t>Advised them to wear masks to avoid inhaling smoke or any air-borne products during repairs and grinding works.</t>
  </si>
  <si>
    <t xml:space="preserve">Excess materials at the front of WS#4 has been seen to be well barricaded to ensure no workers enter the area </t>
  </si>
  <si>
    <t xml:space="preserve">Barricade during lifting operation:  
Bariade made only from cones and only on 1 side, the other sides remain opened  </t>
  </si>
  <si>
    <t xml:space="preserve">We stopped the crane operator and talked to him </t>
  </si>
  <si>
    <t xml:space="preserve">During lifting of a yoke, a worker was standing under to adjust the support. </t>
  </si>
  <si>
    <t>We stopped the operation and asked the worker to move from this position.</t>
  </si>
  <si>
    <t xml:space="preserve">Reinforcement of PTJ HSE personnel </t>
  </si>
  <si>
    <t xml:space="preserve">Use of mobile phone inside the blasting yard. </t>
  </si>
  <si>
    <t xml:space="preserve">A verbal warning was issued to the technician. </t>
  </si>
  <si>
    <t xml:space="preserve">Blasting yard poor housekeeping. </t>
  </si>
  <si>
    <t xml:space="preserve">Instructed PTJ supervisor to do housekeeping for the yard. </t>
  </si>
  <si>
    <t xml:space="preserve">Issue to be highlighted in the subcontractor pre-job TBT. </t>
  </si>
  <si>
    <t>CPY observed a proper Housekeeping for fabrication activities included prefabrication and welding, have been carried out properly, inside fabrication workshop#4</t>
  </si>
  <si>
    <t>CPY observed several pieces of unit weights being placed and lifted over one structure, without determining the weight or showing any base design report.</t>
  </si>
  <si>
    <t xml:space="preserve">CPY approached TFMC / PTJ HSE, to take immediate action to ensure that all safety requirements are in place to prevent such a risk. </t>
  </si>
  <si>
    <t xml:space="preserve">CPY observed that there is a risk of fallen objects where the free end of work specimen during the grinding and not fully secured / clamped onto the stand used to support during the grinding operation. </t>
  </si>
  <si>
    <t xml:space="preserve">CPY approached TFMC / PTJ HSE, to take an immediate action to ensure that all safety requirements are in place to prevent such a risk. </t>
  </si>
  <si>
    <t xml:space="preserve">CPY recommended to ensure that items which are subject to grinded to be fully clamped onto the table used to support the drilling equipment / machine. </t>
  </si>
  <si>
    <t xml:space="preserve">CPY observed that, inside workshop #4 has got congested work area, with many SIMOPS operation. </t>
  </si>
  <si>
    <t>CPY approached TFMC / PTJ HSE and fabrication team, to do all necessary corrective actions for this concern.</t>
  </si>
  <si>
    <t xml:space="preserve">CPY recommended TFMC/PTJ to have SIMOPS meeting to have proper planning for Workfront, to create a safe work environment . </t>
  </si>
  <si>
    <t>It has been observed storage materials on walk way inside workshop.</t>
  </si>
  <si>
    <t>The Fabrication Supervisor was informed to clear all walkways and check the condition of the storage areas to ensure safe access and proper housekeeping</t>
  </si>
  <si>
    <t>It was observed that CAP supports were being used to hold the frame load, but the welding on the supports was not completed.</t>
  </si>
  <si>
    <t>Fabrication activities were suspended, and the supervisor was instructed to complete the welding on the CAP supports, conduct a re-inspection, and resume the work only after ensuring the supports are safe and compliant.</t>
  </si>
  <si>
    <t>Observed temporary storage area Infront of workshop 1 well barricaded and organized.</t>
  </si>
  <si>
    <t>Appreciated the good job.</t>
  </si>
  <si>
    <t>It was observed pipelines were found stored without proper chocking, creating a risk of movement or rolling, which could lead to injury or damage.</t>
  </si>
  <si>
    <t>The supervisor was informed to rearrange the pipelines and ensure they are properly secured with chocks to prevent any potential movement or hazard.</t>
  </si>
  <si>
    <t>It was observed that a worker performing grinding activity was not wearing the required PPE, such as ear plugs and a welding apron.</t>
  </si>
  <si>
    <t>Immediate action was taken with the worker, and he was sent for retraining on the proper use of PPE and safe grinding practices.</t>
  </si>
  <si>
    <t xml:space="preserve">I have observed the Angle grinder worker using welding tools without PPE </t>
  </si>
  <si>
    <t>Inform HSE PTJ to take action with him</t>
  </si>
  <si>
    <t>A worker was observed working on the elevated frame without any safe measures</t>
  </si>
  <si>
    <t>Advised to worker to get off the frame
and make sure that guard rails are set up before working in the elevated frame</t>
  </si>
  <si>
    <t>Observed that worker was wearing dark eye glasses in the workshop</t>
  </si>
  <si>
    <t>Advised worker to use only transparent glasses inside workshop.</t>
  </si>
  <si>
    <t>Welding cables were not updated with the new color code</t>
  </si>
  <si>
    <t>Suspended work with the welding machine and request it to be inspected and updated with the new color code</t>
  </si>
  <si>
    <t>Observed that Material was not safely secured on the working bench</t>
  </si>
  <si>
    <t>Advised worker to properly secure materials on working bench using a bench vise.</t>
  </si>
  <si>
    <t>Observed that Material was not safely secured on the trailer leaving site</t>
  </si>
  <si>
    <t>Stopped the trailer and advised proper latching to be used before movement of trailer</t>
  </si>
  <si>
    <t>Observed that the frame structure supports are not sufficient to withstand the frame structure</t>
  </si>
  <si>
    <t>Advised the area supervisor to ensure the sufficient and appropriates supports are used under the frame structure</t>
  </si>
  <si>
    <t xml:space="preserve">Observed poor housekeeping in area </t>
  </si>
  <si>
    <t xml:space="preserve">Advised area supervisor to maintain regular housekeeping  </t>
  </si>
  <si>
    <t>Observed that the compressed gas cylinder hose was worn/cracked</t>
  </si>
  <si>
    <t>Requested the CGC to be shut off 
hose to be replaced then work to be resumed</t>
  </si>
  <si>
    <t>Compressed gas cylinders to be inspected prior to work to ensure that is safe to be used</t>
  </si>
  <si>
    <t xml:space="preserve">I have observed the maintenance team start working without permit. </t>
  </si>
  <si>
    <t xml:space="preserve">Inform HSE PTJ to stop the work until finish the permit. </t>
  </si>
  <si>
    <t xml:space="preserve">I have observed using ropes to fixed the scaffolding boards while the hot 
activities started. </t>
  </si>
  <si>
    <t xml:space="preserve">Inform HSE PTJ to change the ropes to use clamps. </t>
  </si>
  <si>
    <t>CPY observed a proper Housekeeping for fabrication activities included prefabrication and welding/NDE, have been carried out properly, inside fabrication workshop#1&amp;2.</t>
  </si>
  <si>
    <t xml:space="preserve">CPY observed that during lifting operation for beams sections (roller guide), there was unsafe action during the lifting and shifting the beam section outside the workshop. </t>
  </si>
  <si>
    <t xml:space="preserve">CPY asked TFMC/PTJ HSE to stop the activity and discuss the CPY identified risks with PTJ rigging team as this was deemed to be unsafe condition due to a hazardous environment as well as the possibility of being classified as an unsafe act, if the individuals have knowingly entered the area despite warnings – both conditions would contribute to heightened risks.  </t>
  </si>
  <si>
    <t xml:space="preserve">TFMC/PTJ instructed to reiterate this topic and risks during a dedicated TBT, to improve PTJ workers awareness and acknowledgement. </t>
  </si>
  <si>
    <t xml:space="preserve">CPY observed that fabrication workshop (1) has got congested work area, without enough safe zone between the mudmat frame structure. </t>
  </si>
  <si>
    <t xml:space="preserve">CPY approached TFMC / PTJ HSE and fabrication team, to do all necessary corrective actions for this concern. </t>
  </si>
  <si>
    <t xml:space="preserve">I have observed the PTJ HSE make step above cables to make clear accessway for the workplace. </t>
  </si>
  <si>
    <t>Considering his good idea to make the workplace clear and safe and thanks him for improvement.</t>
  </si>
  <si>
    <t xml:space="preserve">Observed that workers have maintained good cable management throughout the area </t>
  </si>
  <si>
    <t>Commended PTJ personnel for maintaining proper cable management in the area</t>
  </si>
  <si>
    <t>Observed that the forklift operating area within the workshop is properly barricaded, ensuring restricted access and improved hazard control.</t>
  </si>
  <si>
    <t>Commended the workers for the safe practice</t>
  </si>
  <si>
    <t>It has been observed storage cups support not used on work place.</t>
  </si>
  <si>
    <t>The Fabrication Supervisor was informed to clear all work place from materials and check the condition of the storage areas to ensure safe access and proper housekeeping</t>
  </si>
  <si>
    <t>It was observed that a worker during welding activities doesn’t wear specific PPE for the task</t>
  </si>
  <si>
    <t>Immediate action was taken with the worker, and he was sent for retraining on the proper use of PPE and safe welding practices.</t>
  </si>
  <si>
    <t>It was observed a forklift was transporting pipelines that were not adequately secured, posing a risk of dropping or shifting during movement.</t>
  </si>
  <si>
    <t>The forklift operation was stopped immediately. the operator was instructed to secure the load properly before continuing the activity.</t>
  </si>
  <si>
    <t xml:space="preserve">Disciplinary action with the operator and flagman </t>
  </si>
  <si>
    <t>It was observed that housekeeping around and inside fabrication frames was poor, with scattered plastic bottles and solid waste materials present in the area.</t>
  </si>
  <si>
    <t>The area was immediately cleaned, and all waste materials including plastic bottles and solid debris were removed.</t>
  </si>
  <si>
    <t>The area supervisor was instructed to include regular housekeeping checks in daily inspections</t>
  </si>
  <si>
    <t>Good supervision was observed from the fitting supervisor during work activities, as he consistently followed and enforced safety rules.</t>
  </si>
  <si>
    <t>Positive feedback was given to the fitting supervisor for his effective supervision and commitment to safety rules, and an incentive card was awarded in recognition of his performance</t>
  </si>
  <si>
    <t>It was observed that fabrication activities using unacceptable cups supports.</t>
  </si>
  <si>
    <t>Fabrication activities were suspended, caution soft barrier putted around the frame till replacement cups supports.</t>
  </si>
  <si>
    <t>It was observed that workers were lifting materials without using a webbing sling or following approved lifting procedures.</t>
  </si>
  <si>
    <t>The worker was advised to follow proper lifting procedures and to ensure that all lifting operations are carried out using appropriate and safe methods.</t>
  </si>
  <si>
    <t>Observed a worker using a welding torch to cut material without wearing the required PPE (welding mask, apron, and thermal gloves).</t>
  </si>
  <si>
    <t>Advised immediate suspension of the activity until the worker is equipped with the appropriate PPE before resuming the task</t>
  </si>
  <si>
    <t xml:space="preserve">I have observed the worker lift the blowtorch opened with fire on the ground 
touched the wood </t>
  </si>
  <si>
    <t xml:space="preserve">I warning him immediately and inform PTJ HSE to take action. </t>
  </si>
  <si>
    <t xml:space="preserve">I have observed the crane operator using his mobile phone while he working </t>
  </si>
  <si>
    <t xml:space="preserve">I stop him immediately and give him a warning litter. </t>
  </si>
  <si>
    <t>Observed A leak at the valve of a compressed acetylene gas cylinder, posing a serious risk of fire or explosion.</t>
  </si>
  <si>
    <t>The cylinder was promptly removed from the work area, and immediate action was advised to contain the gas leak and eliminate the hazard.</t>
  </si>
  <si>
    <t>Observed leaking from multiple gas cylinder in the painting area, caused by a faulty pressure gauge.</t>
  </si>
  <si>
    <t>The cylinders were quickly taken out of the work area, and immediate measures were recommended to control the gas leak and mitigate the associated hazard.</t>
  </si>
  <si>
    <t>Observed a material structure with supports lacking clear markings of the Safe Working Load (SWL) for each support point.</t>
  </si>
  <si>
    <t>Advised immediate inspection by Quality Control to verify the load-bearing capacity of the supports, ensure structural stability, and clearly mark each support for future reference.</t>
  </si>
  <si>
    <t>Observed the tarpaulin at Open Area 4 is in poor condition, potentially compromising protection from hazards (Hotwork sparks, slip &amp; trip …. etc.)</t>
  </si>
  <si>
    <t>Advised that the damaged tarpaulin be repaired or replaced to ensure adequate protection and maintain a safe working environment.</t>
  </si>
  <si>
    <t xml:space="preserve">I have observed poor housekeeping ,drop object metal pieces , plastic. </t>
  </si>
  <si>
    <t>Inform HSE PTJ to take action. .</t>
  </si>
  <si>
    <t xml:space="preserve">I have observed the compressor without inspection card. </t>
  </si>
  <si>
    <t xml:space="preserve">Inform PTJ HSE to take action. </t>
  </si>
  <si>
    <t>I have observed the pipe structure unlevelled and the support have crack.</t>
  </si>
  <si>
    <t xml:space="preserve">Inform PTJ HSE put hard barricades until solve the problem. </t>
  </si>
  <si>
    <t xml:space="preserve">CPY observed that leftover of water bottles and unused tarpaulins underneath 
the mudmat structure. </t>
  </si>
  <si>
    <t xml:space="preserve">Informed Petrojet TFMC / HSE, to do all necessary for proper housekeeping for 
this specific area. </t>
  </si>
  <si>
    <t xml:space="preserve">CPY observed a proper Housekeeping during preparation of fabrication activities 
included prefabrication and welding, have been carried out properly, within 
fabrication Workshops #3&amp;4.. </t>
  </si>
  <si>
    <t xml:space="preserve">Improper PPE (over used safety boot) been worn by grinders, outside 
fabrication area # 1. </t>
  </si>
  <si>
    <t xml:space="preserve">Discussed the point in person with the grinder, then informed PTJ/ TFMC HSE, to 
provide a new safety boot.  </t>
  </si>
  <si>
    <t xml:space="preserve">Reiterate this topic during the TBT to encourage the new team for wearing 
proper PPE within fabrication areas and workshops. </t>
  </si>
  <si>
    <t xml:space="preserve">CPY observed that several cables were found on the ground without any 
arrangement / cable management through cable management platform. </t>
  </si>
  <si>
    <t xml:space="preserve">Ensure that all crew who involved in the activities inside this area are fully aware 
and acknowledge that housekeeping is a daily routine activity to be done by end 
of each shift.  </t>
  </si>
  <si>
    <t>Some technicians did not use ear plugs inside the blasting yard.</t>
  </si>
  <si>
    <t>Advised to wear hearing protection, their supervisor brought some and they wore them.</t>
  </si>
  <si>
    <t xml:space="preserve">Use of cotton gloves by painters. </t>
  </si>
  <si>
    <t xml:space="preserve">Stopped work until PTJ supervisor got rubber gloves for the painters. </t>
  </si>
  <si>
    <t xml:space="preserve">CPY observed good progress on updating cable color coding (yellow to white) WS#1 </t>
  </si>
  <si>
    <t xml:space="preserve">Good Progress being made on changing cable color codes from yellow to white. 
WORKSHOP #1/2/3/4/7 </t>
  </si>
  <si>
    <t xml:space="preserve">Commended the HSE Team on the good progress made on updating inspection 
color coding on cable and lifting gear site wide – a few cables identified as still 
requiring white tape installation – generally good progress observed </t>
  </si>
  <si>
    <t xml:space="preserve">CPY observed a grinder operator grinding in a safe manner and ergonomically 
positioned </t>
  </si>
  <si>
    <t xml:space="preserve">Commended the grinder operator on his safe working practices. </t>
  </si>
  <si>
    <t>CPY observed worker handling a small overhead crane lift without gloves and 
hands on load action</t>
  </si>
  <si>
    <t xml:space="preserve">Activity stopped safely. The worker and the immediate team tutored on the importance of using safety gloves at all times during specific activities. Workers and immediate team tutored on the importance of not touching items being lifted but rather use tag lines </t>
  </si>
  <si>
    <t xml:space="preserve">The worker and the immediate team tutored on the importance of using safety gloves at all times during specific activities. Workers and immediate team tutored on the importance of not touching items being lifted but rather use tag lines. TFMC/PTJ HSE Teams included </t>
  </si>
  <si>
    <t>CPY observed Waste Bins  full of plastic bottles – no space 
left for waste suitable disposal</t>
  </si>
  <si>
    <t>Contacted TFMC HSE Manager to ensure waste disposal is conducted immediately - completed</t>
  </si>
  <si>
    <t xml:space="preserve">Contacted TFMC HSE Manager to ensure waste disposal is conducted on a daily basis. </t>
  </si>
  <si>
    <t xml:space="preserve">CPY noted that the rigger had inserted the “R-Clip” type pin to the shackles prior 
to component being lifted. </t>
  </si>
  <si>
    <t xml:space="preserve">CPY noted that a lifting operation was ongoing, during CPY observations it was 
noted that PTJ had erected / placed good safety barriers and that PTJ HSE Advisors 
where monitoring the barricade bounder to prevent unauthorized personnel 
entry. </t>
  </si>
  <si>
    <t xml:space="preserve">PTJ HSE make signs for how to use fire extinguisher to increase the worker 
awareness for using fire extinguisher. </t>
  </si>
  <si>
    <t xml:space="preserve">Thanked him and encourage him to make more improvement.  </t>
  </si>
  <si>
    <t xml:space="preserve">PTJ HSE make segregation area for defected cylinder or any cylinder have issues 
until it solved will be inside this area. </t>
  </si>
  <si>
    <t>Thanked him and encourage him to make more improvement.</t>
  </si>
  <si>
    <t>It was observed that the worker was not wearing the appropriate personal protective equipment (PPE) while performing grinding operations.</t>
  </si>
  <si>
    <t>The activity was suspended, a violation was issued to the employee, and it was advised that no further work is to be carried out until proper PPE is worn.</t>
  </si>
  <si>
    <t>It was observed that workers were performing lifting operations using an uncertified lifting point, posing a potential safety risk.</t>
  </si>
  <si>
    <t>The work was suspended, and it was advised that the lifting point be inspected and certified by QC before resuming any lifting operations.</t>
  </si>
  <si>
    <t xml:space="preserve">I have observed workers using unaccepted accessway as short cut than the 
main accessway.  </t>
  </si>
  <si>
    <t xml:space="preserve">I inform HSE PTJ to close it .  </t>
  </si>
  <si>
    <t>I have observed worker without PPE inside the hot working area.</t>
  </si>
  <si>
    <t xml:space="preserve">I inform HSE PTJ to take action with him. </t>
  </si>
  <si>
    <t>Observed that the materials in the workshop are not stored safely, with sharp edges exposed and some access pathways partially obstructed.Observed that the materials in the workshop are not stored safely, with sharp edges exposed and some access pathways partially obstructed.</t>
  </si>
  <si>
    <t>Advised workers to make sure material are safely stacked and access ways to be clear of any obstructions at all times.</t>
  </si>
  <si>
    <t>It was observed that the grounding cable of the electrical panel is not connected to the designated grounding point.</t>
  </si>
  <si>
    <t>The area supervisor was advised not to use the panel and to request the maintenance team to verify proper grounding before it is put into use.</t>
  </si>
  <si>
    <t>It was observed that the worker was using damaged or defective cover shield grinder.It was observed that the worker was using damaged or defective cover shield grinder.</t>
  </si>
  <si>
    <t>The activity was suspended, and it was advised that the grinder to be removed from the workplace or the grinder disk shield to be replaced with a proper disk cover.The activity was suspended, and it was advised that the grinder to be removed from the workplace or the grinder disk shield to be replaced with a proper disk cover.</t>
  </si>
  <si>
    <t>It was observed that QC was checking weld points using a testing device with modified and uninsulated cables, posing a potential safety hazard.</t>
  </si>
  <si>
    <t>The work was suspended, and it was advised that tools should be used as manufactured, without any modifications to OEM components.The work was suspended, and it was advised that tools should be used as manufactured, without any modifications to OEM components.</t>
  </si>
  <si>
    <t xml:space="preserve">I have observed Defected regulator  </t>
  </si>
  <si>
    <t xml:space="preserve">I inform HSE PTJ to change it immediately  </t>
  </si>
  <si>
    <t xml:space="preserve">I have observed Poor house keeping  </t>
  </si>
  <si>
    <t xml:space="preserve">I have observed Defected cover for angle grinder. I have observed Defected cover for angle grinder. </t>
  </si>
  <si>
    <t xml:space="preserve">I inform HSE PTJ to take all this out of area immediately. </t>
  </si>
  <si>
    <t xml:space="preserve">I have observed Tripping hazard from poor cable management   </t>
  </si>
  <si>
    <t>vI inform HSE PTJ to take action.</t>
  </si>
  <si>
    <t xml:space="preserve">I have observed welding machine out of special stand for machines which have 
earthing   </t>
  </si>
  <si>
    <t xml:space="preserve">I inform HSE PTJ to take it back immediately to the stand. </t>
  </si>
  <si>
    <t xml:space="preserve">I have observed scaffolding pipes without tie the clamps. </t>
  </si>
  <si>
    <t xml:space="preserve">I inform HSE PTJ to take action immediately with remove it or tie it.  </t>
  </si>
  <si>
    <t>I have observed cables without COLOR code.</t>
  </si>
  <si>
    <t>I inform HSE PTJ to take action  .</t>
  </si>
  <si>
    <t xml:space="preserve">I have observed structure wholes without covering. </t>
  </si>
  <si>
    <t xml:space="preserve">I have observed wholes without covering. </t>
  </si>
  <si>
    <t>Obseved No safety latch for a chain block hook</t>
  </si>
  <si>
    <t xml:space="preserve">re-inspected all equipment in the project has been done and replaced the chain block by another one </t>
  </si>
  <si>
    <t>Improper storage of scaffolding materials on a scaffold platform</t>
  </si>
  <si>
    <t>Scaffolding materials was removed</t>
  </si>
  <si>
    <t>Damaged cables were found in the area.</t>
  </si>
  <si>
    <t>Damaged unnessery cables were removed</t>
  </si>
  <si>
    <t>Poor cable management was found in the area.</t>
  </si>
  <si>
    <t>Cable management had been conducted.</t>
  </si>
  <si>
    <t>Earthing cable was found unsafely isolated or protected.</t>
  </si>
  <si>
    <t>It was secured by tapes</t>
  </si>
  <si>
    <t xml:space="preserve">One electric panel without electrical hazard sign </t>
  </si>
  <si>
    <t xml:space="preserve">sign was put on the panel </t>
  </si>
  <si>
    <t>Observed shackles without color code</t>
  </si>
  <si>
    <t xml:space="preserve">green color code was put on shackle </t>
  </si>
  <si>
    <t>One gas cylinder need to be secured by chain</t>
  </si>
  <si>
    <t xml:space="preserve">Immediatley tied and secured  the cylinder by chain </t>
  </si>
  <si>
    <t xml:space="preserve">Propane cylinder manometer need to be changed </t>
  </si>
  <si>
    <t xml:space="preserve">stopped the work for this cylinder until the manometer be changed </t>
  </si>
  <si>
    <t>Observed that  wrong  replacing method of  grinding disk.</t>
  </si>
  <si>
    <t>All workers Commit with the site required PPE</t>
  </si>
  <si>
    <t xml:space="preserve">Fire extinguishers in good condition, inspected and covered inside the dedicated box </t>
  </si>
  <si>
    <t>Good arrangement for the welding cables</t>
  </si>
  <si>
    <t>Observed a propane gas cylinder near by the welding area</t>
  </si>
  <si>
    <t xml:space="preserve">One of the workers sitting next to the electric  and welding machines cabinets </t>
  </si>
  <si>
    <t>The worker was asked not to sit again and  inform the supervisor not to repeat.</t>
  </si>
  <si>
    <t xml:space="preserve">grinders did not wear their Earplugs. </t>
  </si>
  <si>
    <t>Stopped them and spoke to them about the useful use of the Earplugs.They wear their Earplugs and Highlighted the issue in TPT</t>
  </si>
  <si>
    <t>An electrician was working and was not wearing helmet</t>
  </si>
  <si>
    <t>Stopped the electrician and spoke to him about the head protection.</t>
  </si>
  <si>
    <t xml:space="preserve">One of the grinder using wooden plate as support which may cause fire </t>
  </si>
  <si>
    <t xml:space="preserve">Stopped him to remove the wooden plate , advised him not to use combustible material near hot work area </t>
  </si>
  <si>
    <t xml:space="preserve">one of te welders work without full PPE  </t>
  </si>
  <si>
    <t>Stopped him and tolk with him aabout the nessesry of PPE and he wear his full PPE</t>
  </si>
  <si>
    <t>stopped him immediately, inform the sup to instruct the workers to use proper tools and he did</t>
  </si>
  <si>
    <t>Stopped the worker and warned him not to do that again.</t>
  </si>
  <si>
    <t>Observed a grinder was operating and did not secure the workpiece which may fall during work</t>
  </si>
  <si>
    <t xml:space="preserve">electric panel inspection paper not inside </t>
  </si>
  <si>
    <t>Electrician inspected  all electrical panels and inspection check list put on the panel</t>
  </si>
  <si>
    <t xml:space="preserve">Grinder was working  close to propane cylinder  , sparks towards cylinder </t>
  </si>
  <si>
    <t xml:space="preserve">Stopped him to take cylinder away , instructed him to make  grinding area free from any flammable material </t>
  </si>
  <si>
    <t>one of the fitters make cutting by gas and he don’t wear his safety glasses</t>
  </si>
  <si>
    <t>Talk to him about the importance of PPE and glasses and he wear his glasses</t>
  </si>
  <si>
    <t>grinder work without his  Face Mask shield</t>
  </si>
  <si>
    <t>Stopped  him and  talk with him about the necessary of PPE and he wear his full  PPE immediately</t>
  </si>
  <si>
    <t xml:space="preserve">Good practice for PTJ HSE to make identification for each area with writing Area 
( A,B,C) also to be related to work permit location. </t>
  </si>
  <si>
    <t xml:space="preserve">Thanks him and encourage him to make more improvement. </t>
  </si>
  <si>
    <t>Good practice for PTJ HSE to make storage area clean and organized</t>
  </si>
  <si>
    <t xml:space="preserve">Thanked him and encourage him to make more improvement. </t>
  </si>
  <si>
    <t>The scaffolding supervisor was observed inspecting a blocked access way in the workshop and took immediate action to clear it by removing all tripping hazards.</t>
  </si>
  <si>
    <t>Positive feedback was sent, and an incentive card was awarded to the supervisor in recognition of his proactive safety performance.</t>
  </si>
  <si>
    <t xml:space="preserve">It has been observed that someone was smoking inside work place. </t>
  </si>
  <si>
    <t>Took an immediate disciplinary action with him and create TBT meeting with all team.</t>
  </si>
  <si>
    <t>It was observed that during the lifting activity, riggers were using their hands to control the load, which poses a safety hazard.</t>
  </si>
  <si>
    <t>I immediately intervened and stopped the unsafe activity. The entire rigging team was sent for retraining to ensure proper load handling procedures are followed.</t>
  </si>
  <si>
    <t>Observed that fitter supervisor fabricating and erecting metal shield at open an area to protect his team from heat stress during fabrication activities.</t>
  </si>
  <si>
    <t>He was supported in completing this positive safety initiative, and positive feedback was sent in recognition of his proactive performance.</t>
  </si>
  <si>
    <t>It was observed that materials were stored unsafely in the temporary storage area. There was no clear access, and small frames were stacked on top without proper securing,</t>
  </si>
  <si>
    <t>The area supervisor was instructed to regularly monitor the temporary storage zone and ensure that all materials are properly segregated and securely stored</t>
  </si>
  <si>
    <t xml:space="preserve">Supervisor and HSE team instructed that make daily survey to checking the temporary storage areas states </t>
  </si>
  <si>
    <t>It was observed that un completed scaffold platform using for welding activities.</t>
  </si>
  <si>
    <t>The area supervisor was instructed to stop the activities until re-inspection and necessary modifications are carried out by the scaffolding inspector.</t>
  </si>
  <si>
    <t>Creating TBT with workshop team to check platform before start activities and with a focus on the topic of working at height.</t>
  </si>
  <si>
    <t>It was observed that maintenance work on the overhead crane was being carried out inside the workshop without suspending nearby activities and without evacuating the area.</t>
  </si>
  <si>
    <t xml:space="preserve">I was interfered immediately and stop maintenance activity and supervisor instructed that evacuate the workshop then complete the activities. </t>
  </si>
  <si>
    <t>Create TBT with all for SIMOPS topic</t>
  </si>
  <si>
    <t xml:space="preserve">I have observed the worker siting on the handrail while he working.  </t>
  </si>
  <si>
    <t xml:space="preserve">Inform PTJ HSE to take action with him. </t>
  </si>
  <si>
    <t xml:space="preserve">I have observed the risk assessment not updated ( RA-002) and some papers 
not clear printe. </t>
  </si>
  <si>
    <t xml:space="preserve">Inform PTJ HSE to update this risk. </t>
  </si>
  <si>
    <t xml:space="preserve">I have observed the risk assessment not updated ( RA-007) and some parts not 
translated to Arabic also blasting and painting RA all in English not translated 
into Arabic </t>
  </si>
  <si>
    <t xml:space="preserve">Deep freezers on site are non-functional </t>
  </si>
  <si>
    <t xml:space="preserve">PTJ to service / replace deep freezers on site as currently there is no cool drinking water for the workers on site. </t>
  </si>
  <si>
    <t xml:space="preserve">Ensure Drinking stations have adequate cool water available during summer months. </t>
  </si>
  <si>
    <t>Observed TFMC and PTJ Safety personnel roaming on site as well as being in all 
areas of work.</t>
  </si>
  <si>
    <t xml:space="preserve">Thanked TFMC /PTJ Safety Managers for ensuring all Safety Officers are on site and aware of the tasks within their respective areas. </t>
  </si>
  <si>
    <t xml:space="preserve">Observed man basket passenger repairing the overhead crane in workshop#3 climb onto the mid rail to reach the work area. </t>
  </si>
  <si>
    <t xml:space="preserve">Immediately ceased the task and informed the operator to ensure his passenger does not stand on the mid rail to reach his work area. </t>
  </si>
  <si>
    <t xml:space="preserve">People in a manlift must ensure there is adequate lift in the basket to reach a work area and to perform their  task by standing on the floor only of a man basket. </t>
  </si>
  <si>
    <t xml:space="preserve">During my inspections on site, I identified 2 grinding operators wearing full PPE 
and standing good positions not interfering with each other’s works. </t>
  </si>
  <si>
    <t xml:space="preserve">Congratulated the operators on working safely. </t>
  </si>
  <si>
    <t>It was observed that a forklift was being well controlled by a banksman with 
good flag controls while shifting materials in a busy area with people</t>
  </si>
  <si>
    <t xml:space="preserve">Commended the Banksman on his strong abilities to control and guide the forklift activities safely in a crowded area. </t>
  </si>
  <si>
    <t xml:space="preserve">I spoke to the PTJ area HSE officer to ensure that the equipment was deenergized and that once the operator returned, he must be tutored on the importance of NOT leaving his equipment unattended and energized. </t>
  </si>
  <si>
    <t xml:space="preserve">During my inspections on site, I identified a 9” grinding machine unattended and still energized. </t>
  </si>
  <si>
    <t>I spoke to the PTJ area HSE officer to ensure that the equipment was deenergized and that once the operator returned, he must be tutored on the importance of NOT leaving his equipment unattended and energized.</t>
  </si>
  <si>
    <t xml:space="preserve">Good cables management in WS2 (piping fabrication area) </t>
  </si>
  <si>
    <t xml:space="preserve">Encourage the team to keep it up. </t>
  </si>
  <si>
    <t xml:space="preserve">The suitable cold potable water issue was resolved and water bottles are 
available now in the refrigerators. Workers are satisfied so far </t>
  </si>
  <si>
    <t xml:space="preserve"> CPY noted a copious amounts of plastic bottles lying around between w/shop 4 
and warehouse 1 </t>
  </si>
  <si>
    <t xml:space="preserve">TFMC to address with PTJ for nominated supervisor to constantly check and keep clean. </t>
  </si>
  <si>
    <t xml:space="preserve"> CPY noted a copious amounts of plastic bottles lying around the blasting and 
coating areas. </t>
  </si>
  <si>
    <t xml:space="preserve">Approached the operator and requested that he use the safety glasses provided 
and in his possession. </t>
  </si>
  <si>
    <t xml:space="preserve">Explained the importance of wearing the correct provided minimum PPE &amp; encouraged him to wear safety glasses. </t>
  </si>
  <si>
    <t>Welfare of workers, Lack of cool water facilities during weather related elevated 
temperature</t>
  </si>
  <si>
    <t xml:space="preserve">No immediate corrective action from PTJ </t>
  </si>
  <si>
    <t xml:space="preserve">TFMC states that they will review the situation 29/07/2025 </t>
  </si>
  <si>
    <t>It was observed that the grinding tool plug was defective and was not inspected or marked with the current colour code</t>
  </si>
  <si>
    <t>Stopped the work immediately 
advise to remove the Grinder from site 
and get it fixed inspected to use it again</t>
  </si>
  <si>
    <t>It has been observed the storage basket of the compressed gas cylinders with Acetylene and oxygen in the same basket and being lashed with a sling.</t>
  </si>
  <si>
    <t>The area supervisor was informed to separate the acetylene away from the oxygen and provide chain to guard the cylinders properly.</t>
  </si>
  <si>
    <t>It has been observed poor housekeeping and inadequate cable management at a welding area inside workshop 7</t>
  </si>
  <si>
    <t>I stopped the work in the WS7 until it was maintained to be clean, safe, and tidy, 
allowing the activity to continue.</t>
  </si>
  <si>
    <t>It was observed that that the CGC gauge was faulty and there was no valve Safety cap on the CGC</t>
  </si>
  <si>
    <t>Stopped work with the CGC immediately 
advice to change faulty gauge and get a cap to use the CGC</t>
  </si>
  <si>
    <t>It was observed that an unsafe scaffold platform was being used during a hot work activity, which had an opening</t>
  </si>
  <si>
    <t xml:space="preserve">I stopped the work and area supervisor informed that contact with scaffold team immediately and follow up by HSE PTJ  </t>
  </si>
  <si>
    <t>Observed that there was poor housekeeping in the area and there was a lot of welding rods on the ground</t>
  </si>
  <si>
    <t>Advised area supervisor to ensure proper housekeeping is maintained in the workshop at all times</t>
  </si>
  <si>
    <t>It has been observed a compressed gas cylinder while it is on the trolley without being guarded with a chain</t>
  </si>
  <si>
    <t>I’m interfered immediately and The area supervisor was informed and fixed the chain to the cylinder.</t>
  </si>
  <si>
    <t>Observed that there was proper segregation of CGC and there was clear sign board to identify the area</t>
  </si>
  <si>
    <t>Commended the work done and arrangements</t>
  </si>
  <si>
    <t>It was observed that a worker demonstrated good behavior by arranging cable management and checking the condition of the access ways.</t>
  </si>
  <si>
    <t>The HSE team instructed the replacement or repair of all damaged habitats before resuming hot work and directed the supervisor to ensure continuous monitoring and adequate supervision on site.</t>
  </si>
  <si>
    <t xml:space="preserve">Incentive card given for him and positive feedback was given during TBT meeting. </t>
  </si>
  <si>
    <t>It was observed that several damaged welding habitats were being used during hot work activities, and there was a lack of supervision on site.</t>
  </si>
  <si>
    <t xml:space="preserve">It was observed that a welder was using scaffold boards without installing guardrail system, and was also not wearing the required PPE for welding (apron) </t>
  </si>
  <si>
    <t>Some technicians handling heavy objects with bare hands, no gloves worn.</t>
  </si>
  <si>
    <t xml:space="preserve">Stopped work, instructed them to wear work gloves before lifting and handling any objects </t>
  </si>
  <si>
    <t xml:space="preserve">Found cigarettes butts on the floor. </t>
  </si>
  <si>
    <t xml:space="preserve">Called TECHNIP safety officer to investigate and communicate our findings with PTJ in charge to instruct all individuals in the area with the none smoking policy in working place. </t>
  </si>
  <si>
    <t xml:space="preserve">No use of earplugs while blasting. </t>
  </si>
  <si>
    <t xml:space="preserve">Technicians were asked to leave the blasting area until their supervisor bring them earplugs. </t>
  </si>
  <si>
    <t xml:space="preserve">Shortage of cold drinking water in the blasting yard. </t>
  </si>
  <si>
    <t>Discussed the issue with PTJ site engineer who informed me that it was discussed with their construction manager and issue was highlighted in the weekly TBT.</t>
  </si>
  <si>
    <t xml:space="preserve">On Monday PTJ construction manager confirmed they made available enough 
quantity of cold water for all.  </t>
  </si>
  <si>
    <t>CPY observed a proper lifting operation has been carried out, during lifting / 
moving yoke ladder using overhead crane, inside fabrication workshop#2.</t>
  </si>
  <si>
    <t xml:space="preserve">CPY approach TFMC / PTJ HSE representative, to encourage the whole team have been involved in the lifting operation, for their commitment to HSE rules and requirements during the execution.  </t>
  </si>
  <si>
    <t>CPY observed that several cables were found on the ground without any 
arrangement / cable management through cable management platform.</t>
  </si>
  <si>
    <t xml:space="preserve">CPY observed a proper Housekeeping during preparation of fabrication activities 
included prefabrication and welding, have been carried out properly, within 
outside fabrication area#4. </t>
  </si>
  <si>
    <t xml:space="preserve">Observed the chest freezers containing  lukewarm drinking water bottles – not 
cooling </t>
  </si>
  <si>
    <t xml:space="preserve">TFMC has given an ultimatum to PTJ to rectify the issue. Failing to rectify will result in all permits being suspended until such time as cool drinking water is available to the workforce </t>
  </si>
  <si>
    <t xml:space="preserve">NEW chest freezers should be purchased. </t>
  </si>
  <si>
    <t xml:space="preserve">A few PTJ technicians in the blasting yard doing manual works without wearing 
gloves </t>
  </si>
  <si>
    <t>Spoke to their engineer who instructed them to wear their gloves during work .</t>
  </si>
  <si>
    <t xml:space="preserve">Issue to be highlighted and briefed in daily TBT. </t>
  </si>
  <si>
    <t xml:space="preserve">One welder was smoking under the structure he was working on. </t>
  </si>
  <si>
    <t xml:space="preserve">Brought the issue to his supervisor who had a word with him and sent him off the place </t>
  </si>
  <si>
    <t>Ahmed Nasr</t>
  </si>
  <si>
    <t xml:space="preserve">It has been observed a damaged welding cable. </t>
  </si>
  <si>
    <t xml:space="preserve">Discussed with HSE supervisor and immediately asked the electrician to replace the cable </t>
  </si>
  <si>
    <t xml:space="preserve">It has been observed that the waste management system is not implemented 
properly. </t>
  </si>
  <si>
    <t xml:space="preserve">Discussed with HSE supervisor and the case has been escalated to TFMC HSE manager in order to discuss with PTJ </t>
  </si>
  <si>
    <t>A worker performing grinding activities called CPY to show that he was wearing 
his full PPE and earplugs in a noisy environment</t>
  </si>
  <si>
    <t xml:space="preserve">CPY commended  the worker on his commitment to use his full PPE as required to perform his activities safely </t>
  </si>
  <si>
    <t xml:space="preserve">Grinding activities at a low height being performed – tools and equipment 
stored correctly to avoid dropped objects </t>
  </si>
  <si>
    <t xml:space="preserve">Team commended on their dropped objects awareness. </t>
  </si>
  <si>
    <t xml:space="preserve">CPY observed a worker using a 4-pound hammer without suitable safety gloves. 
On seeing CPY the worker then put on his gloves. The activity was suspended 
and the worker and hi immediate team where tutored on the correct and 
constant use of PPE for the activity. It was also noted that the hammer was damaged and removed from site.  Mini TBT was conducted with the workers/TFMC/PTJ HSE and CPY </t>
  </si>
  <si>
    <t xml:space="preserve">An immediate mini-TBT was conducted with the workers/TFMC/PTJ HSE and CPY reiterating the importance of applying safe work practices at all times and not only when being seen to be unsafe. </t>
  </si>
  <si>
    <t xml:space="preserve">CPY observed an overhead crane operator standing too close to the load being shifted – placing himself in the line of fire if the load had become unstable. </t>
  </si>
  <si>
    <t xml:space="preserve">The activity was safely suspended – the overhead crane operator was immediately requested to distance himself from the load he was controlling and to maintain continued vigilance on his position of load control during further such activities at all times </t>
  </si>
  <si>
    <t xml:space="preserve">An immediate mini-TBT was conducted with the rigging team/TFMC/PTJ HSE and CPY reiterating the importance of applying safe work lifting practices at all times.  </t>
  </si>
  <si>
    <t xml:space="preserve">Workers with damaged gloves has been instantly issued new PPE
</t>
  </si>
  <si>
    <t>Commended the supervisor for his Quick response.</t>
  </si>
  <si>
    <t>Observed CGC was firmly secured with a metal sheet separator</t>
  </si>
  <si>
    <t>Observed that there was increase in informational signage around workshop</t>
  </si>
  <si>
    <t>Observed that there was availability of cold drinking water for employees at site</t>
  </si>
  <si>
    <t>Observed corrugated sheets being transported by the forklift were unsecured and may fly away and cause injury due to the wind</t>
  </si>
  <si>
    <t>Advised the operator to stop the work 
make sure material is properly secured before starting the work again</t>
  </si>
  <si>
    <t>Observed the worker was preforming welding activity on a scaffold with no valid scaff tag</t>
  </si>
  <si>
    <t>Advised worker to get off the platform 
and continue work only when the scaff tag is inspected and valid</t>
  </si>
  <si>
    <t>Observed that the welder was not wearing proper PPE</t>
  </si>
  <si>
    <t>Suspended the activity and advised worker to not start his work unless he has the appropriate PPE</t>
  </si>
  <si>
    <t>Observed that the worker was on a scaffold and there were no scaff tags</t>
  </si>
  <si>
    <t xml:space="preserve">Suspended the activity 
advised the worker not to use any scaffolds that has no valid scaff tags on it </t>
  </si>
  <si>
    <t xml:space="preserve">Observed that the electrical panel was placed in work area access   </t>
  </si>
  <si>
    <t>Advised the area supervisor to clear work area for easy access for workers to work areas</t>
  </si>
  <si>
    <t>Observed that the painting machine in use has no serial number tagged on it and was not inspected</t>
  </si>
  <si>
    <t>Suspended work with the painting machine
advised it to be sent to maintenance to get a serial number and to be inspected to be used again</t>
  </si>
  <si>
    <t xml:space="preserve"> Workers should ensure that no equipment is used without any inspection tag.</t>
  </si>
  <si>
    <t xml:space="preserve">Observed that the CGC had an open cap on the top of the Cylinder while no hoses were on and was not in use   </t>
  </si>
  <si>
    <t>Advised the area supervisor to ensure open cap protection only used while CGC is operated 
if not it should be removed and stored in designated area and a closed cap should be installed on it</t>
  </si>
  <si>
    <t>Observed that there was a damaged power tool in use</t>
  </si>
  <si>
    <t>Suspended work with the power tool 
Advised operator to send it to maintenance
and get it reinspected before usage</t>
  </si>
  <si>
    <t>Workers should ensure to send power tools to maintenance if they suspect any damage</t>
  </si>
  <si>
    <t>Observed grinding tool was being tied with a rope from the deadman switch trigger to bypass the safety feature of the tool</t>
  </si>
  <si>
    <t>Suspended the activity 
Advised to send the tool to maintenance 
Remove the modification and reinspect it before using again.</t>
  </si>
  <si>
    <t>Observed that an electrical plug was damaged</t>
  </si>
  <si>
    <t>Advised that the damaged electrical plug to be removed from site and ensure only safe condition inspected electrical tools to be used</t>
  </si>
  <si>
    <t xml:space="preserve">Observed that the welders are working with worn out and damaged gloves  </t>
  </si>
  <si>
    <t>Suspended work
Advised the workers no to work with damaged PPE 
and report it to supervisor to get it replaced</t>
  </si>
  <si>
    <t xml:space="preserve">Observed that the waste was mixed up and not properly segregated   </t>
  </si>
  <si>
    <t>Advised the area supervisor to ensure proper segregation of waste and ensure works are aware of it</t>
  </si>
  <si>
    <t xml:space="preserve">Observed that the fire extinguisher that is in the crane is empty  </t>
  </si>
  <si>
    <t xml:space="preserve">Advised the operator not to work with the crane until the fire extinguisher is replaced with a full inspected one
</t>
  </si>
  <si>
    <t>Observed there was poor houskeeping (arrangement of material) in warehouse</t>
  </si>
  <si>
    <t>Advised area supervisor 
to prioritize housekeeping
for the safety of the workers and maintain it all the time</t>
  </si>
  <si>
    <t>Observed that the hopup wooden planks were not secured</t>
  </si>
  <si>
    <t>Advised area supervisor to ensure that all hopup wooden planks are secured before use</t>
  </si>
  <si>
    <t xml:space="preserve">CPY note and witnessed safe lifting operations with good hard barriers being 
placed and safe working operations </t>
  </si>
  <si>
    <t xml:space="preserve">CPY note and witnessed safe lifting operations with good hard barriers being 
placed and safe working operations where ongoing within workshop 2 
Good presence of PTJ HSE personnel who was monitoring the activities. </t>
  </si>
  <si>
    <t xml:space="preserve">CPY noted extremely poor housing in warehouse #2. </t>
  </si>
  <si>
    <t xml:space="preserve">CPY liaised with TFMC to support and subsequently liaise with PTJ person responsible for providing a cleaning team. 
TFMC took responsibility and immediately resolved the issues with evidence e(photos) being supplied to CPY </t>
  </si>
  <si>
    <t>TFMC to liaise with PTJ and ensure the person responsible in charge of that area maintains and visual checks once per week.</t>
  </si>
  <si>
    <t xml:space="preserve">It has been observed that a lot of welding electrodes end been through on the 
ground. </t>
  </si>
  <si>
    <t xml:space="preserve">Discussed with HSE and welding supervisors and greed that they will emphasize the message to welders to use the buckets to collect the welding electrodes and not to through them on ground </t>
  </si>
  <si>
    <t xml:space="preserve">A good house keeping and cable management has been observed in open 
fabrication area 3 </t>
  </si>
  <si>
    <t xml:space="preserve">Encouraged the labors to maintain the good house keeping </t>
  </si>
  <si>
    <t>It was observed that the magnetic drill was not inspected and was in use</t>
  </si>
  <si>
    <t>Advise that the magnetic drill to be removed from area and not used until inspected</t>
  </si>
  <si>
    <t>It was observed that the worker was standing on the structure to do hot work without any safety measures for height</t>
  </si>
  <si>
    <t>Suspended the activity 
Advised that there will be no work allowed from above the structure until an appropriate platform is erected.</t>
  </si>
  <si>
    <t>It was observed that the worker was using grinding tool with no inspection color code or grinding handle</t>
  </si>
  <si>
    <t>Advise that the grinding tool to be sent to maintenance to fit a handle and inspect it before using it at site</t>
  </si>
  <si>
    <t>Ensure that there is no modification and tool are always inspected before usage</t>
  </si>
  <si>
    <t>Observed that the materials are safely arranged Infront of workshop 1</t>
  </si>
  <si>
    <t>Maintain proper housekeeping and organization of area at all times</t>
  </si>
  <si>
    <t>It was observed that a worker removed a scaffold tube without notifying the scaffold supervisor.</t>
  </si>
  <si>
    <t xml:space="preserve">Take disciplinary with him and conduct TBT for all team </t>
  </si>
  <si>
    <t xml:space="preserve">It was observed that hot work activities using damage welding habitat </t>
  </si>
  <si>
    <t>The activities were suspended, and the supervisor was instructed to stop the work until the damaged habitat was replaced.</t>
  </si>
  <si>
    <t xml:space="preserve">It was observed that bad housekeeping and using damage hand tools </t>
  </si>
  <si>
    <t>The area supervisor was instructed to carry out housekeeping, remove all damaged hand tools, and conduct a Toolbox Talk with the team.</t>
  </si>
  <si>
    <t xml:space="preserve">I have observed the worker he goes up from unsafe way without using the clear 
accessway. </t>
  </si>
  <si>
    <t>Inform HSE PTJ to take action,</t>
  </si>
  <si>
    <t xml:space="preserve">I have observed that the wire without identification label  </t>
  </si>
  <si>
    <t xml:space="preserve">Inform HSE PTJ to reject it and take it out of the area. </t>
  </si>
  <si>
    <t xml:space="preserve">Make inspection for all lifting tools inside the area and make TBT about this 
issue  </t>
  </si>
  <si>
    <t xml:space="preserve">I have observed that the access way to the frames  is limited and not clearly 
maintained which may restrict safe access to essential services such as welding 
machines and the electrical panel. </t>
  </si>
  <si>
    <t xml:space="preserve">Inform HSE PTJ to make the access clear so we open new access to be exit point 
and provide for each frame extra ladder also we managing the cable and remove 
the unused stand for welding machines from the accessway. </t>
  </si>
  <si>
    <t xml:space="preserve">I have observed that the truck was loaded without good securing. </t>
  </si>
  <si>
    <t xml:space="preserve">Inform HSE PTJ to take action, </t>
  </si>
  <si>
    <t>I have observed poor housekeeping in the workshop</t>
  </si>
  <si>
    <t xml:space="preserve">Pipe fitter was wearing welding faceshield </t>
  </si>
  <si>
    <t>Other</t>
  </si>
  <si>
    <t>Mohamed Ahmed</t>
  </si>
  <si>
    <t>Welder</t>
  </si>
  <si>
    <t>Mohamed Galal</t>
  </si>
  <si>
    <t>Rigging Sup</t>
  </si>
  <si>
    <t>Observed grinder was working without ear plug</t>
  </si>
  <si>
    <t>Stopped him to wear ear plugs</t>
  </si>
  <si>
    <t>observed one shackle without color code</t>
  </si>
  <si>
    <t xml:space="preserve">informed Rigging sup , reinspected the shackle and color coded </t>
  </si>
  <si>
    <t xml:space="preserve">A worker performing grinding activities in WS#7 observed working safely with 
all required PPE. </t>
  </si>
  <si>
    <t>Commended the worker for his excellent PPE awareness and safe working practices</t>
  </si>
  <si>
    <t xml:space="preserve">4 x PTJ Supervisors observed wearing their newly provided 4-point chinstrap 
safety helmet systems as required PPE procedures </t>
  </si>
  <si>
    <t xml:space="preserve">Commended the supervisors on their excellent PPE awareness and safe working practices </t>
  </si>
  <si>
    <t>PTJ Supervision observed moving/lifting small pieces of cut steel with his bare hands (no safety gloves)  .</t>
  </si>
  <si>
    <t xml:space="preserve">Tutored the supervisor and included the PTJ HSE to ensure continued compliance with PPE requirements </t>
  </si>
  <si>
    <t xml:space="preserve">Workers preparing for torch heating activities placed his gas pipes across the entrance 
to an elevated structure without allowing safe access. </t>
  </si>
  <si>
    <t xml:space="preserve">CPY suspended the activity requested the worker to move his gas bottles and review his gas pipe arrangement o ensure safe access at all times </t>
  </si>
  <si>
    <t>Tutored the worker to ensure his understanding of keeping access ways free of hazards</t>
  </si>
  <si>
    <t xml:space="preserve">vTwo scaffolds located in painting areas A and B were found in use without green 
Scaftags. </t>
  </si>
  <si>
    <t xml:space="preserve">The issue has been reported to the TFMC/PTJ area safety advisors who took immediate actions by stopping the activities until rectifying the issue. </t>
  </si>
  <si>
    <t xml:space="preserve">The issue has been reported to the TFMC/PTJ area safety advisors. </t>
  </si>
  <si>
    <t xml:space="preserve">CPY noted extremely dangerous roofing corrugated sheets which are loose on 
the roof of warehouse #2. </t>
  </si>
  <si>
    <t xml:space="preserve">TFMC to do a weekly inspection of their installed sheeting and ensure fitments are in good order.. </t>
  </si>
  <si>
    <t>CPY noted that project yard material wastage is being placed within provided metal skips. 
However, these skips are typically full most of the time and becoming unsafe. 
Collection and emptying short be arranged on a more frequent order to ensure safe conditions of personnel who are placing the scrap into skips.</t>
  </si>
  <si>
    <t xml:space="preserve">It has been observed more combustible materials on frame during hot work activities  </t>
  </si>
  <si>
    <t>Suspended activities and supervisor informed that make housekeeping and check the area condition before start the activities.</t>
  </si>
  <si>
    <t>TBT conducted with all team.</t>
  </si>
  <si>
    <t>It has been observed lifting activity by unsafe way also lifting guy wasn’t use tagline.</t>
  </si>
  <si>
    <t xml:space="preserve">Suspended activities and contact with lifting coach to make TBT with team and disciplinary action was taken with him </t>
  </si>
  <si>
    <t>It was observed that there was excess metal scrap on the structure, along with numerous used grinder disks that needed to be removed.</t>
  </si>
  <si>
    <t>Fabrication supervisor informed that make housekeeping before start activities and make supervision.</t>
  </si>
  <si>
    <t xml:space="preserve">I interfered and suspended activity and contact with lifting coach for conduct TBT with team and take disciplinary action was taken. </t>
  </si>
  <si>
    <t>It was observed that a rigger performed a lifting activity without using a tag line, instead controlling the load with his hand.</t>
  </si>
  <si>
    <t>Observed poor cable management in welding area at workshop 1</t>
  </si>
  <si>
    <t xml:space="preserve">It has been observed dismantling some part from scaffold without inform scaffold inspector </t>
  </si>
  <si>
    <t xml:space="preserve">Activities on scaffold platform suspended and remove scaffold TAG by inspector and make re inspection </t>
  </si>
  <si>
    <t xml:space="preserve">TBT conducted with all team for not repeat that unsafe behavior  </t>
  </si>
  <si>
    <t xml:space="preserve">It has been observed unsafe storage pipelines on support for sandblasting activities </t>
  </si>
  <si>
    <t xml:space="preserve">Suspended activities and supervisor informed that change pipelines condition </t>
  </si>
  <si>
    <t xml:space="preserve">I have observed that the welder working on unsafe way. </t>
  </si>
  <si>
    <t xml:space="preserve">I have observed that the grinder working while the load connected with sling 
and the sparks will affect the wire. </t>
  </si>
  <si>
    <t xml:space="preserve">I have observed the worker not specified to work with grinder using the grinder 
without specified PPE. </t>
  </si>
  <si>
    <t xml:space="preserve">Inform HSE PTJ to take action. </t>
  </si>
  <si>
    <t xml:space="preserve">I have observed that the rigging team not using enough wood to make the roll 
guide stable after uprighting  </t>
  </si>
  <si>
    <t>Inform lifting coach PTJ to take action and make TBT for safe lifting operation.</t>
  </si>
  <si>
    <t xml:space="preserve">I have observed the welder working and his side insecure. </t>
  </si>
  <si>
    <t xml:space="preserve">Inform HSE PTJ to take action to stop working until secure this side. </t>
  </si>
  <si>
    <t xml:space="preserve">I have observed the using lifting tools on wrong way. </t>
  </si>
  <si>
    <t>Inform lifting coach to take action how to use lifting tools on right way.</t>
  </si>
  <si>
    <t xml:space="preserve">I have observed that the grinder cover was broken and have color code. </t>
  </si>
  <si>
    <t xml:space="preserve">Inform HSE to remove the color code and take it out. </t>
  </si>
  <si>
    <t xml:space="preserve">I have observed that the material on unsafe way for work. </t>
  </si>
  <si>
    <t xml:space="preserve">I have observed that the material on unsafe position for work. </t>
  </si>
  <si>
    <t>It was observed that the rigging team inspected all temporary storage areas inside the site and carried out rearrangement.</t>
  </si>
  <si>
    <t>Positive feedback was given to the rigging team and give them incentive cards.</t>
  </si>
  <si>
    <t xml:space="preserve">It was observed that using damage welding habitat and there is more combustible materials nearby from hot work activity. </t>
  </si>
  <si>
    <t>The activities was suspended and supervisor informed that all damage welding habitat must be replacement and housekeeping mandatory before start work.</t>
  </si>
  <si>
    <t>It was observed that more tripping hazard on access way there is more cables and two trolly gas cylinders.</t>
  </si>
  <si>
    <t>I intervened and stopped the activity. The fitting supervisor was instructed to reposition the frame on a metal platform before continuing the work.</t>
  </si>
  <si>
    <t>It was observed that fabrication work on the hub frame was carried out without securing the frame during hot work activities.</t>
  </si>
  <si>
    <t>It was observed that a worker operating the CNC machine was not wearing the required PPE for welding activities.</t>
  </si>
  <si>
    <t xml:space="preserve">The activity was stopped immediately, and the worker was instructed to wear the required PPE before resuming work and disciplinary action was taken. </t>
  </si>
  <si>
    <t xml:space="preserve">It has been observed fabrication activity on frame without provide safe access way </t>
  </si>
  <si>
    <t xml:space="preserve">The activities was suspended and fabrication supervisor informed that checking area condition before start activity   </t>
  </si>
  <si>
    <t>It was observed that materials were unsafely stored under the structure, which could cause injury to anyone entering the storage area.</t>
  </si>
  <si>
    <t>The unsafe materials stored under the structure were immediately removed, and the area was cleared to ensure safe access. The supervisor was instructed to prevent any future storage in that location and to designate a proper, secure storage area.</t>
  </si>
  <si>
    <t>Observed workers are compliant to the job specific PPE requirements in the painting and blasting area</t>
  </si>
  <si>
    <t>Observed worker is using a grinder that is not color coded and has the disk shield damaged</t>
  </si>
  <si>
    <t>Advised the grinder to be removed from workplace 
and to be maintained, inspected then used at work again</t>
  </si>
  <si>
    <t xml:space="preserve">Observed that the forklift is lifting the load using the wrong lifting methods (wires and shackles) </t>
  </si>
  <si>
    <t xml:space="preserve">Advised to stop the lifting process 
secure the load properly to proceed with transporting the load </t>
  </si>
  <si>
    <t>Supervisor to conduct TBT regarding the Trending lifting issues to make sure riggers comply with safe and adequate lifting practices</t>
  </si>
  <si>
    <t>Observed structure with opening that is unsecured which may lead to workers working on it to fall</t>
  </si>
  <si>
    <t>Advised the structure to be barricaded and the cover to be securely closed so workers can commence work on the structure again</t>
  </si>
  <si>
    <t>Observed that cable management is poor in the area increasing the potential of slip and trip hazard.</t>
  </si>
  <si>
    <t>Advised the work to be suspended till the cable is managed properly through the area to eliminate the slip and trip hazard</t>
  </si>
  <si>
    <t xml:space="preserve">I have observed that the rigger using his hand to control the load. </t>
  </si>
  <si>
    <t xml:space="preserve">Inform HSE PTJ to take action and lifting coach to make training for the rigging 
team. </t>
  </si>
  <si>
    <t xml:space="preserve">I have observed poor house keeping and unfixed boards inside the roll guide. </t>
  </si>
  <si>
    <t xml:space="preserve">Inform HSE PTJ to stop working and take action. </t>
  </si>
  <si>
    <t xml:space="preserve">I have observed poor house keeping and cable management. </t>
  </si>
  <si>
    <t xml:space="preserve">I have observed wrong lifting activities. </t>
  </si>
  <si>
    <t>Inform HSE PTJ to take action and lifting coach to make training for the rigging 
team.</t>
  </si>
  <si>
    <t xml:space="preserve">I have observed that forklift loaded the material on wrong way. </t>
  </si>
  <si>
    <t xml:space="preserve">Stop him and inform the rigger to rearrange this material. </t>
  </si>
  <si>
    <t xml:space="preserve">I have observed poor housekeeping. </t>
  </si>
  <si>
    <t xml:space="preserve">I have observed unsecured piping. </t>
  </si>
  <si>
    <t xml:space="preserve">During inspection in WS2 I found may cigarettes butts on the floor. </t>
  </si>
  <si>
    <t xml:space="preserve">Spoke to PTJ safety officer and asked him to convey a message to his technicians not to smoke in the workshop and use designated area, he also got a laborer to do housekeeping for the findings. </t>
  </si>
  <si>
    <t>Issue to be highlighted and briefed in daily and weekly TBT.</t>
  </si>
  <si>
    <t>One gas cylinder was kept very close to grinding work.</t>
  </si>
  <si>
    <t xml:space="preserve">Instructed PTJ safety officer to remove it from place </t>
  </si>
  <si>
    <t xml:space="preserve">One technician was using the back of the grinding desk while doing grinding 
work on the mudmats in the blasting yard. </t>
  </si>
  <si>
    <t xml:space="preserve">Instructed the technician that only the desk face to be used for grinding and that the back face of the grinding desk is not for use. </t>
  </si>
  <si>
    <t xml:space="preserve">While site inspection I noticed plates stacked in a bad position in WK#1, along 
the side of the walk way. </t>
  </si>
  <si>
    <t>I informed safety officer and he took the corrective action and redo the stacking from the beginning in a proper manner.</t>
  </si>
  <si>
    <t xml:space="preserve">Workers need to have both black and clear goggles, and ensure that the clear 
glasses are worn inside the work shop for a clearer vision </t>
  </si>
  <si>
    <t xml:space="preserve">Informed TFMC/ Petrojet HSE and tutored worker on the importance of safety glasses importance. </t>
  </si>
  <si>
    <t>Workers guidance during toolbox talk and quick actions to anyone on site not 
wearing them.</t>
  </si>
  <si>
    <t xml:space="preserve">While site inspection in WK#1, CPY noticed left over for foods under the 
mudmat frames structure, workers are having their lunch during break time in 
non dedicated areas for lunch such as workshops.  </t>
  </si>
  <si>
    <t xml:space="preserve">Informed TFMC/ Petrojet HSE and they did the corrective action by cleaning the Workshop and promised to mention the topic in the weekly toolbox talk </t>
  </si>
  <si>
    <t xml:space="preserve">Worker wearing full PPE whilst grinding in WS#7 </t>
  </si>
  <si>
    <t>Commended the worker on safe PPE awareness.</t>
  </si>
  <si>
    <t xml:space="preserve">Scaffolding Team observed wearing 4-point chinstrap helmets in windy conditions </t>
  </si>
  <si>
    <t xml:space="preserve">Commended the scaffold team on safe PPE awareness </t>
  </si>
  <si>
    <t>It has been observed that couple of gas cylinders left pressurized while not
being used.</t>
  </si>
  <si>
    <t>A discussion has been made with the welder supervisor, and action has been taken immediately to release the pressure from the cylinders.</t>
  </si>
  <si>
    <t>It has been observed that a worker operating the cold cutting MC without
wearing a protective cover.</t>
  </si>
  <si>
    <t>A discussion has been made with the cold cut MC operator and immediately he went and get face shield</t>
  </si>
  <si>
    <t xml:space="preserve">The housekeeping in the piping fabrication area of Workshop 2 is observed to be 
in good condition, with the area appearing clean, well-organized, and tidy. </t>
  </si>
  <si>
    <t>Encourage the team to keep it up.</t>
  </si>
  <si>
    <t xml:space="preserve">Rigger not wearing a helmet with chin strap – helmet came off due to high winds </t>
  </si>
  <si>
    <t xml:space="preserve">Informed area supervisor and HSE to ensure riggers wear at least a 2-point chin strap until 4-point types are provided </t>
  </si>
  <si>
    <t>Worker shifting heavy steel plate without safety gloves – directly after attending the 
Weekly Group TBT regarding Manual Handling</t>
  </si>
  <si>
    <t xml:space="preserve">Informed area supervisor and HSE to ensure workers are wearing the correct PPE for activities at all times </t>
  </si>
  <si>
    <t>CPY noted in outside area 2 several overhead corrugated sheeting was incorrectly loose due to rigging team accessing below to lift and insert a section of material to the PLET Mudmat base/frame. 
Several HSE and PTJ supervisors were present and discussing the course of action while several workers were continuing to work in a potential high-risk situation</t>
  </si>
  <si>
    <t xml:space="preserve">CPY immediately requested that PTJ workers stop their activities and remove themselves from underneath the loose corrugated overhead sheet.  This action was implemented </t>
  </si>
  <si>
    <t xml:space="preserve">TFMC to do a weekly inspection of their installed corrugated sheeting and ensure sheets are correctly secure and safe for their workers to have a safe environment to work in. </t>
  </si>
  <si>
    <t xml:space="preserve">CPY noted in in most PTJ yard facilities that several workers are not correctly wearing their PPE as per mandatory requirements.   
There are many HSE , PPE signages throughout the yard and yet lack of supervision or HSE advisors taking the correct intervention steps to ensure workers adhere to correct PPE requirements.  
CPY intervened to all observed wearing of PPE – examples noted: 
➢ Coverage sleeves rolled up in hotwork environments; 
➢ No glasses on; 
➢ Incorrect dark glasses withinside workshops; 
➢ Incorrect wearing of hard hat with application of chin straps being incorrect or not utilised; 
➢ No gloves on when lifting or carrying material / cables / rigging etc. </t>
  </si>
  <si>
    <t xml:space="preserve">CPY immediately requested that PTJ workers stop their activities and donned / corrected their PPE to align with mandatory PPE requirements.   This action was implemented   </t>
  </si>
  <si>
    <t>TFMC HSE and PTJ HSE must do BETTER and intervene when see incorrect 
behaviour. .</t>
  </si>
  <si>
    <t xml:space="preserve">Scaffold crew all wearing 4-point chinstraps in Blasting &amp;Painting area </t>
  </si>
  <si>
    <t xml:space="preserve">Commended the team on their safe act practices </t>
  </si>
  <si>
    <t xml:space="preserve">Scaffold walkway erected between the Texas barriers form compressor are  into the 
blasting &amp;painting area – 2 entrances rectified for afer acccess </t>
  </si>
  <si>
    <t xml:space="preserve">Commended the team on their creation of safe walkway access </t>
  </si>
  <si>
    <t>Worker observed working without gloves whilst punching numbers onto steel plate – excuse being that the gloves provided were too thick to choose the correct steel stamp number – therefore the worker was forced to take them off – the worker was working with thick welding gloves – incorrect PPE provided for the activity</t>
  </si>
  <si>
    <t xml:space="preserve">Engaged the direct supervisor to ensure the worker was provided with a lighter weigh type safety glove in order that the worker kept his gloves on at all times </t>
  </si>
  <si>
    <t xml:space="preserve">Worker observed using a large  grinder in a space suitable for a smaller grinder – the 
large grinder was being used whereas a smaller size grinder would be safer without 
chance of snagging or jerking during the actvitiy </t>
  </si>
  <si>
    <t xml:space="preserve">Engaged the worker and direct supervisor to ensure the worker was provided with the suitable grinding tool for the activity thus eliminating any possible incidents </t>
  </si>
  <si>
    <t xml:space="preserve">CPY noted in outside area 4 that poor condition of tarpaulins which are loose and 
required to be securely tied. </t>
  </si>
  <si>
    <t xml:space="preserve">No immediate action provided by CPY – submission of PTJ SHOC Card </t>
  </si>
  <si>
    <t>TFMC to ensure mitigations are corrected and set up a daily HSE team 
walkaround..</t>
  </si>
  <si>
    <t>CPY noted at outside fab shop #2 that scaffolders were walking from inside fab shop #2 to outside area with no safety glasses on. 
Even though at today’s TBT this was related to wearing mandatory PPE requirements.</t>
  </si>
  <si>
    <t xml:space="preserve">CPY proceeded to intervene and asked PTJ scaffolders their reason for not wearing correct PPE (safety glasses) while walking in a hazards area.    
CPY requested both scaffolders to use and requested a near by PTJ HSE Advisor to explain and ensure correct compliance.  </t>
  </si>
  <si>
    <t xml:space="preserve">TFMC to ensure that everyone intervenes and help/support to keep everyone safe/ </t>
  </si>
  <si>
    <t>Phil Remnant</t>
  </si>
  <si>
    <t xml:space="preserve">CPY noted during a yard walkaround that within the blasting and coating area there were coating applications ongoing with several PTJ workers 
Positive observation was the correct donning/wearing of applicable PPE such as correct type of breathing masks, gloves, glasses or over glasses  </t>
  </si>
  <si>
    <t>CPY request TFMC and PTJ HSE to keep up the correct level of innervations in relation to wearing of correct type of PPE for tasks in hand.</t>
  </si>
  <si>
    <t xml:space="preserve">CPY noted loose boards with scaffold flooring arrangements with PLET 323-M. 
During walkaround on board these boards lifting to unsafe condition with potential risk of tripping/falling. </t>
  </si>
  <si>
    <t xml:space="preserve">TFMC to ensure PTJ scaffolding supervisor is informed and implemented a full scaffolding inspection prior to scafftag(s) being signed off as good condition. </t>
  </si>
  <si>
    <t>Observed that Welder under roll guide has been assigned a watcher to observe the welder to monitor the safety of the welder.</t>
  </si>
  <si>
    <t>Observed some workers working on an uninspected- incomplete scaffold.</t>
  </si>
  <si>
    <t>Suspended the Activity 
Gave an on-spot coaching for the workers on the dangers of working on an inspected platform.
advised area supervisor to ensure platform is safe and inspect it if needed to be used.</t>
  </si>
  <si>
    <t>Observed worker smoking in workshop</t>
  </si>
  <si>
    <t>Advised area supervisor to take action against worker</t>
  </si>
  <si>
    <t>Observed electric panel with no inspection cards and some outlets that have broken covers on them.</t>
  </si>
  <si>
    <t xml:space="preserve">Reported the panel to the maintenance team to sort out the issue and inspect the panel so that it can be authorized to be used </t>
  </si>
  <si>
    <t>Ensure electric panels to be inspected before usage at all times.</t>
  </si>
  <si>
    <t>Observed that electric panel cables are not isolated and arranged properly.</t>
  </si>
  <si>
    <t>Advised electric supervisor to arrange and isolate the cables, then put inspection tag so that it will be used.</t>
  </si>
  <si>
    <t>Observed that CGC is not segregated adequately. And has been secured with ropes.</t>
  </si>
  <si>
    <t>Advised the area supervisor to segregate the CGC adequately and use chains to secure CGC in place</t>
  </si>
  <si>
    <t>Observed that electric panel grounding plate is been painted which may not ground the electricity properly.</t>
  </si>
  <si>
    <t>Advised electric supervisor to arrange and remove the paint coat from the grounding plate then put inspection tag so that it will be used.</t>
  </si>
  <si>
    <t>Observed that in the area that the blasting hoses are not managed properly which may lead to slip and trip hazard.</t>
  </si>
  <si>
    <t>Advised area supervisor to ensure that the hoses are managed at all times and the access is left clear</t>
  </si>
  <si>
    <t xml:space="preserve">I have observed cylinder closed the accessway.  </t>
  </si>
  <si>
    <t xml:space="preserve">I have observed Screw clamp found in a non-designated area. </t>
  </si>
  <si>
    <t xml:space="preserve">I have observed Scaffolding material and metal sheet found stored near the 
active work area </t>
  </si>
  <si>
    <t xml:space="preserve">I have observed poor cable management. </t>
  </si>
  <si>
    <t xml:space="preserve">I have observed Access way is blocked or not properly maintained. </t>
  </si>
  <si>
    <t xml:space="preserve">Grinder operator observed not wearing gloves and face shield. </t>
  </si>
  <si>
    <t xml:space="preserve">While witnessing UT inspection in the blasting and painting area #A, CPY 
noticed a large piece of metal with a very sharp edge left in the middle of the 
mudmat, that could hurt or cause injury to any person passing by it.  </t>
  </si>
  <si>
    <t xml:space="preserve">I Informed PTJ site safety officer and he took the corrective action by stopping the work util the fitters came and remove the left steal plate and put it in it’s normal place. </t>
  </si>
  <si>
    <t xml:space="preserve">While site inspection in WK#1, CPY noticed a scaffolding with a not fit for work 
tag, while the ladder itself still in it’s place and there aren’t any tag lines to close 
the entrance.  </t>
  </si>
  <si>
    <t xml:space="preserve">I Informed TFMC site safety officer and he took directly the corrective action, contacted PTJ safety officer to put a tag line to close the scaffolding entrance. </t>
  </si>
  <si>
    <t xml:space="preserve">While site inspection in WK#2, CPY noticed a broken metal shield with sharp 
edges which could really cause injuries to any of the workers while working or 
transferring it.  </t>
  </si>
  <si>
    <t>I Informed PTJ site safety officer and he eliminated the metal shield out of service and contacted the responsible team to fix it.</t>
  </si>
  <si>
    <t xml:space="preserve">Organic solvents used for cleaning pipe bevels were improperly stored in non-dedicated containers, as it was stored in drinking water bottle, posing potential safety hazards. </t>
  </si>
  <si>
    <t xml:space="preserve">CPY highlighted the issue to PTJ/TFMC area safety officer who took immediate 
action by removing it from site. </t>
  </si>
  <si>
    <t xml:space="preserve">CPY noted several sharp edges from cutting on the scaffold tubulars have been left in dangerous conditions. 
Risk to personnel being cut personnel should not be wearing their gloves. </t>
  </si>
  <si>
    <t xml:space="preserve"> TFMC to ensure that that PTJ act accordingly and remove dangerous scaffolding tubulars and replace them with safe ones</t>
  </si>
  <si>
    <t xml:space="preserve">CPY noted that a mudmat structure had been lifted away from coating area several days and no housekeeping was conducted for overspill of blasting medium. 
PTJ proceeded to lift and place a subsequent structure without good housekeeping being applied. </t>
  </si>
  <si>
    <t xml:space="preserve"> TFMC to HSE to ensure that PTJ conduct regular housekeeping operations to minimize the area and remove used blasting garnet from building up.</t>
  </si>
  <si>
    <t xml:space="preserve">CPY noted that a sub-element structure was being lifted (limited height) on CPY observations the PTJ rigging crew did not use any tag lines and were guiding with their hands. 
Additionally, there was a PTJ worker in close proximity due to in adequate barriers being placed as SEZ zone. </t>
  </si>
  <si>
    <t xml:space="preserve"> CPY intervened and corrected the negative observations with explanations on correct lifting applications.  Followed up with a discussion with PTJ HSE advisor. </t>
  </si>
  <si>
    <t xml:space="preserve">TFMC to PTJ HSE personnel support and assist PTJ rigging crew on ways how to conduct a safe lift without placing themselves in harm’s way. </t>
  </si>
  <si>
    <t xml:space="preserve">CPY noted that lifting operations ongoing on a project mudmat base frame weighing circa 25mT and classed as a “critical lift”  
Several PTJ personnel being in the line fire or extremely close to crane lifting operations.  CPY raised concerns with TFMC HSE Lead to query why non-essential personnel were so close to the lifting operations. CPY then challenged, with 
TFMC HSE continuing to take no action or discussion with PTJ HSE during the lower of the structure. </t>
  </si>
  <si>
    <t xml:space="preserve"> CPY intervened by going through the SEZ barrier to have a better angle of the circumstances and PTJ personnel standing positions.  CPY Fabrication Manager assessed the situation and was ready to announce a full Safety Stop Authorization being implemented.   </t>
  </si>
  <si>
    <t xml:space="preserve">TFMC and PTJ HSE personnel must intervene when seeing a non-safe condition. 
However, based on TFMC HSE Manager response TFMC did not see any issue with current and multiple personnel within the SEZ. </t>
  </si>
  <si>
    <t>CPY noted that lifting operations ongoing on a project mudmat base frame weighing circa 25mT and classed as a “critical lift”  
PTJ had two (2) personnel with yellow high-vis jackets while PTJ rigging supervisor was giving instructions to grain drivers. 
PTJ Lifting procedure was not adhered to and therefore a violation</t>
  </si>
  <si>
    <t xml:space="preserve"> CPY questioned all TFMC and PTJ HSE and management as to why no one intervened and questioned the rationale as to why. A debriefing TBT was arranged to discuss CPY observations.  TFMC HSE shared CPY observations to PTJ </t>
  </si>
  <si>
    <t>TFMC and PTJ HSE personnel must intervene when seeing a non-safe condition.</t>
  </si>
  <si>
    <t>Observed that the lifting activity had adequate barricading around the lifting area.</t>
  </si>
  <si>
    <t>Observed that cable ramps have been implemented and used at workshop 1&amp;2</t>
  </si>
  <si>
    <t>Appreciated the work done and advised that this safe condition should be implemented throughout the whole site.</t>
  </si>
  <si>
    <t>Worker has tied the deadman switch for the sandblasting trigger bypassing the safety control.</t>
  </si>
  <si>
    <t>Suspended the activity instantly
Advised the worker to remove the rope from the trigger and not tamper with the trigger..</t>
  </si>
  <si>
    <t>Observed that the lifting activity preformed had in adequate and not safe rigging.</t>
  </si>
  <si>
    <t>Advised that the load to be grounded 
and use adequate and safe lifting methods.</t>
  </si>
  <si>
    <t>Observed that the rigging team were using inadequate rigging and lifting methods to move the hubs out of the crates to the work area.</t>
  </si>
  <si>
    <t xml:space="preserve">Safely Suspended the activity 
Advised the lifting supervisor to follow the safe and adequate measures for lifting and prevent shortcuts </t>
  </si>
  <si>
    <t>Observed that grinder was using poka dot gloves for grinding activities.</t>
  </si>
  <si>
    <t>Safely Suspended the activity 
Advised the grinder to use dedicated PPE for the Job and informed the supervisor with the violation.</t>
  </si>
  <si>
    <t>Observed that worker was doing touch up paint job in the workshop without any valid permit.</t>
  </si>
  <si>
    <t>Safely Suspended the activity 
Advised the area supervisor no minor activities to be done with out any permit.</t>
  </si>
  <si>
    <t>Observed that the air hose has a puncture and was leaking air during the blasting activity.</t>
  </si>
  <si>
    <t>Suspended work with the compressor 
Advised that maintenance team to fix / replace the punctured hose and inspect the compressor before starting any work.</t>
  </si>
  <si>
    <t>Observed that the worker was heating up material without using adequate PPE</t>
  </si>
  <si>
    <t>Suspended the activity 
advised the worker to use adequate PPE for the Job</t>
  </si>
  <si>
    <t>Observed that there is poor housekeeping on the structure
Combustible material on the frame that has hotwork activities</t>
  </si>
  <si>
    <t>Advised area supervisor that regular housekeeping should be maintained to prevent any fire hazards during hotwork</t>
  </si>
  <si>
    <t xml:space="preserve">Observed scaffolding erected without a midrail, posing a potential fall hazard </t>
  </si>
  <si>
    <t xml:space="preserve">I have Observed poor cable management.  </t>
  </si>
  <si>
    <t>I have Observed damage on cylinder, indicating potential safety and operational 
risk. \</t>
  </si>
  <si>
    <t>Inform HSE PTJ to take action.</t>
  </si>
  <si>
    <t xml:space="preserve">I have Observed unsafe lifting operation performed in a manner not in 
accordance with standard lifting practices. </t>
  </si>
  <si>
    <t xml:space="preserve">I have observed that the entrance to the workshop is very narrow, limiting 
access. The accessway is further obstructed by scaffolding, which should have 
been removed beforehand. This obstruction must be addressed immediately to 
allow safe and efficient entry and exit. </t>
  </si>
  <si>
    <t>Abdelfatah mohamed</t>
  </si>
  <si>
    <t>Ahmed Abdelrady</t>
  </si>
  <si>
    <t>It was observed that unsafe modifications had been made to a scaffold work platform, creating a risk of collapse during use it.</t>
  </si>
  <si>
    <t>The scaffold was taken out of service immediately and all unauthorized modifications were removed.</t>
  </si>
  <si>
    <t>The scaffold inspector was instructed to re-inspect the platforms in area and make sunray before start work.</t>
  </si>
  <si>
    <t>A positive behavior was observed from a worker who rearranged cables and removed them from the work access ways.</t>
  </si>
  <si>
    <t>the worker was given positive feedback and awarded an incentive card.</t>
  </si>
  <si>
    <t>It was observed that many empty plastic water bottles were left on the frame near hot work activities.</t>
  </si>
  <si>
    <t>The empty plastic water bottles were removed from the frame immediately to eliminate the risk of fire or obstruction near hot work activities. The area supervisor was instructed to enforce proper housekeeping and more supervision.</t>
  </si>
  <si>
    <t>It was observed that SIMOPS activities were taking place, with lifting operations being carried out near a welding habitat where grinding activities were ongoing.</t>
  </si>
  <si>
    <t>The lifting activity was suspended immediately until proper coordination with the welding team was ensured.</t>
  </si>
  <si>
    <t>Both teams were instructed to coordinate their activities through the permit-to-work system, and TBT Meeting was conducted to ensure this observation is not repeated.</t>
  </si>
  <si>
    <t>It was observed that grinding work was being carried out on a hub frame in an unsafe manner, as the frame was lifted and supported only on two nails."</t>
  </si>
  <si>
    <t>The grinding activity was stopped immediately, and the hub frame was secured using proper supports instead of only two pins the supervisor was reminded to ensure safe setup and proper support for all frames during grinding and fabrication activities.</t>
  </si>
  <si>
    <t>It was observed that a welder was working in an unsafe position, standing on the frame structure.</t>
  </si>
  <si>
    <t>Disciplinary action with him and welding SV.</t>
  </si>
  <si>
    <t>The activity was stopped immediately, and the welder was instructed to get down from the frame structure. The supervisor was informed to provide proper access equipment, such as a scaffold or work platform,</t>
  </si>
  <si>
    <t xml:space="preserve">I have Observed the piping unsecured. </t>
  </si>
  <si>
    <t>I have Observed poor housekeeping.</t>
  </si>
  <si>
    <t xml:space="preserve">I observed waste being thrown into the spill kit, which is improper use </t>
  </si>
  <si>
    <t>I gathered the team in the area to inform them about proper spill kit usage and raise awareness.</t>
  </si>
  <si>
    <t xml:space="preserve">The thermometer on the paint storage container was found to be non-
functional during inspection </t>
  </si>
  <si>
    <t xml:space="preserve">Inform PTJ HSE to take action </t>
  </si>
  <si>
    <t xml:space="preserve">I have observed The storage arrangement for boxes is not good and is unsafe 
for easy manual handling. </t>
  </si>
  <si>
    <t xml:space="preserve">I have observed Used paint bucket were stored inside a container designated 
only for unused materials </t>
  </si>
  <si>
    <t>I have observed that the measurement checklist for the storage container had 
not been completed.</t>
  </si>
  <si>
    <t xml:space="preserve">I have Observed the electrical panel without firesearch. </t>
  </si>
  <si>
    <t>I have Observed that the roll guide was unsecured, which is unsafe for balance</t>
  </si>
  <si>
    <t xml:space="preserve">I have Observed cables without color code. </t>
  </si>
  <si>
    <t xml:space="preserve">I have Observed Scaffolding materials obstructing the access way, posing a tripping hazard. </t>
  </si>
  <si>
    <t xml:space="preserve">I have Observed the materials obstructing the access , posing a tripping hazard. </t>
  </si>
  <si>
    <t xml:space="preserve">During inspection in WS2 I found many cigarettes butts on the floor. </t>
  </si>
  <si>
    <t xml:space="preserve">Issue to be highlighted and briefed in daily and weekly TBT.  </t>
  </si>
  <si>
    <t xml:space="preserve">Instructed the technician that only the desk face to be used for grinding and that 
the back face of the grinding desk is not for use. </t>
  </si>
  <si>
    <t>I saw torn tires for the car crane used for light posts.</t>
  </si>
  <si>
    <t xml:space="preserve">Spoke to PTJ safety officer and TECHNIP safety officer to take action </t>
  </si>
  <si>
    <t xml:space="preserve">Issue to be highlighted in the weekly TBT. Issue to be highlighted in the weekly TBT. </t>
  </si>
  <si>
    <t>Whilst walking in workshop #2 heat was felt radiating from works that had 
being performed. No caution sign was posted to warn of hot surfaces. Nobody 
in attendance.</t>
  </si>
  <si>
    <t xml:space="preserve">Informed Safety Officer in the area to place signage in the immediate work area, 
warning people / by passers of a hot surface </t>
  </si>
  <si>
    <t xml:space="preserve">Ensure work area is left in a safe and hazard free condition – hot surface. </t>
  </si>
  <si>
    <t xml:space="preserve">Plastic water drinking bottles and food waste packaging strewn across area next 
to warehouse # 5 open area  </t>
  </si>
  <si>
    <t xml:space="preserve">Informed PTJ HSE Manager who was on site to arrange for housekeeping in the area.  Observation was immediately rectified </t>
  </si>
  <si>
    <t xml:space="preserve">Workers must not discard empty drinking water bottles in the work areas. Use the bins provided. Housekeeping to be performed daily </t>
  </si>
  <si>
    <t xml:space="preserve">CPY noted that several full plastic bags were lying around within open area #5.  Additionally, very poor housekeeping within same area with plastic bottles / rubbish and debris </t>
  </si>
  <si>
    <t>TFMC to be vigilant when walking around yard and sharing their findings to PTJ HSE to resolve.  
PTJ to implement more regular housekeeping activities and removal of rubbish from not only area 5 (outdoor) but all of their yard areas.</t>
  </si>
  <si>
    <t>CPY noted the two fabrication shops (#1 and #2) constantly keep these fabrication shops in good clean (housekeeping) conditions. 
Respect for the cleaning team.</t>
  </si>
  <si>
    <t>Continue to share praise to the PTJ subcontractor cleaning vendor team and provide some recognition award for the positive behaviour   
Make a point to have them on site at weekly mandatory project yard TBT(s) and do a recognition to this team specifically and show the positive</t>
  </si>
  <si>
    <t>During the inspection of compressed gas cylinders, a gas leak was detected from one of the cylinders.</t>
  </si>
  <si>
    <t>The cylinder was taken out of service, maintenance was carried out, and the pressure gauge (manometer) was replaced.</t>
  </si>
  <si>
    <t>Hydraulic oil leakage was observed from a hydraulic jack.</t>
  </si>
  <si>
    <t>The work was stopped, and the defective hydraulic jack was replaced with a safe and functional one.</t>
  </si>
  <si>
    <t>A broken electrical plug was found in use.</t>
  </si>
  <si>
    <t>The electrical cable was taken out of service, the electrician was called, and the damaged plug was replaced.</t>
  </si>
  <si>
    <t>Electrical cables were found unorganized within the work area, creating a tripping hazard.</t>
  </si>
  <si>
    <t>Work was stopped, and all cables were rearranged properly to prevent tripping and ensure worker safety.</t>
  </si>
  <si>
    <t xml:space="preserve">It was observed that the rigging team make survey for all lifting gears condition. </t>
  </si>
  <si>
    <t xml:space="preserve">It was observed that using damage welding habitat and there  more 
combustible materials nearby from hot work activity. </t>
  </si>
  <si>
    <t>The activities was suspended and supervisor informed that all damage welding 
habitat must be changed and remove all combustible materials.</t>
  </si>
  <si>
    <t xml:space="preserve">It was observed that more tripping hazard on access way there is more cables 
need to re arrangement. </t>
  </si>
  <si>
    <t xml:space="preserve">I intervened and stopped the activity. The fitting supervisor was instructed to re 
arrangement for all cables.  </t>
  </si>
  <si>
    <t xml:space="preserve">It was observed that SIMOPS were taking place, with welding activities being 
carried out inside the roll guide frame while another worker was using LPG to 
heat the same frame from the outside. </t>
  </si>
  <si>
    <t>The activities were stopped immediately, and both teams were instructed to coordinate their work to prevent simultaneous operations (SIMOPS) in the same area.</t>
  </si>
  <si>
    <t xml:space="preserve">It was observed that a worker left the LPG torch burning and walked away to 
look for something.leaving the flame unattended. </t>
  </si>
  <si>
    <t xml:space="preserve">The activity was stopped immediately, and the LPG torch was turned off to eliminate the fire hazard. The worker was instructed on the dangers of leaving an open flame unattended and was given disciplinary action for the unsafe behaviour. </t>
  </si>
  <si>
    <t xml:space="preserve">It has been observed fabrication activity on frame without provide safe access 
way  </t>
  </si>
  <si>
    <t xml:space="preserve">The activities was suspended and fabrication supervisor informed that checking area condition before start activities. And removing all materials between the pipe supports. </t>
  </si>
  <si>
    <t xml:space="preserve">It was observed that materials were stored unsafely, which could cause injury 
to anyone entering the area. In addition, combustible materials needed to be 
removed to prevent potential fire hazards. </t>
  </si>
  <si>
    <t>The area was cleared immediately, and all combustible and unsafely stored materials were removed to eliminate potential hazards. The area supervisor was instructed to ensure proper segregation and safe storage practices</t>
  </si>
  <si>
    <t xml:space="preserve">I have observed that the crane operator not wearing the required personal 
protective equipment (PPE), specifically safety shoes and safety glasses. </t>
  </si>
  <si>
    <t xml:space="preserve">I inform HSE PTJ to take action. </t>
  </si>
  <si>
    <t xml:space="preserve">I have observed that gas cylinders are not segregated based on their hazard 
classifications </t>
  </si>
  <si>
    <t xml:space="preserve">I have observed that equipment was being transported in an unsafe manner. </t>
  </si>
  <si>
    <t>I have observed that Magnetic drill used incorrectly and without required safety 
precautions.</t>
  </si>
  <si>
    <t xml:space="preserve">I have observed that the Metal sheet found untied, posing a risk of shifting or 
falling. </t>
  </si>
  <si>
    <t xml:space="preserve">CPY noted that a serious amount of plastic bottles/bags and general waste was spread over a section within Area 5 (external) where the sub elements are stored. 
</t>
  </si>
  <si>
    <t xml:space="preserve">As mentioned TFMC HSE to intervene and advise PTJ to put corrective actions and mitigations to prevent this occurring.  </t>
  </si>
  <si>
    <t xml:space="preserve">CPY notes that several yard locations waste bins/storage areas are extremely full and overloading of plastic bottles/general waste/plastic bags etc. 
Lying around waste bin areas as well as sporadically laying around. </t>
  </si>
  <si>
    <t xml:space="preserve">(1) As mentioned, TFMC HSE to intervene and advise PTJ to put corrective actions and mitigations in place to prevent this occurring.  
(2) TFMA request PTJ to set up a more regular waste management program to remove waste. </t>
  </si>
  <si>
    <t>CPY notes that several PTJ supervisors do not accordingly wear the appropriate and correct type of clear safety glasses while inside the workshops. 
CPY has intervened on many occasions and yet note the presence of TFMC and PTJ HSE advises who seem not to take corrective actions</t>
  </si>
  <si>
    <t xml:space="preserve"> CPY requested offenders to put on their clear glasses or go an get them if not on their person.</t>
  </si>
  <si>
    <t>(1) TFMC HSE to intervene and advise PTJ supervisors at all times, take name if reoccurrence offender 
(2) TFMC HSE to liaise with PTJ HSE advisor(s) or manager to take appropriate actions 
(3) PTJ HSE Manager to reiterate his team’s performances and set up regular intervention meetings to aid his team.</t>
  </si>
  <si>
    <t xml:space="preserve">CPY observed PTJ Snr Site Manager in WS # 2, without wearing PPE, (repeat 
observation) </t>
  </si>
  <si>
    <t xml:space="preserve">E mail sent to TFMC HSE to escalate the observation to Senior TFMC 
Management, to take corrective action. </t>
  </si>
  <si>
    <t xml:space="preserve">PPE must be worn by ALL personnel within the worksite. Management to set an 
example to the workforce by complying with site procedures and rules. </t>
  </si>
  <si>
    <t>CPY observed a cracked/perished hose attached to gas cylinder in ws # 1</t>
  </si>
  <si>
    <t>CPY highlighted the observation to TFMC HSE Advisor in the area to ensure cracked/perished hoses are replaced.Observation was immediately rectified</t>
  </si>
  <si>
    <t>Daily inspection on all parts of the gas cylinders to be done, so as to ensure no 
cracked hoses are attached to the cylinders</t>
  </si>
  <si>
    <t xml:space="preserve">CPY observed loose fitting caps affixed to  gas cylinders in ws # 1 </t>
  </si>
  <si>
    <t xml:space="preserve">CPY highlighted the observation to TFMC HSE Advisor in the area to ensure the 
protection caps on the gas cylinders are tightly affixed to protect the open/shut 
valve </t>
  </si>
  <si>
    <t xml:space="preserve">Daily inspection on all parts of the gas cylinders to be done, to ensure no loose 
protection caps are attached to the cylinders </t>
  </si>
  <si>
    <t xml:space="preserve">Worker observed wearing complete PPE whilst performing grinding actvities </t>
  </si>
  <si>
    <t xml:space="preserve">Commended the worker on his safe act towards PPE safety </t>
  </si>
  <si>
    <t>Stephane Heliard</t>
  </si>
  <si>
    <t xml:space="preserve">On 17/10/2025, at the Zeit Bay Shipyard, during a site visit, it was visually 
observed that various project crates from items supplied by the company were improperly disposed of in a waste accumulation near the sea. 
This situation is against the Contract Exh L, ISO 14001 and PTJ-HSE- GF-001 Fabrication Yard Activities - Petrojet HSE Plan requirements. 
In addition a clear project identification remained onto the crate which may negatively impact the reputation of the Project and Company. </t>
  </si>
  <si>
    <t xml:space="preserve">HSE representative alerted with this unacceptable situation. </t>
  </si>
  <si>
    <t>During the inspection of compressed gas cylinders, A gas leak was detected from a compressed gas cylinder</t>
  </si>
  <si>
    <t>The cylinder was inspected, the hose was replaced, and the cylinder was rechecked to confirm there were no further leaks.</t>
  </si>
  <si>
    <t>The cutting grinder was being used without the control handle attached</t>
  </si>
  <si>
    <t>The work was stopped, the control handle was installed, and the worker was instructed not to operate the grinder without the handle.</t>
  </si>
  <si>
    <t>Electrical cables were found unarranged and disorganized, creating a tripping hazard.</t>
  </si>
  <si>
    <t>Work was stopped, the cables were properly arranged, and stands were provided to elevate the cables safely..</t>
  </si>
  <si>
    <t>Painters were observed not wearing the required personal protective equipment (PPE) for painting activities.</t>
  </si>
  <si>
    <t>The workers were instructed to wear the proper PPE for painting tasks, including masks, gloves, and coveralls, to ensure safe working conditions.</t>
  </si>
  <si>
    <t>Scaffold wooden planks were not properly fixed, creating a risk of falling or instability.</t>
  </si>
  <si>
    <t>Work on the scaffold was stopped, the scaffold tag was removed, and the issue was corrected by a competent person.</t>
  </si>
  <si>
    <t xml:space="preserve">It has been observed storage more cups support not used on walkway. </t>
  </si>
  <si>
    <t xml:space="preserve">All unused cup supports stored on the walkway were removed immediately to clear the access path and eliminate tripping hazards. The supervisor was instructed to ensure proper storage of materials in designated areas only. </t>
  </si>
  <si>
    <t xml:space="preserve">It was observed that a worker performing welding activities was not wearing 
the required special PPE, specifically the welding apron. </t>
  </si>
  <si>
    <t>The welding activity was stopped immediately, and the worker was instructed to wear the proper PPE, including the welding apron, before resuming work. The supervisor was reminded to ensure all welders are properly equipped prior to starting any hot work.</t>
  </si>
  <si>
    <t xml:space="preserve">It was observed in front of Workshop 1 that a forklift was transporting pipelines 
that were not adequately secured, posing a risk of dropping or shifting during 
movement. </t>
  </si>
  <si>
    <t xml:space="preserve">The forklift operation was stopped immediately, and the pipelines were properly 
secured before resuming transport. </t>
  </si>
  <si>
    <t xml:space="preserve">The forklift operator was instructed on the correct load securing procedure, and 
the area supervisor was reminded to ensure that all loads are safely fastened 
prior to movement. </t>
  </si>
  <si>
    <t xml:space="preserve">Poor housekeeping was observed around and inside the fabrication frames, 
where plastic bottles and solid waste materials were scattered near ongoing hot 
work activities. </t>
  </si>
  <si>
    <t xml:space="preserve">The area was immediately cleaned, and all waste materials including plastic 
bottles and solid debris were removed.  </t>
  </si>
  <si>
    <t xml:space="preserve">The area supervisor and HSE officer was instructed to check area condition 
before start activities  </t>
  </si>
  <si>
    <t xml:space="preserve">It was observed that a welder was using an unapproved scaffold work platform, 
as the wooden planks were incomplete. </t>
  </si>
  <si>
    <t xml:space="preserve">The welding activity was stopped immediately, and the unapproved scaffold platform was taken out of service. The scaffold inspector was instructed to replace the incomplete wooden planks and re-inspect the platform before allowing work to resume. </t>
  </si>
  <si>
    <t xml:space="preserve">I have observed that the welder using metal bucket for working and that unsafe 
platform. </t>
  </si>
  <si>
    <t>I inform HSE PTJ to take action.</t>
  </si>
  <si>
    <t xml:space="preserve">I have observed that the welder using unsafe platform for work. </t>
  </si>
  <si>
    <t xml:space="preserve">I have observed that the welder using chair above the scaffolding platform. </t>
  </si>
  <si>
    <t xml:space="preserve">I have observed Plastic pages were seen inside the hot work area. This is a fire 
risk, as plastic can burn or melt from sparks or heat. </t>
  </si>
  <si>
    <t xml:space="preserve">I have observed a metal sheet unsecured and moving due to strong wind. This 
poses a risk of falling objects or injury to nearby workers </t>
  </si>
  <si>
    <t>Observed lifting activity complying with safety standard – Proper barricading and safe rigging.</t>
  </si>
  <si>
    <t>Commenced the team to keep up with the good work and always comply to the safety standard.</t>
  </si>
  <si>
    <t>During the inspection of compressed gas cylinders, A CO₂ gas cylinder was found leaking during inspection</t>
  </si>
  <si>
    <t>The work was stopped, the supervisor was instructed to replace the cylinder, and it was inspected safe before use.</t>
  </si>
  <si>
    <t>Electrical cables were found unorganized, and dust accumulation was observed on top of the frame.</t>
  </si>
  <si>
    <t>Work was stopped, all cables were rearranged, and the frame was cleaned to maintain good housekeeping and safety standards.</t>
  </si>
  <si>
    <t>Scaffold wooden planks were not properly fixed, creating a potential fall hazard.</t>
  </si>
  <si>
    <t>Work on the scaffold was stopped, the scaffold tag was removed, the scaffolding inspector was informed, and the planks were properly secured.</t>
  </si>
  <si>
    <t xml:space="preserve"> The forklift was lifting materials without proper securing and arrangement..</t>
  </si>
  <si>
    <t>The forklift operation was stopped, the supervisor was informed, and the materials were properly secured and arranged before resuming work.</t>
  </si>
  <si>
    <t>The support under the plate was not properly fixed, and the Safe Working Load (SWL) was not indicated.</t>
  </si>
  <si>
    <t>Work on the plate was stopped, and the responsible supervisor was instructed to secure the support and clearly mark the SWL on the structure.</t>
  </si>
  <si>
    <t>The compressor’s grounding cable was not properly connected, and a deep tray was not placed underneath the compressor.</t>
  </si>
  <si>
    <t>Work was stopped, the supervisor was instructed to correct the issue, and the grounding and deep tray were properly installed.</t>
  </si>
  <si>
    <t>A welder was observed performing hot work without wearing a welding apron, exposing himself to burns and injury..</t>
  </si>
  <si>
    <t>A safety briefing was held for all workers involved in hot work to stress the mandatory use of personal protective equipment (PPE), including welding aprons, to comply with safety standards and reduce injury risk.</t>
  </si>
  <si>
    <t>Observed good housekeeping maintained in the area</t>
  </si>
  <si>
    <t>Commended the workers and encouraged them to keep up the good House keeping</t>
  </si>
  <si>
    <t xml:space="preserve">I have observed that The rigger climbing up the frame without any accessway as 
ladder. </t>
  </si>
  <si>
    <t xml:space="preserve">I stopped him, explained my concern about safety, and gave him a penalty. </t>
  </si>
  <si>
    <t xml:space="preserve">I observed a fitter using a gas cutting torch without wearing the required PPE 
for this task. </t>
  </si>
  <si>
    <t xml:space="preserve">I immediately stopped the work and informed him about the safety concern. I instructed him to use the proper PPE before continuing and issued a penalty as per safety procedures. </t>
  </si>
  <si>
    <t xml:space="preserve">I observed a worker moving a gas cylinder by hand instead of using the proper 
trolley. </t>
  </si>
  <si>
    <t>I immediately stopped the worker and explained the safe procedure for moving 
cylinders using a trolley. A penalty was issued in accordance with safety rules.</t>
  </si>
  <si>
    <t>I have observed that the scaffolding materials were not organized and not 
secured from nearby activities.</t>
  </si>
  <si>
    <t xml:space="preserve">I stopped the work, explained my concern, and they started to isolate the area 
with caution tape or barrier. </t>
  </si>
  <si>
    <t xml:space="preserve">I have observed that The structure is not level with the supports because the 
weight is on one side. This  make the structure unstable. It needs to be adjusted 
and the load balanced properly </t>
  </si>
  <si>
    <t xml:space="preserve">I spoke with PTJ HSE and the workshop supervisor to remove the weights and check all the frames before starting any work. </t>
  </si>
  <si>
    <t xml:space="preserve">I have observed using woods to support the roof of the tarpaulin.  </t>
  </si>
  <si>
    <t xml:space="preserve">I stopped any activities under the tarpaulin , explained my concern, and they 
changed with support from scaffolding. </t>
  </si>
  <si>
    <t xml:space="preserve">While lifting a metal sheet, I noticed that some cut pieces were loose and could 
fall during lifting. </t>
  </si>
  <si>
    <t xml:space="preserve">I immediately stopped the lifting operation and informed the supervisor. I recommended removing the loose cut parts before resuming the lift to ensure safety. </t>
  </si>
  <si>
    <t>I observed that lifting activities were being carried out without a valid Permit to 
Work (PTW).</t>
  </si>
  <si>
    <t xml:space="preserve">I immediately stopped the lifting operation and explained to the lifting team 
that they must verify and obtain an approved PTW before starting any job. </t>
  </si>
  <si>
    <t>I observed that the structure was not properly secured, and the leveling was 
poor, creating an unsafe condition.</t>
  </si>
  <si>
    <t xml:space="preserve">I informed the HSE and PTJ teams to stop all activities around the structure. Caution tape was placed around the area until the structure could be moved to a safe and properly leveled location. </t>
  </si>
  <si>
    <t xml:space="preserve">I observed that a cable connected to an electrical panel had tape applied to part 
of it. </t>
  </si>
  <si>
    <t>I called the electrical technician to inspect the issue. Upon removing the tape, we discovered that the cable was not properly insulated. The technician immediately isolated the power source, closed the panel, and removed it from the area to prevent any electrical hazard.</t>
  </si>
  <si>
    <t>I observed sharp edges on materials located near an access way, which could 
cause injury to personnel passing by.</t>
  </si>
  <si>
    <t xml:space="preserve">I informed the PTJ HSE team about the hazard and instructed them to secure the access way to prevent anyone from approaching the sharp-edged materials until they are made safe. </t>
  </si>
  <si>
    <t xml:space="preserve">I observed that the lifting team was using eye bolts incorrectly while moving the sheet, The eye bolts were being used in a way that was not intended, as they are designed only for vertical lifting in specific applications </t>
  </si>
  <si>
    <t xml:space="preserve">I immediately instructed the team to lower the load and stop the lifting operation. Afterward, I spoke with the team to explain the safety concern and reminded them of the correct use of eye bolts for vertical lifts only. </t>
  </si>
  <si>
    <t>CPY noted that a PTJ worker was working underneath the load.  The sub-element which was elevated (not supported while worker was underneath)  
CPY noted the lifting team and PTJ supervisor was present , yet allowed the worker to work in a very unsafe and in none compliance to procedure.</t>
  </si>
  <si>
    <t xml:space="preserve"> CPY immediately “stop work authority” and requested the worker to come from underneath the suspended load. 
CPY than liaised with TFMC and PTJ to arrange a stand-down and take corrective actions </t>
  </si>
  <si>
    <t xml:space="preserve">TFMC HSE to be present more often within the workshops (3 and 4).  CPY note HSE TFMC personnel on site but could be more productive within interactions. </t>
  </si>
  <si>
    <t xml:space="preserve">CPY noted a PTJ worker changing out a grinder disc and following the correct 
application with the following  
- Ginder spanner 
- Cable/power disconnected from mains 
- Correct stable conditions for changing out disc 
- Worker working gloves and PPE </t>
  </si>
  <si>
    <t>It has been observed that Fire extinguisher signage placed in such a visible 
manner</t>
  </si>
  <si>
    <t>Encouraged the workers and HSE Team</t>
  </si>
  <si>
    <t>It has been observed that a grinder operator is complying with PPE standard in 
Wshop 7</t>
  </si>
  <si>
    <t>Encouraged the Grinder</t>
  </si>
  <si>
    <t>It has been observed that house keeping around scrap area need more
improvement and segregation</t>
  </si>
  <si>
    <t>Communicated to PTJ HSE and immediately get the labors to perform good segregation</t>
  </si>
  <si>
    <t>It has been observed that a faded scaffolding tag been used (Color changer
from Green to Blue) in front of WShop 2</t>
  </si>
  <si>
    <t>Communicated to PTJ HSE and immediately get the scaffolding supervisor to change the faded tag with new one</t>
  </si>
  <si>
    <t>It has been observed that a lot of damaged scaffold boards with nails are been
used in WShop 2</t>
  </si>
  <si>
    <t>Communicated to scaffolding supervisor to take the damaged scaffolds board off site and not to be used</t>
  </si>
  <si>
    <t>It has been observed that Garnet was on ground and mixed with sand, as there
was no tarpaulin cover on ground in the sand blasting area</t>
  </si>
  <si>
    <t>Communicated to HSE and Construction leads and agreed to make sure that the ground has to be covered with tarpaulin before any sand blasting activities</t>
  </si>
  <si>
    <t>It has been observed that the plastic bags used to collect paper and plastic
wastes located inside WShop 3</t>
  </si>
  <si>
    <t>Communicated to HSE and Construction supervisors and agreed to dedicate a 
proper location for these plastic bags out side the work shops</t>
  </si>
  <si>
    <t>It has been observed that a caution tap has been put around a yoke structure,
where it was captured by HSE team that the ground is not leveled</t>
  </si>
  <si>
    <t>Although the good temporary action to have a caution tap around the structure, but leaving the structure in an unstable condition is more risky
Communicated with HSE and Construction team to avail a crane and lower down the structure from the stand to a safe position</t>
  </si>
  <si>
    <t xml:space="preserve">Waste Management against ISO 14001 and PTJ-HSE- GF-001 Fabrication Yard 
Activities - Petrojet HSE Plan requirements </t>
  </si>
  <si>
    <t xml:space="preserve">On 17/10/2025, at the Zeit Bay Shipyard, during a site visit, it was visually observed that various project crates from items supplied by the company were improperly disposed of in a waste accumulation near the sea. 
This situation is against the Contract Exh L, ISO 14001 and PTJ-HSE- GF-001 Fabrication Yard Activities - Petrojet HSE Plan requirements. 
In addition a clear project identification remained onto the crate which may negatively impact the reputation of the Project and Company. </t>
  </si>
  <si>
    <t>During visit to workshop 2 operator of partially mechanized flame cutting 
equipment found to be wearing minimum PPE and task specific burning eye 
protection.</t>
  </si>
  <si>
    <t>Commended the workers and encouraged them to keep up the good PPE standard.</t>
  </si>
  <si>
    <t xml:space="preserve">During visit to workshop 1 welders were found to be wearing all mandatory and 
task based PPE. </t>
  </si>
  <si>
    <t>It has been observed a good level of house keeping in Wshop 7</t>
  </si>
  <si>
    <t xml:space="preserve">CPY noted a HSE Project related safety notice board being used as part of a habitat. 
See photo for evidence, please remove and use a suitable fire-retardant tarpaulin 
for habitats which continues hot work activities. </t>
  </si>
  <si>
    <t xml:space="preserve">TFMC and PTJ to look for no compliant items or arrangements and then take appropriate intervention. </t>
  </si>
  <si>
    <t xml:space="preserve">CPY noted that PTJ Construction manager and HSE manager commenced the planned PTJ and project yard TBT today on Monday the 27th of October. 
At that time several key upper PTJ management were not accordingly attending. </t>
  </si>
  <si>
    <t xml:space="preserve">CPY intervened and requested that TBT be “stopped” and consult missing PTJ Upper management personnel to attend.  
At no time did the HSE Manager intervene, likewise TFMC HSE Manager. 
CPY reiterated that this is a mandatory TBT that all personnel need to attend on time. </t>
  </si>
  <si>
    <t xml:space="preserve">TFMC to intervene with their subcontractor and accordingly readvise of upper management to safety compliance and commitments.  Lead by Example. </t>
  </si>
  <si>
    <t xml:space="preserve">During the weekly mandatory HSE TBT the topic for this week was (again) PTJ workers using mobile phones while inside high-risk areas (i.e. workshops). 
Post TBT, CPY completed a yard wide walkaround and noticed a very high quantity of PTJ personnel using mobile phones while within the workshops. </t>
  </si>
  <si>
    <t xml:space="preserve">CPY politely asked if the PTJ workers understood the HSE topic and asked why these continued to use their mobile phones.   
PTJ workers could not answer and no PTJ supervision was mostly around.  Within workshop 3 there was a supervisor who did not intervene.    Additionally, no PTJ or TFMC HSE intervened to advise. </t>
  </si>
  <si>
    <t xml:space="preserve">TFMC to ask what the corrective measures PTJ management will take. This topic has been discussed on several occasions with zero impact due to zero mitigations from PTJ HSE or management intervention. </t>
  </si>
  <si>
    <t>CPY observed that several PTJ/TFMC personnel arriving late at planned (aligned) timing from Tri-Parties. 
TBT(s) start at 07:30hrs with all personnel in attendance. However, CPY is becoming increasingly alarmed at the number of personnel who arrive late, and impact either planned start time or the personnel who arrive late.</t>
  </si>
  <si>
    <t xml:space="preserve">CPY illustrates that all parties and all personnel must be on time.  It is the sole duty of all personnel. 
Further impacts due to lack of commitment or leadership will be addressed at TBT(s) with delays being noted. </t>
  </si>
  <si>
    <t xml:space="preserve">TFMC to follow up, respond back to CPY Fabrication Manager on what corrective actions will be implemented and/or addressed to ensure there are no further unprofessional behaviour(s). </t>
  </si>
  <si>
    <t xml:space="preserve">Wearing of approved PPE – 4-point chinstrap helmets </t>
  </si>
  <si>
    <t xml:space="preserve">Commended the scaffolding team for safe PPE practices </t>
  </si>
  <si>
    <t xml:space="preserve">Whilst conducting management walkabout it was noted that WS#1 was being 
maintained clean and safe  </t>
  </si>
  <si>
    <t xml:space="preserve">Commended to workforce for maintaining a high standard of housekeeping in the workshop </t>
  </si>
  <si>
    <t xml:space="preserve">PTJ Supervisor not wearing his safety glasses whilst discussing an activity with a welder  </t>
  </si>
  <si>
    <t xml:space="preserve">Instructed the PTJ Supervisor not wearing his safety glasses whilst discussing an activity with a welder, to ensure he wears his PPE correctly for his own safety and for leading by example for his team </t>
  </si>
  <si>
    <t xml:space="preserve">Scaffold tags observed in color blue but must be in color green. 
Effected by the sunlight in Zeit Bay </t>
  </si>
  <si>
    <t xml:space="preserve">Scaffolding foreman, via TFMC HSE Advisor, requested to conduct a survey and replace 
damaged color scaffolding tags </t>
  </si>
  <si>
    <t xml:space="preserve">Regular inspection of scaffold tags. </t>
  </si>
  <si>
    <t>Openings were found on the frame without proper protection, creating a potential fall hazard for workers.</t>
  </si>
  <si>
    <t>Work was stopped, and a guardrail was installed to secure all openings and prevent falls.</t>
  </si>
  <si>
    <t xml:space="preserve">Work was stopped, all cables were rearranged, and the frame was cleaned to maintain good housekeeping and safety standards.
</t>
  </si>
  <si>
    <t>Uneven ground surface with rocks was observed in the work area, creating a tripping hazard for workers.</t>
  </si>
  <si>
    <t>Work was stopped, the area was cleaned, and the ground was leveled to eliminate the tripping risk.</t>
  </si>
  <si>
    <t xml:space="preserve"> Flammable materials (workers’ personal bags) were placed near welding and cutting activities, posing a fire risk.</t>
  </si>
  <si>
    <t>The work was stopped, and workers were instructed to keep all flammable materials away from hot work areas to maintain fire safety.</t>
  </si>
  <si>
    <t>cutting grinder was being used without the control handle.</t>
  </si>
  <si>
    <t>The work was stopped, and workers were instructed not to operate the grinder without the control handle to ensure safe operation.</t>
  </si>
  <si>
    <t>A welder was found not wearing the required personal protective equipment (welding apron) during welding activities.</t>
  </si>
  <si>
    <t>The welder was instructed on the importance of using proper PPE during hot work to prevent burns and injuries.</t>
  </si>
  <si>
    <t>Scaffolding team arranged the scaffolding material in proper order to ensure access ways are not blocked</t>
  </si>
  <si>
    <t>Commended the scaffolding team for safe practices</t>
  </si>
  <si>
    <t>Observed compressed gas cylinder was observed placed in a small-sized trolley, which may not provide adequate stability or support during handling.</t>
  </si>
  <si>
    <t>advised to transfer the cylinder to a larger, properly fitted trolley designed to ensure safe handling and stability.</t>
  </si>
  <si>
    <t>Observed The wooden bracket holder of the fire extinguisher was found broken, likely due to misuse.</t>
  </si>
  <si>
    <t>Advised to replace the damaged fire extinguisher wooden bracket holder and instructed personnel not to tamper with or sit on it to prevent future damage.</t>
  </si>
  <si>
    <t>The access way was observed to be blocked by a tarpaulin, restricting safe passage..</t>
  </si>
  <si>
    <t>Advised to remove the tarpaulin and reassemble it in a manner that maintains clear and unobstructed access at all times.</t>
  </si>
  <si>
    <t>Observed workers placing their personal bags in close proximity to the hot work area, posing a potential fire and safety hazard.</t>
  </si>
  <si>
    <t>Advised to remove all personal belongings from the hot work zone and place them in a designated safe area away from heat, sparks, and ignition sources.</t>
  </si>
  <si>
    <t>Observed good cable management at workshop and access ways are clear</t>
  </si>
  <si>
    <t xml:space="preserve">I observed that the Scaffolding materials were found unorganized and stored 
inside the workshop, which is not allowed . </t>
  </si>
  <si>
    <t xml:space="preserve">I immediately Informed the supervisor to organize the scaffolding materials and remove them from the workshop area. </t>
  </si>
  <si>
    <t xml:space="preserve">I observed that the Lifting accessories were found stored improperly on the 
ground together with other materials inside the workshop. </t>
  </si>
  <si>
    <t xml:space="preserve">I immediately Informed the supervisor to store the lifting accessories in a designated safe area specifically for lifting tools and to remove unused materials from inside the workshop. </t>
  </si>
  <si>
    <t xml:space="preserve">I observed that the Flammable materials (wood) were found stored inside the 
workshop.  </t>
  </si>
  <si>
    <t>I immediately Informed the supervisor that the flammable materials must be 
removed from the workshop to ensure fire safety compliance.</t>
  </si>
  <si>
    <t xml:space="preserve">I observed that theMaterials were found stored in an unspecified/unauthorized 
area. </t>
  </si>
  <si>
    <t xml:space="preserve">I immediately Informed the supervisor to carry out proper housekeeping and 
advised that the area is not designated for storage. </t>
  </si>
  <si>
    <t xml:space="preserve">I observed that the A cylinders that was out of service was found stored inside 
the basket for the CNC machine. </t>
  </si>
  <si>
    <t xml:space="preserve">I immediately Informed the CNC operator to remove the out-of-service cylinder 
and place it in the designated storage area for cylinders. </t>
  </si>
  <si>
    <t xml:space="preserve">I observed that the materials on the accessway of the scaffolding. </t>
  </si>
  <si>
    <t>I immediately Informed supervisor to remove this obstacles from the accessway.</t>
  </si>
  <si>
    <t>Ahmed Sobhy</t>
  </si>
  <si>
    <t>Welding cables were found obstructing the path of the forklift.</t>
  </si>
  <si>
    <t>A damaged grinding cable was observed on site.</t>
  </si>
  <si>
    <t>Workshop 6</t>
  </si>
  <si>
    <t>A gas cylinder was found with an empty bubble test bottle attached.</t>
  </si>
  <si>
    <t>The electrical panel inspection record was missing and requires updating.</t>
  </si>
  <si>
    <t xml:space="preserve"> Non-project-related materials were found stored within the project area.</t>
  </si>
  <si>
    <t>Small wooden pieces were scattered on the ground, posing a tripping hazard.</t>
  </si>
  <si>
    <t>Scaffolding materials were found scattered in the work area without proper arrangement.</t>
  </si>
  <si>
    <t>material was arranged</t>
  </si>
  <si>
    <t>Poor housekeeping was observed on scaffold structures.</t>
  </si>
  <si>
    <t>Improper connections were observed in the welding cables.</t>
  </si>
  <si>
    <t>Welding rods were left on the scaffold platform.</t>
  </si>
  <si>
    <t xml:space="preserve"> A chain block was observed with a missing safety latch on the hook.</t>
  </si>
  <si>
    <t>Eyewash station was found empty and needs to be refilled.</t>
  </si>
  <si>
    <t>The forklift was operated without a banksman present.</t>
  </si>
  <si>
    <t>Defective and unused electrical cables were observed on site and need to be removed.</t>
  </si>
  <si>
    <t>A grinder was operating with sparks directed towards a gas cylinder, posing a fire hazard.</t>
  </si>
  <si>
    <t>Lifting gears are inspected, color coded, certified, and lever hoists' safety latches are in good condition.</t>
  </si>
  <si>
    <t>Welders demonstrated safe behavior by collecting welding remains in buckets to maintain good housekeeping.</t>
  </si>
  <si>
    <t>A hand tool with a metal handle was observed, which may not be compliant with safety standards.</t>
  </si>
  <si>
    <t>Sharp-edged steel pieces were found on site, posing a potential injury risk.</t>
  </si>
  <si>
    <t>Electrical wires were found resting on sharp edges, posing a potential damage and electrical hazard.</t>
  </si>
  <si>
    <t>A gas cylinder was observed without a protective cap, presenting a safety risk.</t>
  </si>
  <si>
    <t>Welding cables were found disorganized and require proper arrangement.</t>
  </si>
  <si>
    <t>A damaged welding cable was observed, creating a potential electrical hazard.</t>
  </si>
  <si>
    <t>A defective webbing sling was identified and must be removed from the site immediately.</t>
  </si>
  <si>
    <t>A crane hook was observed without the required color coding for inspection status.</t>
  </si>
  <si>
    <t>Some electrical cables were causing a tripping hazard, and used electrodes and grinding discs were scattered on the ground.</t>
  </si>
  <si>
    <t>An incomplete scaffold was observed, which may be used despite its unsafe condition.</t>
  </si>
  <si>
    <t>Warning tape was applied to highlight the unsafe condition</t>
  </si>
  <si>
    <t>An unused grinding machine was left in an unsafe position, posing a risk to workers.</t>
  </si>
  <si>
    <t xml:space="preserve">Highlighted the issue with the work force in the stand down </t>
  </si>
  <si>
    <t>Some workers were observed not wearing safety glasses.</t>
  </si>
  <si>
    <t>A scaffolder was working at height without attaching safety hooks.</t>
  </si>
  <si>
    <t>he was told to attach hocks and hazard was explined</t>
  </si>
  <si>
    <t>Eye wash station is available, inspected, and in good condition.</t>
  </si>
  <si>
    <t>Electrical wires were found in contact with sharp edges, posing a risk of insulation damage and potential electrical hazard.</t>
  </si>
  <si>
    <t>A propane gas cylinder was observed placed near the welding area, creating a potential fire and explosion risk.</t>
  </si>
  <si>
    <t>Welding cables were routed through a scaffolding ladder, which may lead to tripping hazards and increase the risk of falling while climbing.</t>
  </si>
  <si>
    <t>Asked the welder to adjust cable routes , arrange cables for safe access ,and he did</t>
  </si>
  <si>
    <t>Oxygen and acetylene hoses were found near hot surfaces during steel plate cutting.</t>
  </si>
  <si>
    <t xml:space="preserve"> A welding cable with a substandard joint was observed, posing electrical and fire hazards.</t>
  </si>
  <si>
    <t xml:space="preserve">Texas connection was done </t>
  </si>
  <si>
    <t>Improper arrangement of materials and scrap was noted, which may lead to dropped object hazards.</t>
  </si>
  <si>
    <t>Some wooden boxes were being used by welders for standing, creating safety concerns.</t>
  </si>
  <si>
    <t>removed boxes immediately outside area</t>
  </si>
  <si>
    <t>Housekeeping requires improvement.</t>
  </si>
  <si>
    <t>Some crew members were working without gloves.</t>
  </si>
  <si>
    <t>spoke to all about the importance of hand protection</t>
  </si>
  <si>
    <t>One of the welders was standing on a wooden welding box.</t>
  </si>
  <si>
    <t>Stoped him and asked Scaffolder team to provide platform to stand on it</t>
  </si>
  <si>
    <t>Welding cables are well arranged and surrounded by wooden boards to protect them.</t>
  </si>
  <si>
    <t>Gas cylinders are safely handled on trolleys, secured by chains, and provided with protection caps.</t>
  </si>
  <si>
    <t>Thanked the team for the positive behaviours ,</t>
  </si>
  <si>
    <t>Poor cable management was observed.</t>
  </si>
  <si>
    <t>Webbing slings were left unattended under direct sunlight.</t>
  </si>
  <si>
    <t xml:space="preserve"> A welding machine was found near fabrication activities without proper clearance.</t>
  </si>
  <si>
    <t>They have been relocated.</t>
  </si>
  <si>
    <t>Some lifting shackles and hand chain blocks were missing color codes.</t>
  </si>
  <si>
    <t xml:space="preserve"> scaffold was observed without an identification scaffold tag.</t>
  </si>
  <si>
    <t>Grinder was observed operating without the use of ear plugs.</t>
  </si>
  <si>
    <t xml:space="preserve">Stopped him , advised him  to wear ear plugs and he did  </t>
  </si>
  <si>
    <t>Damaged grinding cable was found on site.</t>
  </si>
  <si>
    <t>Gas cylinder had an empty bubble test bottle attached.</t>
  </si>
  <si>
    <t>Clear access ways in the project area enable easy access and egress.</t>
  </si>
  <si>
    <t>Thanked the team for the good follow  up,</t>
  </si>
  <si>
    <t xml:space="preserve">Grinder observed having 2 grinding spark shields to contain grinding sparks created </t>
  </si>
  <si>
    <t xml:space="preserve">Commended the grinder for his safe working practices </t>
  </si>
  <si>
    <t xml:space="preserve">Observed painting team in B&amp;P #C wearing full approved PPE </t>
  </si>
  <si>
    <t xml:space="preserve">Commended the painting supervisor for ensuring his team is safe at all times </t>
  </si>
  <si>
    <t xml:space="preserve">Worker grinding with his grinder flipped overexposing complete blade section. </t>
  </si>
  <si>
    <t xml:space="preserve">Suspended the activity to explain the dangers involved with actions being administered whilst grinding with the blade flipped over and no blade guard coverage. </t>
  </si>
  <si>
    <t xml:space="preserve">Tutored the grinder on correct and safe grinding methodologies. </t>
  </si>
  <si>
    <t xml:space="preserve">Worker pushing a rusted scaffold trolley without gloves. </t>
  </si>
  <si>
    <t xml:space="preserve">Suspended the actions and requested the worker to wear safety gloves </t>
  </si>
  <si>
    <t xml:space="preserve">Tutored the worker on the safe use of correct PPE when performing activities </t>
  </si>
  <si>
    <t xml:space="preserve">A safe act was observed by the area supervisor, who continuously monitored 
and ensured that equipment was stored away from work passageways to 
maintain workers’ safety and prevent obstructions. </t>
  </si>
  <si>
    <t xml:space="preserve">He was recognized and rewarded during the General TBT meeting for his commitment to safety and for promoting a safe working environment. </t>
  </si>
  <si>
    <t xml:space="preserve">It was observed that a welder was smoking on workplace. </t>
  </si>
  <si>
    <t xml:space="preserve">He was sent for re-training and a disciplinary action was taken. </t>
  </si>
  <si>
    <t>Open gaps were observed on the scaffold platform, which could cause workers 
to trip or result in part of their body falling through while working or walking.</t>
  </si>
  <si>
    <t xml:space="preserve">The activities was stopped and The supervisor was informed to take the 
necessary corrective actions to ensure workers’ safety </t>
  </si>
  <si>
    <t xml:space="preserve">Unsafe storage materials  was observed inside the work passageways, which 
could obstruct movement and create a tripping hazard. </t>
  </si>
  <si>
    <t xml:space="preserve">The area supervisor was instructed to clear all equipment and stored materials from the passageways, and work was resumed after ensuring the area was completely cleared. </t>
  </si>
  <si>
    <t xml:space="preserve">Sandblasting and painting equipment were observed left on scaffold walkways 
while welding activities were ongoing in the same area. </t>
  </si>
  <si>
    <t xml:space="preserve">Work was stopped immediately, and all obstructions and hoses were removed from the walkways to ensure a safe working environment before resuming the activity. </t>
  </si>
  <si>
    <t xml:space="preserve">Garnet residues resulting from sandblasting and painting activities were 
observed inside the electrical panel, which could cause electrical hazards or 
damage to internal components. </t>
  </si>
  <si>
    <t xml:space="preserve">The area supervisor was immediately informed, and protective measures were implemented by isolating the panel body using scaffolding materials. The issue was corrected and the area made safe. </t>
  </si>
  <si>
    <t xml:space="preserve">I have observed a worker climbing up the structure and the scaffold, which was 
under a red tag </t>
  </si>
  <si>
    <t xml:space="preserve"> I immediately stopped him and raised my concern about this unsafe action and make a warning letter.</t>
  </si>
  <si>
    <t>I observed that the structure securing poses safety risks.</t>
  </si>
  <si>
    <t xml:space="preserve">I immediately Work has been suspended until corrective actions are taken and the structure is confirmed safe for operations </t>
  </si>
  <si>
    <t xml:space="preserve">I observed that the accessway to the scaffolding platform was obstructed </t>
  </si>
  <si>
    <t>I immediately informed the scaffolding supervisor to remove the green tag and suspend use until the accessway is cleared and confirmed safe.”</t>
  </si>
  <si>
    <t>I observed poor housekeeping inside the roll guide</t>
  </si>
  <si>
    <t xml:space="preserve">I immediately stopped the work until the area is cleaned and the housekeeping 
issue is corrected to ensure a safe working environment. </t>
  </si>
  <si>
    <t xml:space="preserve">I have observed the forklift carrying tools in an unsafe manner. </t>
  </si>
  <si>
    <t xml:space="preserve">The issue was immediately discussed with the forklift operator and the supervisor to address the safety concern. A warning letter was issued to the operator to emphasize the importance of following safe operating procedures. </t>
  </si>
  <si>
    <t>I noticed that the materials were stored unsafely</t>
  </si>
  <si>
    <t xml:space="preserve"> I immediately reported this and instructed that the materials be relocated 
to a safe and secure position." </t>
  </si>
  <si>
    <t>Observed good housekeeping condition in the area</t>
  </si>
  <si>
    <t>painting workers were observed working without wearing the required protective gloves for painting activities.</t>
  </si>
  <si>
    <t xml:space="preserve"> work was stopped.
The responsible supervisor was called and instructed to ensure strict compliance with PPE requirements for painting works.</t>
  </si>
  <si>
    <t>compressed gas cylinders were not placed in the designated trolley and were stored in an unsafe manner.</t>
  </si>
  <si>
    <t>work was stopped.
The supervisor was instructed to follow proper and safe handling procedures for compressed gas cylinders.</t>
  </si>
  <si>
    <t>several a cutting grinder were found without the required color code, with broken plug, and damaged electrical cables.</t>
  </si>
  <si>
    <t>Work was stopped immediately.
 All damaged a cutting grinder were removed from service.
The team was instructed to ensure that all tools and machines are inspected before use.</t>
  </si>
  <si>
    <t xml:space="preserve"> The lifting area was not properly secured, and workers were present inside the “line of fire</t>
  </si>
  <si>
    <t>Work was stopped immediately.
The lifting supervisor was instructed to secure and barricade the lifting area and ensure all workers are kept away from the danger zone.</t>
  </si>
  <si>
    <t>The workshop was found in poor condition with scattered materials and electrical cables, indicating a lack of proper housekeeping.</t>
  </si>
  <si>
    <t>Work was stopped.
Proper housekeeping was carried out, including arranging materials and electrical cables to ensure a safe working environment.</t>
  </si>
  <si>
    <t xml:space="preserve">CPY observed welding cables routed along sharp edges on a structure in open 
area # 3 </t>
  </si>
  <si>
    <t xml:space="preserve">CPY highlighted the observation to TFMC HSE Advisor in the area to ensure the welding cables are routed in a safe manner.  
Cables were rerouted immediately. </t>
  </si>
  <si>
    <t xml:space="preserve">Welding cables need to be routed in a safe manner to prevent cuts or any other damage </t>
  </si>
  <si>
    <t xml:space="preserve">CPY observe safe loading of pipe supports onto trailer in WS # 2 </t>
  </si>
  <si>
    <t xml:space="preserve">Approached and thanked PTJ Lifting Supervisor for having full control and working safely whilst loading materials. </t>
  </si>
  <si>
    <t>CPY observed a truck driver out of his cab, wearing his full PPE in WS # 2 whilst 
the pipe support is being loaded onto the trailer</t>
  </si>
  <si>
    <t xml:space="preserve">Approached and commended the truck driver for wearing full PPE whilst out of his cab. </t>
  </si>
  <si>
    <t xml:space="preserve">CPY observed a PTJ scaffolder wearing dark glasses whilst in WS # 01 </t>
  </si>
  <si>
    <t xml:space="preserve">Approached the individual and explained to him the need to wear clear glasses whilst working/ walking within enclosed areas like the workshop </t>
  </si>
  <si>
    <t xml:space="preserve">All personnel to adhere to the use of correct PPE whilst on site. </t>
  </si>
  <si>
    <t xml:space="preserve">I saw torn tires for the car crane used for light posts. </t>
  </si>
  <si>
    <t xml:space="preserve">Spoke to PTJ safety officer and TECHNIP safety officer to take an action </t>
  </si>
  <si>
    <t xml:space="preserve">Issue to be highlighted in the weekly TBT. </t>
  </si>
  <si>
    <t xml:space="preserve">CPY observed in area 3 outside – very poor tarpaulins have been used. </t>
  </si>
  <si>
    <t xml:space="preserve">CPY intervened and requested PTJ supervisor to look at replacing and informed TFMC HSE. </t>
  </si>
  <si>
    <t>TFMC to follow up and intervene when observing poor condition of tarpaulins being used – likewise PTJ HSE personnel and supervisors.</t>
  </si>
  <si>
    <t>CPY observed many supervisors/workers from PTJ not using their safety glasses 
in hazard areas such as fabrication shops.</t>
  </si>
  <si>
    <t xml:space="preserve">CPY intervened and requested PTJ personnel to immediately wear their mandatory PPE required safety glasses.  </t>
  </si>
  <si>
    <t xml:space="preserve">TFMC to intervene when observing personnel not using their PPE in accordance with workshop/yard requirements and all workers/supervisors from all parties. </t>
  </si>
  <si>
    <t xml:space="preserve">CPY observed two (2) PTJ workers utilizing their PPE correctly for the hot work 
activities. </t>
  </si>
  <si>
    <t xml:space="preserve">CPY acknowledged the PTJ workers and informed PTJ HSE manager, and likewise 
TFMC HSE Lead. </t>
  </si>
  <si>
    <t>Provide and highlight good performance with a project recognition award</t>
  </si>
  <si>
    <t xml:space="preserve">Scaffolding material was noticed being transported on a trailer without proper 
securing, and the items were stacked in an unsafe manner. </t>
  </si>
  <si>
    <t xml:space="preserve">The flagman was instructed to stop the vehicle until the materials on the trailer were properly secured. </t>
  </si>
  <si>
    <t>A person was observed crossing the lifting area, bypassing the warning tapes.</t>
  </si>
  <si>
    <t xml:space="preserve">Disciplinary action was taken, and the individual was sent for retraining. </t>
  </si>
  <si>
    <t xml:space="preserve">Material was found stored in pedestrian walkways inside the area. </t>
  </si>
  <si>
    <t xml:space="preserve">The supervisor was contacted and notified of the observation. The issue was closed in coordination with HSE officer. </t>
  </si>
  <si>
    <t xml:space="preserve">Surface preparation (sandblasting) work was observed to have started without 
placing a protective plastic sheet beneath the frame to isolate the soil. </t>
  </si>
  <si>
    <t xml:space="preserve">The responsible supervisor was instructed to stop the work until a protective barrier is provided and placed to separate the soil from the grit, ensuring easy collection and disposal. </t>
  </si>
  <si>
    <t xml:space="preserve">A worker was observed operating a grinder while using an unsafe working 
platform. </t>
  </si>
  <si>
    <t>The work was stopped, the supervisor was informed, the platform was corrected by the scaffolding team, and the work was then resumed safely</t>
  </si>
  <si>
    <t xml:space="preserve">A safe behavior was observed from a supervisor who inspected the temporary 
walkways in the sub-workshops and arranged the cable routes before starting 
the work. </t>
  </si>
  <si>
    <t>He was thanked for this safe behavior, and the Safety Department was informed of his positive action.</t>
  </si>
  <si>
    <t xml:space="preserve">Garbage bins were found containing mixed waste, including metal scraps, 
plastic, and food leftovers, with no waste segregation in place. </t>
  </si>
  <si>
    <t xml:space="preserve">The safety supervisor was contacted, and waste-segregation bins were provided 
for Workshops 3 &amp; 4. </t>
  </si>
  <si>
    <t>The supports underneath the frame were insufficient</t>
  </si>
  <si>
    <t>Work was stopped, the supervisor was called, and additional supports were installed under the frame.</t>
  </si>
  <si>
    <t>Pallets were stacked on top of each other without separation, posing a risk during manual handling.</t>
  </si>
  <si>
    <t xml:space="preserve"> Welding cables were poorly arranged, causing a tripping hazard.</t>
  </si>
  <si>
    <t>work was stopped.
And the cables were organized and properly arranged</t>
  </si>
  <si>
    <t>Poor housekeeping and disorganized materials, causing difficulty in manual handling.</t>
  </si>
  <si>
    <t>Work was stopped.
The supervisor was notified to organize materials properly and ensure clear pathways for safe manual handling.</t>
  </si>
  <si>
    <t>The safe walkway inside the work area had insufficient space and was located too close to the main electrical panel.</t>
  </si>
  <si>
    <t>Work was stopped, the supervisor was notified, and the walkway space was increased and moved away from the electrical panel.</t>
  </si>
  <si>
    <t>A worker was using a heating torch without the required PPE for hot works</t>
  </si>
  <si>
    <t>Work was stopped, and a safety awareness session on hot work and required PPE was conducted.</t>
  </si>
  <si>
    <t>I observed that the grinder operator was working without proper PPE</t>
  </si>
  <si>
    <t>I stopped him immediately and discussed my concerns. A warning letter was then issued</t>
  </si>
  <si>
    <t xml:space="preserve">I observed that the worker was working without proper PPE for hot activities. </t>
  </si>
  <si>
    <t xml:space="preserve">I stopped him immediately and discussed my concerns. A warning letter was then issued. </t>
  </si>
  <si>
    <t xml:space="preserve">I observed that scrap metal was left inside the structure. </t>
  </si>
  <si>
    <t>I discussed this with the HSE PTJ and the workshop supervisor, and we agreed that all scrap must be removed from the workshop. If any of these materials are to be reused, they must be properly rearranged and stored in a designated area.</t>
  </si>
  <si>
    <t>Final Assembly Area</t>
  </si>
  <si>
    <t xml:space="preserve">I observed that the blasting filter had no identification on it. </t>
  </si>
  <si>
    <t xml:space="preserve">I immediately informed the supervisor not to start any work until the filter is replaced with one that meets our requirements. </t>
  </si>
  <si>
    <t>I observed that tools were blocking the accessway to the electrical panel.</t>
  </si>
  <si>
    <t>I informed the PTJ HSE to coordinate with the supervisor to clear the access to the panel. This area must always remain unobstructed in case of an emergency.</t>
  </si>
  <si>
    <t xml:space="preserve">I observed that the painting team left residual paint in an undesignated 
area. </t>
  </si>
  <si>
    <t xml:space="preserve">I informed the HSE PTJ and requested that a Toolbox Talk (TBT) be conducted for the team regarding proper paint storage practices. </t>
  </si>
  <si>
    <t>I observed that materials were being stored in the wrong location, 
blocking the accessway.</t>
  </si>
  <si>
    <t xml:space="preserve">I discussed this with the HSE PTJ, the workshop supervisor, and the rigger to select proper storage areas for the materials and ensure that accessways remain clear and the area is kept safe. </t>
  </si>
  <si>
    <t xml:space="preserve">I observed that the materials were stacked in a way that prevented the 
workers from working safely. </t>
  </si>
  <si>
    <t>I stopped the work in that area and gathered the supervisors to discuss rearranging the area to ensure a safe working environment for the workers.</t>
  </si>
  <si>
    <t xml:space="preserve">I observed poor cable management and housekeeping, which created 
obstacles in the accessway and made the workplace unsafe. </t>
  </si>
  <si>
    <t xml:space="preserve">I informed the supervisor to take immediate action to rearrange the area to ensure safe working conditions, and he began the corrective actions right away. </t>
  </si>
  <si>
    <t xml:space="preserve">Unsafe storage was found in the work area, and several scaffolding parts were 
not stored in their proper place. </t>
  </si>
  <si>
    <t xml:space="preserve">Remove the materials from the work area and place all scaffolding parts in their designated storage area. Keep the area clean and organized to avoid unsafe storage </t>
  </si>
  <si>
    <t xml:space="preserve">Lifting activities were observed in the work area without placing warning tapes. </t>
  </si>
  <si>
    <t xml:space="preserve">Supervisor informed that the warning tapes must be installed immediately around the lifting area to prevent unauthorized access. The team must ensure that all lifting operations are properly barricaded and signposted before starting any work </t>
  </si>
  <si>
    <t xml:space="preserve">Scrap and empty chemical paint cans were found in the work area, along with 
unsafe storage of material </t>
  </si>
  <si>
    <t>Perform proper housekeeping and remove all materials, scrap, and empty cans from the work area. Store the materials in their designated storage area to maintain a safe and clean</t>
  </si>
  <si>
    <t>Unsafe storage of several scaffolding parts was observed on top of the frames 
where hot work was taking place</t>
  </si>
  <si>
    <t xml:space="preserve">The work was stopped, and all scaffolding materials were removed from the area. A safety awareness briefing was conducted for the workers at the site to prevent this issue from happening again </t>
  </si>
  <si>
    <t xml:space="preserve">Several workers were observed using gloves that were torn and not suitable for 
use. </t>
  </si>
  <si>
    <t xml:space="preserve">The workers were sent to the PPE office to replace the damaged gloves with new ones, and then they continued their work safely. </t>
  </si>
  <si>
    <t xml:space="preserve">A safe behavior was observed from the workshop supervisor by performing 
good housekeeping and clearing all walkways from obstacles. </t>
  </si>
  <si>
    <t xml:space="preserve">The supervisor will be recognized for his safe behavior and encouraged to continue following and promoting good safety practices. A positive safety acknowledgment will be given to motivate him and others to maintain a safe working environment. </t>
  </si>
  <si>
    <t xml:space="preserve">A large amount of gravel and obstacles were observed in the work walkways. </t>
  </si>
  <si>
    <t xml:space="preserve">Housekeeping was performed, and the gravel and obstacles were removed to prevent tripping or slipping hazards during work. </t>
  </si>
  <si>
    <t>A lifting area was observed unsecured, and inappropriate lifting accessories were being used.</t>
  </si>
  <si>
    <t>Work was stopped immediately, the lifting supervisor was called, the lifting area was secured, and proper lifting accessories were used.</t>
  </si>
  <si>
    <t>A scaffold was observed placed in a walkway, affecting emergency response time.</t>
  </si>
  <si>
    <t>Poor material arrangement and stacked pallets without separation were observed, posing a hand-pinch hazard during manual handling.</t>
  </si>
  <si>
    <t>The responsible supervisor was called, materials were properly arranged, and all pallets were separated to ensure safe manual handling and prevent injuries.</t>
  </si>
  <si>
    <t>Garnet material for sandblasting was found on the ground without placing a protective sheet under the frame before blasting.</t>
  </si>
  <si>
    <t>Work was stopped, the sandblasting supervisor was called, the garnet was removed, and a protective sheet was provided under the frame.</t>
  </si>
  <si>
    <t xml:space="preserve"> During inspection of compressed gas cylinders in the work area, a gas leak was detected.</t>
  </si>
  <si>
    <t>The cylinder was immediately moved to the quarantine area, the leak was repaired, and the cylinder was returned to service.</t>
  </si>
  <si>
    <t>Poor housekeeping and unorganized electrical cables were observed inside the workshop, creating a tripping hazard.</t>
  </si>
  <si>
    <t>Work inside the workshop was stopped, and a full housekeeping and cable-arrangement campaign was carried out to ensure a safe working environment.</t>
  </si>
  <si>
    <t>I observed that the welder was working from an unsafe position, posing a 
risk to his safety.</t>
  </si>
  <si>
    <t xml:space="preserve">I immediately stopped the activity, communicated my concerns, issued a 
warning letter, and recommended the use of a proper scaffolding platform 
to ensure a safer work environment. </t>
  </si>
  <si>
    <t>I have observed that the tank is standing in an unsafe condition.</t>
  </si>
  <si>
    <t>I recommended installing an additional support beneath the tank to enhance safety and barricading the surrounding area.</t>
  </si>
  <si>
    <t xml:space="preserve">I observed that the structure is positioned poorly and is taking up 
excessive space in the workshop, which may create an unsafe situation for 
other workers. </t>
  </si>
  <si>
    <t xml:space="preserve">I advised repositioning the structure to ensure both its stability and the safety of all personnel in the area. </t>
  </si>
  <si>
    <t xml:space="preserve">I have observed that materials were improperly stored on the workers’ 
accessway, creating a safety hazard. </t>
  </si>
  <si>
    <t xml:space="preserve">I stopped the work and instructed the supervisor to reorganize the area before resuming operations. </t>
  </si>
  <si>
    <t xml:space="preserve">I observed that the waste boxes were full and the waste collection vehicle 
had not arrived.  </t>
  </si>
  <si>
    <t xml:space="preserve">I requested the HSE PTJ management to take action to resolve the issue, and I also raised this concern to our management. </t>
  </si>
  <si>
    <t xml:space="preserve">I observed that the pump had unprotected rotating parts and the battery 
needed to be covered and properly fixed. </t>
  </si>
  <si>
    <t xml:space="preserve">I informed the supervisor in the testing area to address these issues, and he corrected them immediately. </t>
  </si>
  <si>
    <t>I observed that the materials were not stacked properly, creating a 
potential hazard.</t>
  </si>
  <si>
    <t xml:space="preserve">I reported my concern to the supervisor, who then rearranged the stacking to ensure safety. </t>
  </si>
  <si>
    <t xml:space="preserve">I observed that the electrical panel lacked a proper accessway and was 
positioned near hot work activities, creating a safety risk.  </t>
  </si>
  <si>
    <t xml:space="preserve">I stopped the work and requested HSE PTJ to reposition the panel to provide safe and unobstructed access. </t>
  </si>
  <si>
    <t xml:space="preserve">CPY noted (not for the first time) the lack of top PTJ management attending the 
mandatory weekly project/yard TBT. 
PTJ HSE Manager and others commenced the TBT while several (on various 
occasions are not present) </t>
  </si>
  <si>
    <t xml:space="preserve">CPY intervened and requested to hold the TBT while awaiting the attendance of 
said PTJ personnel.  Last week dated 24/11/25 CPY just witnessed and found it 
necessary to submit the official route of concern. </t>
  </si>
  <si>
    <t>PTJ HSE Manager to be held accountable, likewise TFMC HSE and management 
alike to speak up and address the slackness of personnel not attending.</t>
  </si>
  <si>
    <t xml:space="preserve">CPY noted (typically) the PTJ personnel not wearing the correct PPE while in the fabrication shops or outside fabrication areas within the fabrication yard. 
Not only PTJ workers but supervision.  PTJ supervision are a responsible person who should lead by example all the time and take action is not part of the 
incorrect none compliance </t>
  </si>
  <si>
    <t xml:space="preserve">CPY intervened and requested every person to wear their correct PPE safety glasses or hard hats. </t>
  </si>
  <si>
    <t xml:space="preserve">PTJ HSE to support and push out the correct behaviour, likewise TFMC and CPY to assist and support – take appropriate action of reoffending personnel. </t>
  </si>
  <si>
    <t>It has been observed that Tarpaulin conditions need improvement in the
painting area under PLET 123-T</t>
  </si>
  <si>
    <t>The concern has been communicated with the HSE supervisor from TFMC, and been raised to PTJ management</t>
  </si>
  <si>
    <t>It has been observed that there is poor housekeeping in open area 1, where a
lot of stones on ground that need to be removed.</t>
  </si>
  <si>
    <t>A discussion with PTJ HSE supervisor and PTJ Const. On how these stones may cause a trip hazard. PTJ Const. Promised that a team will be assigned to remove these stones.</t>
  </si>
  <si>
    <t>It has been observed that there is poor material stacking in open area 1.</t>
  </si>
  <si>
    <t>A discussion with PTJ HSE supervisor and PTJ Const., and agreed to modify the 
stacking of beams and rings and to be maintained regularly</t>
  </si>
  <si>
    <t>It has been observed that a lot of wooden board scaffolds in inadequate
condition.</t>
  </si>
  <si>
    <t>A discussion with PTJ HSE supervisor and PTJ Const., and agreed to get new proper scaffolding material.</t>
  </si>
  <si>
    <t>Worker observed using automatic Oxyacetylene cutting machine while wearing 
full proper PPE.</t>
  </si>
  <si>
    <t>Encouraged the workers</t>
  </si>
  <si>
    <t>Location</t>
  </si>
  <si>
    <t>Intervention</t>
  </si>
  <si>
    <t>Rating</t>
  </si>
  <si>
    <t>Action Source</t>
  </si>
  <si>
    <t>Bybassing Safety Control</t>
  </si>
  <si>
    <t xml:space="preserve">SHOC </t>
  </si>
  <si>
    <t>Inprogress</t>
  </si>
  <si>
    <t>Confined Space</t>
  </si>
  <si>
    <t xml:space="preserve">Manual Handling </t>
  </si>
  <si>
    <t>Self Verification</t>
  </si>
  <si>
    <t>Open</t>
  </si>
  <si>
    <r>
      <rPr>
        <sz val="10"/>
        <rFont val="Arial"/>
        <charset val="134"/>
      </rPr>
      <t>PPE</t>
    </r>
    <r>
      <rPr>
        <sz val="9"/>
        <rFont val="Arial"/>
        <charset val="134"/>
      </rPr>
      <t xml:space="preserve">       </t>
    </r>
  </si>
  <si>
    <t>Leadership Tour</t>
  </si>
  <si>
    <t>Others</t>
  </si>
  <si>
    <r>
      <rPr>
        <sz val="10"/>
        <rFont val="Arial"/>
        <charset val="134"/>
      </rPr>
      <t>Position of People</t>
    </r>
    <r>
      <rPr>
        <sz val="9"/>
        <rFont val="Arial"/>
        <charset val="134"/>
      </rPr>
      <t xml:space="preserve">  </t>
    </r>
  </si>
  <si>
    <t>Hazard Hunt Campain</t>
  </si>
  <si>
    <r>
      <rPr>
        <sz val="10"/>
        <rFont val="Arial"/>
        <charset val="134"/>
      </rPr>
      <t xml:space="preserve">Procedures </t>
    </r>
    <r>
      <rPr>
        <sz val="9"/>
        <rFont val="Arial"/>
        <charset val="134"/>
      </rPr>
      <t xml:space="preserve">     </t>
    </r>
  </si>
  <si>
    <r>
      <rPr>
        <sz val="10"/>
        <rFont val="Arial"/>
        <charset val="134"/>
      </rPr>
      <t>Tools &amp; Equipment</t>
    </r>
    <r>
      <rPr>
        <sz val="9"/>
        <rFont val="Arial"/>
        <charset val="134"/>
      </rPr>
      <t xml:space="preserve">    </t>
    </r>
  </si>
  <si>
    <t>TBT Effectivness</t>
  </si>
  <si>
    <t>Workshop</t>
  </si>
  <si>
    <t>Material Yard</t>
  </si>
  <si>
    <t>Security</t>
  </si>
  <si>
    <t>PTJ Camp</t>
  </si>
  <si>
    <t>Excavation</t>
  </si>
  <si>
    <t>Improvement Opportunity</t>
  </si>
  <si>
    <t>Filtered</t>
  </si>
  <si>
    <t>Row Labels</t>
  </si>
  <si>
    <t>Count of S/N</t>
  </si>
  <si>
    <t>Aug</t>
  </si>
  <si>
    <t>Grand Total</t>
  </si>
  <si>
    <t>Count of Company</t>
  </si>
  <si>
    <t>No. of SHOCs</t>
  </si>
  <si>
    <t>Column Labels</t>
  </si>
  <si>
    <t>Safe Act/ Condition</t>
  </si>
  <si>
    <t>(Multiple Items)</t>
  </si>
  <si>
    <t>LSR</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</si>
</sst>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F800]dddd\,\ mmmm\ dd\,\ yyyy"/>
  </numFmts>
  <fonts count="47">
    <font>
      <sz val="10"/>
      <name val="Arial"/>
      <charset val="134"/>
    </font>
    <font>
      <b/>
      <sz val="11"/>
      <color rgb="FFFFC000"/>
      <name val="Arial"/>
      <charset val="134"/>
    </font>
    <font>
      <sz val="10"/>
      <name val="Arial"/>
      <charset val="134"/>
    </font>
    <font>
      <sz val="18"/>
      <name val="Arial"/>
      <charset val="134"/>
    </font>
    <font>
      <b/>
      <sz val="10"/>
      <color rgb="FFFFC000"/>
      <name val="Arial"/>
      <charset val="134"/>
    </font>
    <font>
      <b/>
      <sz val="48"/>
      <color rgb="FF0070C0"/>
      <name val="Arial"/>
      <charset val="134"/>
    </font>
    <font>
      <b/>
      <sz val="11"/>
      <color theme="0"/>
      <name val="Cambria"/>
      <charset val="134"/>
      <scheme val="major"/>
    </font>
    <font>
      <b/>
      <sz val="11"/>
      <color theme="4" tint="0.799981688894314"/>
      <name val="Cambria"/>
      <charset val="134"/>
      <scheme val="major"/>
    </font>
    <font>
      <b/>
      <sz val="11"/>
      <color theme="9" tint="0.399975585192419"/>
      <name val="Cambria"/>
      <charset val="134"/>
      <scheme val="major"/>
    </font>
    <font>
      <b/>
      <sz val="11"/>
      <color rgb="FFFF0000"/>
      <name val="Cambria"/>
      <charset val="134"/>
      <scheme val="major"/>
    </font>
    <font>
      <b/>
      <sz val="10"/>
      <color rgb="FF0000FF"/>
      <name val="Cambria"/>
      <charset val="134"/>
      <scheme val="major"/>
    </font>
    <font>
      <b/>
      <sz val="11"/>
      <color rgb="FF0000FF"/>
      <name val="Cambria"/>
      <charset val="134"/>
      <scheme val="major"/>
    </font>
    <font>
      <b/>
      <sz val="11"/>
      <color theme="1"/>
      <name val="Cambria"/>
      <charset val="134"/>
      <scheme val="major"/>
    </font>
    <font>
      <b/>
      <sz val="10"/>
      <color rgb="FF0000FF"/>
      <name val="Cambria"/>
      <charset val="134"/>
      <scheme val="major"/>
    </font>
    <font>
      <b/>
      <sz val="10"/>
      <color theme="0"/>
      <name val="Arial"/>
      <charset val="134"/>
    </font>
    <font>
      <b/>
      <sz val="14"/>
      <color rgb="FFFFC000"/>
      <name val="Arial"/>
      <charset val="134"/>
    </font>
    <font>
      <sz val="11"/>
      <name val="Arial"/>
      <charset val="134"/>
    </font>
    <font>
      <sz val="10"/>
      <color rgb="FFFF0000"/>
      <name val="Arial"/>
      <charset val="134"/>
    </font>
    <font>
      <sz val="10"/>
      <color theme="1"/>
      <name val="Arial"/>
      <charset val="134"/>
    </font>
    <font>
      <sz val="11"/>
      <color theme="1"/>
      <name val="Arial"/>
      <charset val="134"/>
    </font>
    <font>
      <sz val="11"/>
      <name val="Calibri"/>
      <charset val="134"/>
    </font>
    <font>
      <sz val="10"/>
      <color theme="1"/>
      <name val="Arial"/>
      <charset val="134"/>
    </font>
    <font>
      <b/>
      <sz val="36"/>
      <color rgb="FF0070C0"/>
      <name val="Arial"/>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sz val="18"/>
      <color theme="3"/>
      <name val="Cambria"/>
      <charset val="134"/>
      <scheme val="maj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Calibri"/>
      <charset val="134"/>
      <scheme val="minor"/>
    </font>
    <font>
      <sz val="10"/>
      <name val="Helv"/>
      <charset val="134"/>
    </font>
    <font>
      <sz val="10"/>
      <name val="Helv"/>
      <charset val="134"/>
    </font>
    <font>
      <sz val="9"/>
      <name val="Arial"/>
      <charset val="134"/>
    </font>
  </fonts>
  <fills count="42">
    <fill>
      <patternFill patternType="none"/>
    </fill>
    <fill>
      <patternFill patternType="gray125"/>
    </fill>
    <fill>
      <patternFill patternType="solid">
        <fgColor theme="1"/>
        <bgColor theme="1"/>
      </patternFill>
    </fill>
    <fill>
      <patternFill patternType="solid">
        <fgColor rgb="FFFFC000"/>
        <bgColor indexed="64"/>
      </patternFill>
    </fill>
    <fill>
      <patternFill patternType="solid">
        <fgColor rgb="FF7030A0"/>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0" tint="-0.0499893185216834"/>
        <bgColor indexed="64"/>
      </patternFill>
    </fill>
    <fill>
      <patternFill patternType="solid">
        <fgColor theme="1" tint="0.149998474074526"/>
        <bgColor indexed="64"/>
      </patternFill>
    </fill>
    <fill>
      <patternFill patternType="solid">
        <fgColor rgb="FF4337DD"/>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5">
    <border>
      <left/>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medium">
        <color auto="1"/>
      </bottom>
      <diagonal/>
    </border>
    <border>
      <left style="thin">
        <color auto="1"/>
      </left>
      <right/>
      <top/>
      <bottom style="medium">
        <color auto="1"/>
      </bottom>
      <diagonal/>
    </border>
    <border>
      <left/>
      <right/>
      <top/>
      <bottom style="medium">
        <color auto="1"/>
      </bottom>
      <diagonal/>
    </border>
    <border>
      <left/>
      <right style="thin">
        <color auto="1"/>
      </right>
      <top/>
      <bottom style="medium">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theme="0"/>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medium">
        <color auto="1"/>
      </left>
      <right/>
      <top/>
      <bottom style="medium">
        <color auto="1"/>
      </bottom>
      <diagonal/>
    </border>
    <border>
      <left/>
      <right style="medium">
        <color auto="1"/>
      </right>
      <top/>
      <bottom/>
      <diagonal/>
    </border>
    <border>
      <left/>
      <right style="medium">
        <color auto="1"/>
      </right>
      <top/>
      <bottom style="medium">
        <color auto="1"/>
      </bottom>
      <diagonal/>
    </border>
    <border>
      <left/>
      <right style="medium">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69">
    <xf numFmtId="0" fontId="0" fillId="0" borderId="0"/>
    <xf numFmtId="176" fontId="23" fillId="0" borderId="0" applyFont="0" applyFill="0" applyBorder="0" applyAlignment="0" applyProtection="0">
      <alignment vertical="center"/>
    </xf>
    <xf numFmtId="44" fontId="23" fillId="0" borderId="0" applyFont="0" applyFill="0" applyBorder="0" applyAlignment="0" applyProtection="0">
      <alignment vertical="center"/>
    </xf>
    <xf numFmtId="9" fontId="23" fillId="0" borderId="0" applyFont="0" applyFill="0" applyBorder="0" applyAlignment="0" applyProtection="0">
      <alignment vertical="center"/>
    </xf>
    <xf numFmtId="177" fontId="23" fillId="0" borderId="0" applyFont="0" applyFill="0" applyBorder="0" applyAlignment="0" applyProtection="0">
      <alignment vertical="center"/>
    </xf>
    <xf numFmtId="42" fontId="23"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3" fillId="11" borderId="27"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xf numFmtId="0" fontId="28" fillId="0" borderId="0" applyNumberFormat="0" applyFill="0" applyBorder="0" applyAlignment="0" applyProtection="0">
      <alignment vertical="center"/>
    </xf>
    <xf numFmtId="0" fontId="29" fillId="0" borderId="28" applyNumberFormat="0" applyFill="0" applyAlignment="0" applyProtection="0">
      <alignment vertical="center"/>
    </xf>
    <xf numFmtId="0" fontId="30" fillId="0" borderId="28" applyNumberFormat="0" applyFill="0" applyAlignment="0" applyProtection="0">
      <alignment vertical="center"/>
    </xf>
    <xf numFmtId="0" fontId="31" fillId="0" borderId="29" applyNumberFormat="0" applyFill="0" applyAlignment="0" applyProtection="0">
      <alignment vertical="center"/>
    </xf>
    <xf numFmtId="0" fontId="31" fillId="0" borderId="0" applyNumberFormat="0" applyFill="0" applyBorder="0" applyAlignment="0" applyProtection="0">
      <alignment vertical="center"/>
    </xf>
    <xf numFmtId="0" fontId="32" fillId="12" borderId="30" applyNumberFormat="0" applyAlignment="0" applyProtection="0">
      <alignment vertical="center"/>
    </xf>
    <xf numFmtId="0" fontId="33" fillId="13" borderId="31" applyNumberFormat="0" applyAlignment="0" applyProtection="0">
      <alignment vertical="center"/>
    </xf>
    <xf numFmtId="0" fontId="34" fillId="13" borderId="30" applyNumberFormat="0" applyAlignment="0" applyProtection="0">
      <alignment vertical="center"/>
    </xf>
    <xf numFmtId="0" fontId="35" fillId="14" borderId="32" applyNumberFormat="0" applyAlignment="0" applyProtection="0">
      <alignment vertical="center"/>
    </xf>
    <xf numFmtId="0" fontId="36" fillId="0" borderId="33" applyNumberFormat="0" applyFill="0" applyAlignment="0" applyProtection="0">
      <alignment vertical="center"/>
    </xf>
    <xf numFmtId="0" fontId="37" fillId="0" borderId="34" applyNumberFormat="0" applyFill="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40" fillId="17" borderId="0" applyNumberFormat="0" applyBorder="0" applyAlignment="0" applyProtection="0">
      <alignment vertical="center"/>
    </xf>
    <xf numFmtId="0" fontId="41" fillId="18" borderId="0" applyNumberFormat="0" applyBorder="0" applyAlignment="0" applyProtection="0">
      <alignment vertical="center"/>
    </xf>
    <xf numFmtId="0" fontId="42" fillId="19" borderId="0" applyNumberFormat="0" applyBorder="0" applyAlignment="0" applyProtection="0">
      <alignment vertical="center"/>
    </xf>
    <xf numFmtId="0" fontId="42" fillId="20" borderId="0" applyNumberFormat="0" applyBorder="0" applyAlignment="0" applyProtection="0">
      <alignment vertical="center"/>
    </xf>
    <xf numFmtId="0" fontId="41" fillId="21" borderId="0" applyNumberFormat="0" applyBorder="0" applyAlignment="0" applyProtection="0">
      <alignment vertical="center"/>
    </xf>
    <xf numFmtId="0" fontId="41" fillId="22" borderId="0" applyNumberFormat="0" applyBorder="0" applyAlignment="0" applyProtection="0">
      <alignment vertical="center"/>
    </xf>
    <xf numFmtId="0" fontId="42" fillId="23" borderId="0" applyNumberFormat="0" applyBorder="0" applyAlignment="0" applyProtection="0">
      <alignment vertical="center"/>
    </xf>
    <xf numFmtId="0" fontId="42" fillId="24" borderId="0" applyNumberFormat="0" applyBorder="0" applyAlignment="0" applyProtection="0">
      <alignment vertical="center"/>
    </xf>
    <xf numFmtId="0" fontId="41" fillId="25" borderId="0" applyNumberFormat="0" applyBorder="0" applyAlignment="0" applyProtection="0">
      <alignment vertical="center"/>
    </xf>
    <xf numFmtId="0" fontId="41" fillId="26" borderId="0" applyNumberFormat="0" applyBorder="0" applyAlignment="0" applyProtection="0">
      <alignment vertical="center"/>
    </xf>
    <xf numFmtId="0" fontId="42" fillId="27" borderId="0" applyNumberFormat="0" applyBorder="0" applyAlignment="0" applyProtection="0">
      <alignment vertical="center"/>
    </xf>
    <xf numFmtId="0" fontId="42" fillId="28" borderId="0" applyNumberFormat="0" applyBorder="0" applyAlignment="0" applyProtection="0">
      <alignment vertical="center"/>
    </xf>
    <xf numFmtId="0" fontId="41" fillId="29" borderId="0" applyNumberFormat="0" applyBorder="0" applyAlignment="0" applyProtection="0">
      <alignment vertical="center"/>
    </xf>
    <xf numFmtId="0" fontId="41" fillId="30" borderId="0" applyNumberFormat="0" applyBorder="0" applyAlignment="0" applyProtection="0">
      <alignment vertical="center"/>
    </xf>
    <xf numFmtId="0" fontId="42" fillId="31" borderId="0" applyNumberFormat="0" applyBorder="0" applyAlignment="0" applyProtection="0">
      <alignment vertical="center"/>
    </xf>
    <xf numFmtId="0" fontId="42" fillId="32" borderId="0" applyNumberFormat="0" applyBorder="0" applyAlignment="0" applyProtection="0">
      <alignment vertical="center"/>
    </xf>
    <xf numFmtId="0" fontId="41" fillId="33" borderId="0" applyNumberFormat="0" applyBorder="0" applyAlignment="0" applyProtection="0">
      <alignment vertical="center"/>
    </xf>
    <xf numFmtId="0" fontId="41" fillId="34" borderId="0" applyNumberFormat="0" applyBorder="0" applyAlignment="0" applyProtection="0">
      <alignment vertical="center"/>
    </xf>
    <xf numFmtId="0" fontId="42" fillId="35" borderId="0" applyNumberFormat="0" applyBorder="0" applyAlignment="0" applyProtection="0">
      <alignment vertical="center"/>
    </xf>
    <xf numFmtId="0" fontId="42" fillId="36" borderId="0" applyNumberFormat="0" applyBorder="0" applyAlignment="0" applyProtection="0">
      <alignment vertical="center"/>
    </xf>
    <xf numFmtId="0" fontId="41" fillId="37" borderId="0" applyNumberFormat="0" applyBorder="0" applyAlignment="0" applyProtection="0">
      <alignment vertical="center"/>
    </xf>
    <xf numFmtId="0" fontId="41" fillId="38" borderId="0" applyNumberFormat="0" applyBorder="0" applyAlignment="0" applyProtection="0">
      <alignment vertical="center"/>
    </xf>
    <xf numFmtId="0" fontId="42" fillId="39" borderId="0" applyNumberFormat="0" applyBorder="0" applyAlignment="0" applyProtection="0">
      <alignment vertical="center"/>
    </xf>
    <xf numFmtId="0" fontId="42" fillId="40" borderId="0" applyNumberFormat="0" applyBorder="0" applyAlignment="0" applyProtection="0">
      <alignment vertical="center"/>
    </xf>
    <xf numFmtId="0" fontId="41" fillId="41" borderId="0" applyNumberFormat="0" applyBorder="0" applyAlignment="0" applyProtection="0">
      <alignment vertical="center"/>
    </xf>
    <xf numFmtId="0" fontId="2" fillId="0" borderId="0"/>
    <xf numFmtId="0" fontId="2"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 fillId="0" borderId="0"/>
    <xf numFmtId="0" fontId="2" fillId="0" borderId="0"/>
    <xf numFmtId="9" fontId="2" fillId="0" borderId="0" applyFont="0" applyFill="0" applyBorder="0" applyAlignment="0" applyProtection="0"/>
    <xf numFmtId="0" fontId="44" fillId="0" borderId="0"/>
    <xf numFmtId="0" fontId="44" fillId="0" borderId="0"/>
    <xf numFmtId="0" fontId="45" fillId="0" borderId="0"/>
  </cellStyleXfs>
  <cellXfs count="138">
    <xf numFmtId="0" fontId="0" fillId="0" borderId="0" xfId="0"/>
    <xf numFmtId="0" fontId="0" fillId="0" borderId="1" xfId="0" applyBorder="1" applyAlignment="1">
      <alignment horizontal="center" vertical="center"/>
    </xf>
    <xf numFmtId="0" fontId="0" fillId="0" borderId="2" xfId="0" applyBorder="1"/>
    <xf numFmtId="0" fontId="0" fillId="0" borderId="3" xfId="0" applyBorder="1" applyAlignment="1">
      <alignment horizontal="center" vertical="center"/>
    </xf>
    <xf numFmtId="0" fontId="0" fillId="0" borderId="2" xfId="0" applyBorder="1" applyAlignment="1">
      <alignment horizontal="left"/>
    </xf>
    <xf numFmtId="0" fontId="0" fillId="0" borderId="0" xfId="0" applyAlignment="1">
      <alignment horizontal="center" vertical="center"/>
    </xf>
    <xf numFmtId="0" fontId="0" fillId="0" borderId="0" xfId="0" applyAlignment="1">
      <alignment horizontal="center" vertical="center"/>
    </xf>
    <xf numFmtId="0" fontId="0" fillId="0" borderId="0" xfId="0" applyNumberFormat="1" applyAlignment="1">
      <alignment horizontal="center" vertical="center"/>
    </xf>
    <xf numFmtId="9" fontId="0" fillId="0" borderId="0" xfId="0" applyNumberFormat="1"/>
    <xf numFmtId="0" fontId="0" fillId="0" borderId="0" xfId="0" applyAlignment="1">
      <alignment horizontal="left" vertical="center"/>
    </xf>
    <xf numFmtId="0" fontId="0" fillId="0" borderId="0" xfId="0" applyAlignment="1">
      <alignment horizontal="center" vertical="center" indent="1"/>
    </xf>
    <xf numFmtId="0" fontId="1" fillId="2" borderId="4" xfId="0" applyFont="1" applyFill="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3" borderId="4" xfId="0" applyFont="1" applyFill="1" applyBorder="1" applyAlignment="1">
      <alignment horizontal="center" vertical="center"/>
    </xf>
    <xf numFmtId="0" fontId="2" fillId="0" borderId="0" xfId="0" applyFont="1" applyAlignment="1">
      <alignment horizontal="center" vertical="center"/>
    </xf>
    <xf numFmtId="0" fontId="0" fillId="0" borderId="4" xfId="0" applyBorder="1" applyAlignment="1">
      <alignment horizontal="center" vertical="center"/>
    </xf>
    <xf numFmtId="0" fontId="3" fillId="0" borderId="0" xfId="0" applyFont="1" applyAlignment="1">
      <alignment vertical="center"/>
    </xf>
    <xf numFmtId="0" fontId="4" fillId="0" borderId="0" xfId="0" applyFont="1" applyAlignment="1">
      <alignment horizontal="center" vertical="center"/>
    </xf>
    <xf numFmtId="0" fontId="0" fillId="0" borderId="0" xfId="0" applyAlignment="1">
      <alignment vertical="center"/>
    </xf>
    <xf numFmtId="0" fontId="5" fillId="0" borderId="6" xfId="0" applyFont="1" applyBorder="1" applyAlignment="1">
      <alignment horizontal="center" vertical="center"/>
    </xf>
    <xf numFmtId="0" fontId="5" fillId="0" borderId="0" xfId="0" applyFont="1" applyAlignment="1">
      <alignment horizontal="center" vertical="center"/>
    </xf>
    <xf numFmtId="0" fontId="6" fillId="4" borderId="7" xfId="10" applyFont="1" applyFill="1" applyBorder="1" applyAlignment="1" applyProtection="1">
      <alignment horizontal="center" vertical="center" wrapText="1"/>
      <protection hidden="1"/>
    </xf>
    <xf numFmtId="0" fontId="6" fillId="4" borderId="8" xfId="10" applyFont="1" applyFill="1" applyBorder="1" applyAlignment="1" applyProtection="1">
      <alignment horizontal="center" vertical="center" wrapText="1"/>
      <protection hidden="1"/>
    </xf>
    <xf numFmtId="3" fontId="7" fillId="4" borderId="8" xfId="10" applyNumberFormat="1" applyFont="1" applyFill="1" applyBorder="1" applyAlignment="1" applyProtection="1">
      <alignment horizontal="center" vertical="center" wrapText="1"/>
      <protection hidden="1"/>
    </xf>
    <xf numFmtId="3" fontId="6" fillId="4" borderId="4" xfId="10" applyNumberFormat="1" applyFont="1" applyFill="1" applyBorder="1" applyAlignment="1" applyProtection="1">
      <alignment horizontal="center" vertical="center" wrapText="1"/>
      <protection hidden="1"/>
    </xf>
    <xf numFmtId="0" fontId="6" fillId="4" borderId="9" xfId="10" applyFont="1" applyFill="1" applyBorder="1" applyAlignment="1" applyProtection="1">
      <alignment horizontal="center" vertical="center" wrapText="1"/>
      <protection hidden="1"/>
    </xf>
    <xf numFmtId="3" fontId="7" fillId="4" borderId="9" xfId="10" applyNumberFormat="1" applyFont="1" applyFill="1" applyBorder="1" applyAlignment="1" applyProtection="1">
      <alignment horizontal="center" vertical="center" wrapText="1"/>
      <protection hidden="1"/>
    </xf>
    <xf numFmtId="3" fontId="8" fillId="4" borderId="4" xfId="10" applyNumberFormat="1" applyFont="1" applyFill="1" applyBorder="1" applyAlignment="1" applyProtection="1">
      <alignment horizontal="center" vertical="center" wrapText="1"/>
      <protection hidden="1"/>
    </xf>
    <xf numFmtId="3" fontId="9" fillId="4" borderId="4" xfId="10" applyNumberFormat="1" applyFont="1" applyFill="1" applyBorder="1" applyAlignment="1" applyProtection="1">
      <alignment horizontal="center" vertical="center" wrapText="1"/>
      <protection hidden="1"/>
    </xf>
    <xf numFmtId="0" fontId="10" fillId="5" borderId="5" xfId="10" applyFont="1" applyFill="1" applyBorder="1" applyAlignment="1" applyProtection="1">
      <alignment vertical="center" wrapText="1"/>
      <protection hidden="1"/>
    </xf>
    <xf numFmtId="3" fontId="11" fillId="5" borderId="4" xfId="10" applyNumberFormat="1" applyFont="1" applyFill="1" applyBorder="1" applyAlignment="1" applyProtection="1">
      <alignment horizontal="center" vertical="center" wrapText="1"/>
      <protection hidden="1"/>
    </xf>
    <xf numFmtId="3" fontId="12" fillId="5" borderId="4" xfId="10" applyNumberFormat="1" applyFont="1" applyFill="1" applyBorder="1" applyAlignment="1" applyProtection="1">
      <alignment horizontal="center" vertical="center" wrapText="1"/>
      <protection hidden="1"/>
    </xf>
    <xf numFmtId="0" fontId="10" fillId="6" borderId="5" xfId="10" applyFont="1" applyFill="1" applyBorder="1" applyAlignment="1" applyProtection="1">
      <alignment vertical="center" wrapText="1"/>
      <protection hidden="1"/>
    </xf>
    <xf numFmtId="3" fontId="11" fillId="6" borderId="4" xfId="10" applyNumberFormat="1" applyFont="1" applyFill="1" applyBorder="1" applyAlignment="1" applyProtection="1">
      <alignment horizontal="center" vertical="center" wrapText="1"/>
      <protection hidden="1"/>
    </xf>
    <xf numFmtId="3" fontId="12" fillId="6" borderId="4" xfId="10" applyNumberFormat="1" applyFont="1" applyFill="1" applyBorder="1" applyAlignment="1" applyProtection="1">
      <alignment horizontal="center" vertical="center" wrapText="1"/>
      <protection hidden="1"/>
    </xf>
    <xf numFmtId="0" fontId="13" fillId="7" borderId="5" xfId="10" applyFont="1" applyFill="1" applyBorder="1" applyAlignment="1" applyProtection="1">
      <alignment vertical="center" wrapText="1"/>
      <protection hidden="1"/>
    </xf>
    <xf numFmtId="0" fontId="9" fillId="7" borderId="4" xfId="10" applyFont="1" applyFill="1" applyBorder="1" applyAlignment="1" applyProtection="1">
      <alignment horizontal="center" vertical="center" wrapText="1"/>
      <protection hidden="1"/>
    </xf>
    <xf numFmtId="3" fontId="11" fillId="8" borderId="7" xfId="10" applyNumberFormat="1" applyFont="1" applyFill="1" applyBorder="1" applyAlignment="1" applyProtection="1">
      <alignment horizontal="center" vertical="center" wrapText="1"/>
      <protection hidden="1"/>
    </xf>
    <xf numFmtId="3" fontId="11" fillId="8" borderId="10" xfId="10" applyNumberFormat="1" applyFont="1" applyFill="1" applyBorder="1" applyAlignment="1" applyProtection="1">
      <alignment horizontal="center" vertical="center" wrapText="1"/>
      <protection hidden="1"/>
    </xf>
    <xf numFmtId="3" fontId="11" fillId="8" borderId="11" xfId="10" applyNumberFormat="1" applyFont="1" applyFill="1" applyBorder="1" applyAlignment="1" applyProtection="1">
      <alignment horizontal="center" vertical="center" wrapText="1"/>
      <protection hidden="1"/>
    </xf>
    <xf numFmtId="0" fontId="13" fillId="7" borderId="12" xfId="10" applyFont="1" applyFill="1" applyBorder="1" applyAlignment="1" applyProtection="1">
      <alignment vertical="center" wrapText="1"/>
      <protection hidden="1"/>
    </xf>
    <xf numFmtId="3" fontId="11" fillId="8" borderId="13" xfId="10" applyNumberFormat="1" applyFont="1" applyFill="1" applyBorder="1" applyAlignment="1" applyProtection="1">
      <alignment horizontal="center" vertical="center" wrapText="1"/>
      <protection hidden="1"/>
    </xf>
    <xf numFmtId="3" fontId="11" fillId="8" borderId="14" xfId="10" applyNumberFormat="1" applyFont="1" applyFill="1" applyBorder="1" applyAlignment="1" applyProtection="1">
      <alignment horizontal="center" vertical="center" wrapText="1"/>
      <protection hidden="1"/>
    </xf>
    <xf numFmtId="3" fontId="11" fillId="8" borderId="15" xfId="10" applyNumberFormat="1" applyFont="1" applyFill="1" applyBorder="1" applyAlignment="1" applyProtection="1">
      <alignment horizontal="center" vertical="center" wrapText="1"/>
      <protection hidden="1"/>
    </xf>
    <xf numFmtId="0" fontId="6" fillId="9" borderId="7" xfId="10" applyFont="1" applyFill="1" applyBorder="1" applyAlignment="1" applyProtection="1">
      <alignment horizontal="center" vertical="center" wrapText="1"/>
      <protection hidden="1"/>
    </xf>
    <xf numFmtId="9" fontId="14" fillId="0" borderId="0" xfId="0" applyNumberFormat="1" applyFont="1" applyAlignment="1">
      <alignment horizontal="center" vertical="center"/>
    </xf>
    <xf numFmtId="0" fontId="6" fillId="9" borderId="8" xfId="10" applyFont="1" applyFill="1" applyBorder="1" applyAlignment="1" applyProtection="1">
      <alignment horizontal="center" vertical="center" wrapText="1"/>
      <protection hidden="1"/>
    </xf>
    <xf numFmtId="3" fontId="7" fillId="9" borderId="8" xfId="10" applyNumberFormat="1" applyFont="1" applyFill="1" applyBorder="1" applyAlignment="1" applyProtection="1">
      <alignment horizontal="center" vertical="center" wrapText="1"/>
      <protection hidden="1"/>
    </xf>
    <xf numFmtId="9" fontId="6" fillId="9" borderId="4" xfId="10" applyNumberFormat="1" applyFont="1" applyFill="1" applyBorder="1" applyAlignment="1" applyProtection="1">
      <alignment horizontal="center" vertical="center" wrapText="1"/>
      <protection hidden="1"/>
    </xf>
    <xf numFmtId="0" fontId="6" fillId="9" borderId="9" xfId="10" applyFont="1" applyFill="1" applyBorder="1" applyAlignment="1" applyProtection="1">
      <alignment horizontal="center" vertical="center" wrapText="1"/>
      <protection hidden="1"/>
    </xf>
    <xf numFmtId="3" fontId="7" fillId="9" borderId="9" xfId="10" applyNumberFormat="1" applyFont="1" applyFill="1" applyBorder="1" applyAlignment="1" applyProtection="1">
      <alignment horizontal="center" vertical="center" wrapText="1"/>
      <protection hidden="1"/>
    </xf>
    <xf numFmtId="3" fontId="8" fillId="9" borderId="4" xfId="10" applyNumberFormat="1" applyFont="1" applyFill="1" applyBorder="1" applyAlignment="1" applyProtection="1">
      <alignment horizontal="center" vertical="center" wrapText="1"/>
      <protection hidden="1"/>
    </xf>
    <xf numFmtId="3" fontId="9" fillId="9" borderId="4" xfId="10" applyNumberFormat="1" applyFont="1" applyFill="1" applyBorder="1" applyAlignment="1" applyProtection="1">
      <alignment horizontal="center" vertical="center" wrapText="1"/>
      <protection hidden="1"/>
    </xf>
    <xf numFmtId="3" fontId="9" fillId="7" borderId="4" xfId="10" applyNumberFormat="1" applyFont="1" applyFill="1" applyBorder="1" applyAlignment="1" applyProtection="1">
      <alignment horizontal="center" vertical="center" wrapText="1"/>
      <protection hidden="1"/>
    </xf>
    <xf numFmtId="0" fontId="5" fillId="0" borderId="0" xfId="0" applyFont="1" applyBorder="1" applyAlignment="1">
      <alignment horizontal="center" vertical="center"/>
    </xf>
    <xf numFmtId="0" fontId="4" fillId="8" borderId="16" xfId="0" applyFont="1" applyFill="1" applyBorder="1" applyAlignment="1">
      <alignment horizontal="center" vertical="center"/>
    </xf>
    <xf numFmtId="0" fontId="15" fillId="0" borderId="9" xfId="0" applyFont="1" applyBorder="1" applyAlignment="1">
      <alignment horizontal="center" vertical="center"/>
    </xf>
    <xf numFmtId="0" fontId="4" fillId="8" borderId="4" xfId="0" applyFont="1" applyFill="1" applyBorder="1" applyAlignment="1">
      <alignment horizontal="center" vertical="center"/>
    </xf>
    <xf numFmtId="178" fontId="16" fillId="10" borderId="4" xfId="0" applyNumberFormat="1" applyFont="1" applyFill="1" applyBorder="1" applyAlignment="1">
      <alignment horizontal="center" vertical="center"/>
    </xf>
    <xf numFmtId="0" fontId="16" fillId="10" borderId="4" xfId="0" applyFont="1" applyFill="1" applyBorder="1" applyAlignment="1">
      <alignment horizontal="center" vertical="center" wrapText="1"/>
    </xf>
    <xf numFmtId="0" fontId="16" fillId="10" borderId="4" xfId="0" applyFont="1" applyFill="1" applyBorder="1" applyAlignment="1">
      <alignment horizontal="center" vertical="center"/>
    </xf>
    <xf numFmtId="0" fontId="0" fillId="10" borderId="4" xfId="0" applyFill="1" applyBorder="1" applyAlignment="1">
      <alignment horizontal="center" vertical="center"/>
    </xf>
    <xf numFmtId="0" fontId="2" fillId="10" borderId="4" xfId="0" applyFont="1" applyFill="1" applyBorder="1" applyAlignment="1">
      <alignment horizontal="center" vertical="center"/>
    </xf>
    <xf numFmtId="0" fontId="0" fillId="10" borderId="4" xfId="0" applyFill="1" applyBorder="1" applyAlignment="1">
      <alignment horizontal="center" vertical="center" wrapText="1"/>
    </xf>
    <xf numFmtId="0" fontId="0" fillId="10" borderId="8" xfId="0" applyFill="1" applyBorder="1" applyAlignment="1">
      <alignment horizontal="center" vertical="center"/>
    </xf>
    <xf numFmtId="0" fontId="16" fillId="10" borderId="4" xfId="0" applyFont="1" applyFill="1" applyBorder="1" applyAlignment="1">
      <alignment horizontal="left" vertical="center" wrapText="1"/>
    </xf>
    <xf numFmtId="178" fontId="16" fillId="10" borderId="4" xfId="0" applyNumberFormat="1" applyFont="1" applyFill="1" applyBorder="1" applyAlignment="1">
      <alignment horizontal="left" vertical="center" wrapText="1"/>
    </xf>
    <xf numFmtId="0" fontId="2" fillId="10" borderId="17" xfId="0" applyFont="1" applyFill="1" applyBorder="1" applyAlignment="1">
      <alignment horizontal="left" vertical="center" wrapText="1"/>
    </xf>
    <xf numFmtId="0" fontId="2" fillId="10" borderId="4" xfId="0" applyFont="1" applyFill="1" applyBorder="1" applyAlignment="1">
      <alignment horizontal="center" vertical="center" wrapText="1"/>
    </xf>
    <xf numFmtId="0" fontId="0" fillId="10" borderId="17" xfId="0" applyFill="1" applyBorder="1" applyAlignment="1">
      <alignment horizontal="left" vertical="center" wrapText="1"/>
    </xf>
    <xf numFmtId="0" fontId="17" fillId="10" borderId="17" xfId="0" applyFont="1" applyFill="1" applyBorder="1" applyAlignment="1">
      <alignment horizontal="left" vertical="center" wrapText="1"/>
    </xf>
    <xf numFmtId="0" fontId="15" fillId="0" borderId="18" xfId="0" applyFont="1" applyBorder="1" applyAlignment="1">
      <alignment horizontal="center" vertical="center"/>
    </xf>
    <xf numFmtId="0" fontId="0" fillId="10" borderId="5" xfId="0" applyFill="1" applyBorder="1" applyAlignment="1">
      <alignment horizontal="center" vertical="center"/>
    </xf>
    <xf numFmtId="178" fontId="16" fillId="10" borderId="17" xfId="0" applyNumberFormat="1" applyFont="1" applyFill="1" applyBorder="1" applyAlignment="1">
      <alignment horizontal="center" vertical="center"/>
    </xf>
    <xf numFmtId="178" fontId="0" fillId="10" borderId="11" xfId="0" applyNumberFormat="1" applyFill="1" applyBorder="1" applyAlignment="1">
      <alignment horizontal="center" vertical="center"/>
    </xf>
    <xf numFmtId="178" fontId="16" fillId="10" borderId="5" xfId="0" applyNumberFormat="1" applyFont="1" applyFill="1" applyBorder="1" applyAlignment="1">
      <alignment horizontal="left" vertical="center" wrapText="1"/>
    </xf>
    <xf numFmtId="0" fontId="16" fillId="10" borderId="4" xfId="0" applyFont="1" applyFill="1" applyBorder="1" applyAlignment="1">
      <alignment horizontal="left" vertical="center"/>
    </xf>
    <xf numFmtId="0" fontId="0" fillId="10" borderId="4" xfId="0" applyFill="1" applyBorder="1" applyAlignment="1">
      <alignment horizontal="left" vertical="center" wrapText="1"/>
    </xf>
    <xf numFmtId="178" fontId="0" fillId="10" borderId="4" xfId="0" applyNumberFormat="1" applyFill="1" applyBorder="1" applyAlignment="1">
      <alignment horizontal="center" vertical="center"/>
    </xf>
    <xf numFmtId="0" fontId="0" fillId="10" borderId="8" xfId="0" applyFill="1" applyBorder="1" applyAlignment="1">
      <alignment horizontal="left" vertical="center" wrapText="1"/>
    </xf>
    <xf numFmtId="0" fontId="0" fillId="10" borderId="8" xfId="0" applyFill="1" applyBorder="1" applyAlignment="1">
      <alignment horizontal="center" vertical="center" wrapText="1"/>
    </xf>
    <xf numFmtId="178" fontId="0" fillId="10" borderId="8" xfId="0" applyNumberFormat="1" applyFill="1" applyBorder="1" applyAlignment="1">
      <alignment horizontal="center" vertical="center"/>
    </xf>
    <xf numFmtId="0" fontId="2" fillId="10" borderId="4" xfId="0" applyFont="1" applyFill="1" applyBorder="1" applyAlignment="1">
      <alignment horizontal="left" vertical="center" wrapText="1"/>
    </xf>
    <xf numFmtId="0" fontId="2" fillId="10" borderId="8" xfId="0" applyFont="1" applyFill="1" applyBorder="1" applyAlignment="1">
      <alignment horizontal="center" vertical="center" wrapText="1"/>
    </xf>
    <xf numFmtId="0" fontId="2" fillId="10" borderId="8" xfId="0" applyFont="1" applyFill="1" applyBorder="1" applyAlignment="1">
      <alignment horizontal="center" vertical="center"/>
    </xf>
    <xf numFmtId="0" fontId="2" fillId="10" borderId="8" xfId="0" applyFont="1" applyFill="1" applyBorder="1" applyAlignment="1">
      <alignment horizontal="left" vertical="center" wrapText="1"/>
    </xf>
    <xf numFmtId="0" fontId="0" fillId="10" borderId="11" xfId="0" applyFill="1" applyBorder="1" applyAlignment="1">
      <alignment horizontal="left" vertical="center" wrapText="1"/>
    </xf>
    <xf numFmtId="0" fontId="2" fillId="10" borderId="11" xfId="0" applyFont="1" applyFill="1" applyBorder="1" applyAlignment="1">
      <alignment horizontal="left" vertical="center" wrapText="1"/>
    </xf>
    <xf numFmtId="178" fontId="2" fillId="10" borderId="11" xfId="0" applyNumberFormat="1" applyFont="1" applyFill="1" applyBorder="1" applyAlignment="1">
      <alignment horizontal="center" vertical="center"/>
    </xf>
    <xf numFmtId="178" fontId="0" fillId="10" borderId="17" xfId="0" applyNumberFormat="1" applyFill="1" applyBorder="1" applyAlignment="1">
      <alignment horizontal="center" vertical="center"/>
    </xf>
    <xf numFmtId="178" fontId="16" fillId="10" borderId="8" xfId="0" applyNumberFormat="1" applyFont="1" applyFill="1" applyBorder="1" applyAlignment="1">
      <alignment horizontal="left" vertical="center" wrapText="1"/>
    </xf>
    <xf numFmtId="178" fontId="16" fillId="10" borderId="5" xfId="0" applyNumberFormat="1" applyFont="1" applyFill="1" applyBorder="1" applyAlignment="1">
      <alignment vertical="center" wrapText="1"/>
    </xf>
    <xf numFmtId="178" fontId="16" fillId="10" borderId="4" xfId="0" applyNumberFormat="1" applyFont="1" applyFill="1" applyBorder="1" applyAlignment="1">
      <alignment vertical="center" wrapText="1"/>
    </xf>
    <xf numFmtId="178" fontId="18" fillId="10" borderId="19" xfId="0" applyNumberFormat="1" applyFont="1" applyFill="1" applyBorder="1" applyAlignment="1">
      <alignment horizontal="center" vertical="center"/>
    </xf>
    <xf numFmtId="0" fontId="18" fillId="10" borderId="4" xfId="0" applyFont="1" applyFill="1" applyBorder="1" applyAlignment="1">
      <alignment horizontal="center" vertical="center" wrapText="1"/>
    </xf>
    <xf numFmtId="0" fontId="18" fillId="10" borderId="4" xfId="0" applyFont="1" applyFill="1" applyBorder="1" applyAlignment="1">
      <alignment horizontal="center" vertical="center"/>
    </xf>
    <xf numFmtId="0" fontId="18" fillId="10" borderId="4" xfId="0" applyFont="1" applyFill="1" applyBorder="1" applyAlignment="1">
      <alignment horizontal="left" vertical="center" wrapText="1"/>
    </xf>
    <xf numFmtId="178" fontId="19" fillId="10" borderId="4" xfId="0" applyNumberFormat="1" applyFont="1" applyFill="1" applyBorder="1" applyAlignment="1">
      <alignment horizontal="left" vertical="center" wrapText="1"/>
    </xf>
    <xf numFmtId="0" fontId="18" fillId="10" borderId="19" xfId="0" applyFont="1" applyFill="1" applyBorder="1" applyAlignment="1">
      <alignment horizontal="left" vertical="center" wrapText="1"/>
    </xf>
    <xf numFmtId="178" fontId="18" fillId="10" borderId="4" xfId="0" applyNumberFormat="1" applyFont="1" applyFill="1" applyBorder="1" applyAlignment="1">
      <alignment horizontal="center" vertical="center"/>
    </xf>
    <xf numFmtId="0" fontId="16" fillId="10" borderId="4" xfId="0" applyFont="1" applyFill="1" applyBorder="1" applyAlignment="1">
      <alignment horizontal="left" vertical="top" wrapText="1"/>
    </xf>
    <xf numFmtId="0" fontId="2" fillId="10" borderId="17" xfId="0" applyFont="1" applyFill="1" applyBorder="1" applyAlignment="1">
      <alignment horizontal="left" vertical="top" wrapText="1"/>
    </xf>
    <xf numFmtId="0" fontId="0" fillId="10" borderId="17" xfId="0" applyFill="1" applyBorder="1" applyAlignment="1">
      <alignment horizontal="left" vertical="top" wrapText="1"/>
    </xf>
    <xf numFmtId="0" fontId="17" fillId="10" borderId="17" xfId="0" applyFont="1" applyFill="1" applyBorder="1" applyAlignment="1">
      <alignment horizontal="left" vertical="top" wrapText="1"/>
    </xf>
    <xf numFmtId="0" fontId="0" fillId="10" borderId="4" xfId="0" applyNumberFormat="1" applyFill="1" applyBorder="1" applyAlignment="1">
      <alignment horizontal="center" vertical="center"/>
    </xf>
    <xf numFmtId="0" fontId="16" fillId="10" borderId="8" xfId="0" applyFont="1" applyFill="1" applyBorder="1" applyAlignment="1">
      <alignment horizontal="center" vertical="center" wrapText="1"/>
    </xf>
    <xf numFmtId="0" fontId="0" fillId="10" borderId="8" xfId="0" applyNumberFormat="1" applyFill="1" applyBorder="1" applyAlignment="1">
      <alignment horizontal="center" vertical="center"/>
    </xf>
    <xf numFmtId="178" fontId="16" fillId="10" borderId="11" xfId="0" applyNumberFormat="1" applyFont="1" applyFill="1" applyBorder="1" applyAlignment="1">
      <alignment horizontal="center" vertical="center"/>
    </xf>
    <xf numFmtId="0" fontId="16" fillId="10" borderId="8" xfId="0" applyFont="1" applyFill="1" applyBorder="1" applyAlignment="1">
      <alignment horizontal="left" vertical="center" wrapText="1"/>
    </xf>
    <xf numFmtId="178" fontId="16" fillId="10" borderId="8" xfId="0" applyNumberFormat="1" applyFont="1" applyFill="1" applyBorder="1" applyAlignment="1">
      <alignment horizontal="center" vertical="center"/>
    </xf>
    <xf numFmtId="0" fontId="20" fillId="10" borderId="8" xfId="0" applyFont="1" applyFill="1" applyBorder="1" applyAlignment="1">
      <alignment horizontal="left" vertical="center" wrapText="1"/>
    </xf>
    <xf numFmtId="0" fontId="16" fillId="10" borderId="8" xfId="0" applyFont="1" applyFill="1" applyBorder="1" applyAlignment="1">
      <alignment horizontal="center" vertical="center"/>
    </xf>
    <xf numFmtId="178" fontId="16" fillId="10" borderId="8" xfId="0" applyNumberFormat="1" applyFont="1" applyFill="1" applyBorder="1" applyAlignment="1">
      <alignment horizontal="center" vertical="center" wrapText="1"/>
    </xf>
    <xf numFmtId="178" fontId="19" fillId="10" borderId="19" xfId="0" applyNumberFormat="1" applyFont="1" applyFill="1" applyBorder="1" applyAlignment="1">
      <alignment horizontal="center" vertical="center"/>
    </xf>
    <xf numFmtId="0" fontId="19" fillId="10" borderId="4" xfId="0" applyFont="1" applyFill="1" applyBorder="1" applyAlignment="1">
      <alignment horizontal="center" vertical="center" wrapText="1"/>
    </xf>
    <xf numFmtId="0" fontId="21" fillId="10" borderId="4" xfId="0" applyFont="1" applyFill="1" applyBorder="1" applyAlignment="1">
      <alignment horizontal="center" vertical="center"/>
    </xf>
    <xf numFmtId="178" fontId="19" fillId="10" borderId="17" xfId="0" applyNumberFormat="1" applyFont="1" applyFill="1" applyBorder="1" applyAlignment="1">
      <alignment horizontal="center" vertical="center"/>
    </xf>
    <xf numFmtId="0" fontId="19" fillId="10" borderId="8" xfId="0" applyFont="1" applyFill="1" applyBorder="1" applyAlignment="1">
      <alignment horizontal="center" vertical="center" wrapText="1"/>
    </xf>
    <xf numFmtId="0" fontId="21" fillId="10" borderId="8" xfId="0" applyFont="1" applyFill="1" applyBorder="1" applyAlignment="1">
      <alignment horizontal="center" vertical="center"/>
    </xf>
    <xf numFmtId="0" fontId="19" fillId="10" borderId="4" xfId="0" applyFont="1" applyFill="1" applyBorder="1" applyAlignment="1">
      <alignment horizontal="left" vertical="center" wrapText="1"/>
    </xf>
    <xf numFmtId="0" fontId="18" fillId="10" borderId="17" xfId="0" applyFont="1" applyFill="1" applyBorder="1" applyAlignment="1">
      <alignment horizontal="left" vertical="center" wrapText="1"/>
    </xf>
    <xf numFmtId="178" fontId="19" fillId="10" borderId="4" xfId="0" applyNumberFormat="1" applyFont="1" applyFill="1" applyBorder="1" applyAlignment="1">
      <alignment horizontal="center" vertical="center"/>
    </xf>
    <xf numFmtId="178" fontId="19" fillId="10" borderId="11" xfId="0" applyNumberFormat="1" applyFont="1" applyFill="1" applyBorder="1" applyAlignment="1">
      <alignment horizontal="center" vertical="center"/>
    </xf>
    <xf numFmtId="178" fontId="16" fillId="10" borderId="11" xfId="0" applyNumberFormat="1" applyFont="1" applyFill="1" applyBorder="1" applyAlignment="1">
      <alignment horizontal="left" vertical="center" wrapText="1"/>
    </xf>
    <xf numFmtId="178" fontId="16" fillId="10" borderId="17" xfId="0" applyNumberFormat="1" applyFont="1" applyFill="1" applyBorder="1" applyAlignment="1">
      <alignment horizontal="left" vertical="center" wrapText="1"/>
    </xf>
    <xf numFmtId="0" fontId="22" fillId="0" borderId="20" xfId="0" applyFont="1" applyBorder="1" applyAlignment="1">
      <alignment horizontal="center" vertical="center"/>
    </xf>
    <xf numFmtId="0" fontId="22" fillId="0" borderId="21" xfId="0" applyFont="1" applyBorder="1" applyAlignment="1">
      <alignment horizontal="center" vertical="center"/>
    </xf>
    <xf numFmtId="0" fontId="0" fillId="0" borderId="22" xfId="0" applyBorder="1"/>
    <xf numFmtId="0" fontId="0" fillId="0" borderId="0" xfId="0" applyBorder="1"/>
    <xf numFmtId="0" fontId="0" fillId="10" borderId="22" xfId="0" applyFill="1" applyBorder="1"/>
    <xf numFmtId="0" fontId="0" fillId="10" borderId="0" xfId="0" applyFill="1" applyBorder="1"/>
    <xf numFmtId="0" fontId="0" fillId="10" borderId="23" xfId="0" applyFill="1" applyBorder="1"/>
    <xf numFmtId="0" fontId="0" fillId="10" borderId="14" xfId="0" applyFill="1" applyBorder="1"/>
    <xf numFmtId="0" fontId="0" fillId="0" borderId="14" xfId="0" applyBorder="1"/>
    <xf numFmtId="0" fontId="0" fillId="0" borderId="24" xfId="0" applyBorder="1"/>
    <xf numFmtId="0" fontId="0" fillId="0" borderId="25" xfId="0" applyBorder="1"/>
    <xf numFmtId="0" fontId="22" fillId="0" borderId="26" xfId="0" applyFont="1" applyBorder="1" applyAlignment="1">
      <alignment horizontal="center" vertical="center"/>
    </xf>
  </cellXfs>
  <cellStyles count="16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2 2" xfId="50"/>
    <cellStyle name="Normal 3" xfId="51"/>
    <cellStyle name="Normal 3 10" xfId="52"/>
    <cellStyle name="Normal 3 10 2" xfId="53"/>
    <cellStyle name="Normal 3 10 2 2" xfId="54"/>
    <cellStyle name="Normal 3 10 3" xfId="55"/>
    <cellStyle name="Normal 3 10 3 2" xfId="56"/>
    <cellStyle name="Normal 3 10 4" xfId="57"/>
    <cellStyle name="Normal 3 10 4 2" xfId="58"/>
    <cellStyle name="Normal 3 10 5" xfId="59"/>
    <cellStyle name="Normal 3 11" xfId="60"/>
    <cellStyle name="Normal 3 11 2" xfId="61"/>
    <cellStyle name="Normal 3 12" xfId="62"/>
    <cellStyle name="Normal 3 12 2" xfId="63"/>
    <cellStyle name="Normal 3 13" xfId="64"/>
    <cellStyle name="Normal 3 13 2" xfId="65"/>
    <cellStyle name="Normal 3 14" xfId="66"/>
    <cellStyle name="Normal 3 14 2" xfId="67"/>
    <cellStyle name="Normal 3 15" xfId="68"/>
    <cellStyle name="Normal 3 2" xfId="69"/>
    <cellStyle name="Normal 3 2 2" xfId="70"/>
    <cellStyle name="Normal 3 2 2 2" xfId="71"/>
    <cellStyle name="Normal 3 2 2 2 2" xfId="72"/>
    <cellStyle name="Normal 3 2 2 3" xfId="73"/>
    <cellStyle name="Normal 3 2 2 3 2" xfId="74"/>
    <cellStyle name="Normal 3 2 2 4" xfId="75"/>
    <cellStyle name="Normal 3 2 2 4 2" xfId="76"/>
    <cellStyle name="Normal 3 2 2 5" xfId="77"/>
    <cellStyle name="Normal 3 2 2 5 2" xfId="78"/>
    <cellStyle name="Normal 3 2 2 6" xfId="79"/>
    <cellStyle name="Normal 3 2 3" xfId="80"/>
    <cellStyle name="Normal 3 2 3 2" xfId="81"/>
    <cellStyle name="Normal 3 2 3 2 2" xfId="82"/>
    <cellStyle name="Normal 3 2 3 3" xfId="83"/>
    <cellStyle name="Normal 3 2 3 3 2" xfId="84"/>
    <cellStyle name="Normal 3 2 3 4" xfId="85"/>
    <cellStyle name="Normal 3 2 3 4 2" xfId="86"/>
    <cellStyle name="Normal 3 2 3 5" xfId="87"/>
    <cellStyle name="Normal 3 2 4" xfId="88"/>
    <cellStyle name="Normal 3 2 4 2" xfId="89"/>
    <cellStyle name="Normal 3 2 4 2 2" xfId="90"/>
    <cellStyle name="Normal 3 2 4 3" xfId="91"/>
    <cellStyle name="Normal 3 2 4 3 2" xfId="92"/>
    <cellStyle name="Normal 3 2 4 4" xfId="93"/>
    <cellStyle name="Normal 3 2 4 4 2" xfId="94"/>
    <cellStyle name="Normal 3 2 4 5" xfId="95"/>
    <cellStyle name="Normal 3 2 5" xfId="96"/>
    <cellStyle name="Normal 3 2 5 2" xfId="97"/>
    <cellStyle name="Normal 3 2 6" xfId="98"/>
    <cellStyle name="Normal 3 2 6 2" xfId="99"/>
    <cellStyle name="Normal 3 2 7" xfId="100"/>
    <cellStyle name="Normal 3 2 7 2" xfId="101"/>
    <cellStyle name="Normal 3 2 8" xfId="102"/>
    <cellStyle name="Normal 3 2 8 2" xfId="103"/>
    <cellStyle name="Normal 3 2 9" xfId="104"/>
    <cellStyle name="Normal 3 3" xfId="105"/>
    <cellStyle name="Normal 3 3 2" xfId="106"/>
    <cellStyle name="Normal 3 3 2 2" xfId="107"/>
    <cellStyle name="Normal 3 3 3" xfId="108"/>
    <cellStyle name="Normal 3 3 3 2" xfId="109"/>
    <cellStyle name="Normal 3 3 4" xfId="110"/>
    <cellStyle name="Normal 3 3 4 2" xfId="111"/>
    <cellStyle name="Normal 3 3 5" xfId="112"/>
    <cellStyle name="Normal 3 3 5 2" xfId="113"/>
    <cellStyle name="Normal 3 3 6" xfId="114"/>
    <cellStyle name="Normal 3 4" xfId="115"/>
    <cellStyle name="Normal 3 4 2" xfId="116"/>
    <cellStyle name="Normal 3 4 2 2" xfId="117"/>
    <cellStyle name="Normal 3 4 3" xfId="118"/>
    <cellStyle name="Normal 3 4 3 2" xfId="119"/>
    <cellStyle name="Normal 3 4 4" xfId="120"/>
    <cellStyle name="Normal 3 4 4 2" xfId="121"/>
    <cellStyle name="Normal 3 4 5" xfId="122"/>
    <cellStyle name="Normal 3 5" xfId="123"/>
    <cellStyle name="Normal 3 5 2" xfId="124"/>
    <cellStyle name="Normal 3 5 2 2" xfId="125"/>
    <cellStyle name="Normal 3 5 3" xfId="126"/>
    <cellStyle name="Normal 3 5 3 2" xfId="127"/>
    <cellStyle name="Normal 3 5 4" xfId="128"/>
    <cellStyle name="Normal 3 5 4 2" xfId="129"/>
    <cellStyle name="Normal 3 5 5" xfId="130"/>
    <cellStyle name="Normal 3 6" xfId="131"/>
    <cellStyle name="Normal 3 6 2" xfId="132"/>
    <cellStyle name="Normal 3 6 2 2" xfId="133"/>
    <cellStyle name="Normal 3 6 3" xfId="134"/>
    <cellStyle name="Normal 3 6 3 2" xfId="135"/>
    <cellStyle name="Normal 3 6 4" xfId="136"/>
    <cellStyle name="Normal 3 6 4 2" xfId="137"/>
    <cellStyle name="Normal 3 6 5" xfId="138"/>
    <cellStyle name="Normal 3 7" xfId="139"/>
    <cellStyle name="Normal 3 7 2" xfId="140"/>
    <cellStyle name="Normal 3 7 2 2" xfId="141"/>
    <cellStyle name="Normal 3 7 3" xfId="142"/>
    <cellStyle name="Normal 3 7 3 2" xfId="143"/>
    <cellStyle name="Normal 3 7 4" xfId="144"/>
    <cellStyle name="Normal 3 7 4 2" xfId="145"/>
    <cellStyle name="Normal 3 7 5" xfId="146"/>
    <cellStyle name="Normal 3 8" xfId="147"/>
    <cellStyle name="Normal 3 8 2" xfId="148"/>
    <cellStyle name="Normal 3 8 2 2" xfId="149"/>
    <cellStyle name="Normal 3 8 3" xfId="150"/>
    <cellStyle name="Normal 3 8 3 2" xfId="151"/>
    <cellStyle name="Normal 3 8 4" xfId="152"/>
    <cellStyle name="Normal 3 8 4 2" xfId="153"/>
    <cellStyle name="Normal 3 8 5" xfId="154"/>
    <cellStyle name="Normal 3 9" xfId="155"/>
    <cellStyle name="Normal 3 9 2" xfId="156"/>
    <cellStyle name="Normal 3 9 2 2" xfId="157"/>
    <cellStyle name="Normal 3 9 3" xfId="158"/>
    <cellStyle name="Normal 3 9 3 2" xfId="159"/>
    <cellStyle name="Normal 3 9 4" xfId="160"/>
    <cellStyle name="Normal 3 9 4 2" xfId="161"/>
    <cellStyle name="Normal 3 9 5" xfId="162"/>
    <cellStyle name="Normal 4" xfId="163"/>
    <cellStyle name="Normal 4 2" xfId="164"/>
    <cellStyle name="Percent 2" xfId="165"/>
    <cellStyle name="Style 1" xfId="166"/>
    <cellStyle name="Style 1 2" xfId="167"/>
    <cellStyle name="Style 1 3" xfId="168"/>
  </cellStyles>
  <dxfs count="87">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left"/>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ont>
        <name val="Arial"/>
        <scheme val="none"/>
        <b val="1"/>
        <strike val="0"/>
        <u val="none"/>
        <sz val="10"/>
        <color rgb="FFFFC000"/>
      </font>
      <fill>
        <patternFill patternType="solid">
          <bgColor theme="1" tint="0.149998474074526"/>
        </patternFill>
      </fill>
      <alignment horizontal="center" vertical="center"/>
      <border>
        <left style="thin">
          <color auto="1"/>
        </left>
        <right style="thin">
          <color auto="1"/>
        </right>
        <top style="thin">
          <color auto="1"/>
        </top>
        <bottom style="thin">
          <color auto="1"/>
        </bottom>
      </border>
    </dxf>
    <dxf>
      <fill>
        <patternFill patternType="solid">
          <bgColor theme="0"/>
        </patternFill>
      </fill>
      <alignment vertical="center"/>
      <border>
        <left/>
        <right style="thin">
          <color auto="1"/>
        </right>
        <top style="thin">
          <color auto="1"/>
        </top>
        <bottom style="thin">
          <color auto="1"/>
        </bottom>
      </border>
    </dxf>
    <dxf>
      <fill>
        <patternFill patternType="solid">
          <bgColor theme="0"/>
        </patternFill>
      </fill>
      <alignment horizontal="center" vertical="center" wrapText="1"/>
      <border>
        <left style="thin">
          <color auto="1"/>
        </left>
        <right style="thin">
          <color auto="1"/>
        </right>
        <top style="thin">
          <color auto="1"/>
        </top>
        <bottom style="thin">
          <color auto="1"/>
        </bottom>
      </border>
    </dxf>
    <dxf>
      <fill>
        <patternFill patternType="solid">
          <bgColor theme="0"/>
        </patternFill>
      </fill>
      <alignment horizontal="center" vertical="center"/>
      <border>
        <left style="thin">
          <color auto="1"/>
        </left>
        <right style="thin">
          <color auto="1"/>
        </right>
        <top style="thin">
          <color auto="1"/>
        </top>
        <bottom style="thin">
          <color auto="1"/>
        </bottom>
      </border>
    </dxf>
    <dxf>
      <fill>
        <patternFill patternType="solid">
          <bgColor theme="0"/>
        </patternFill>
      </fill>
      <alignment horizontal="center" vertical="center"/>
      <border>
        <left style="thin">
          <color auto="1"/>
        </left>
        <right style="thin">
          <color auto="1"/>
        </right>
        <top style="thin">
          <color auto="1"/>
        </top>
        <bottom style="thin">
          <color auto="1"/>
        </bottom>
      </border>
    </dxf>
    <dxf>
      <numFmt numFmtId="0" formatCode="General"/>
      <fill>
        <patternFill patternType="solid">
          <bgColor theme="0"/>
        </patternFill>
      </fill>
      <alignment horizontal="center" vertical="center"/>
      <border>
        <left style="thin">
          <color auto="1"/>
        </left>
        <right style="thin">
          <color auto="1"/>
        </right>
        <top style="thin">
          <color auto="1"/>
        </top>
        <bottom style="thin">
          <color auto="1"/>
        </bottom>
      </border>
    </dxf>
    <dxf>
      <fill>
        <patternFill patternType="solid">
          <bgColor theme="0"/>
        </patternFill>
      </fill>
      <alignment horizontal="center" vertical="center"/>
      <border>
        <left style="thin">
          <color auto="1"/>
        </left>
        <right style="thin">
          <color auto="1"/>
        </right>
        <top style="thin">
          <color auto="1"/>
        </top>
        <bottom style="thin">
          <color auto="1"/>
        </bottom>
      </border>
    </dxf>
    <dxf>
      <fill>
        <patternFill patternType="solid">
          <bgColor theme="0"/>
        </patternFill>
      </fill>
      <alignment horizontal="center" vertical="center"/>
      <border>
        <left style="thin">
          <color auto="1"/>
        </left>
        <right style="thin">
          <color auto="1"/>
        </right>
        <top style="thin">
          <color auto="1"/>
        </top>
        <bottom style="thin">
          <color auto="1"/>
        </bottom>
      </border>
    </dxf>
    <dxf>
      <fill>
        <patternFill patternType="solid">
          <bgColor theme="0"/>
        </patternFill>
      </fill>
      <alignment horizontal="left" vertical="center" wrapText="1"/>
      <border>
        <left style="thin">
          <color auto="1"/>
        </left>
        <right style="thin">
          <color auto="1"/>
        </right>
        <top style="thin">
          <color auto="1"/>
        </top>
        <bottom style="thin">
          <color auto="1"/>
        </bottom>
      </border>
    </dxf>
    <dxf>
      <fill>
        <patternFill patternType="solid">
          <bgColor theme="0"/>
        </patternFill>
      </fill>
      <alignment horizontal="center" vertical="center"/>
      <border>
        <left style="thin">
          <color auto="1"/>
        </left>
        <right style="thin">
          <color auto="1"/>
        </right>
        <top style="thin">
          <color auto="1"/>
        </top>
        <bottom style="thin">
          <color auto="1"/>
        </bottom>
      </border>
    </dxf>
    <dxf>
      <font>
        <family val="2"/>
        <sz val="11"/>
      </font>
      <numFmt numFmtId="178" formatCode="[$-F800]dddd\,\ mmmm\ dd\,\ yyyy"/>
      <fill>
        <patternFill patternType="solid">
          <bgColor theme="0"/>
        </patternFill>
      </fill>
      <alignment horizontal="left" vertical="center" wrapText="1"/>
      <border>
        <left style="thin">
          <color auto="1"/>
        </left>
        <right style="thin">
          <color auto="1"/>
        </right>
        <top style="thin">
          <color auto="1"/>
        </top>
        <bottom style="thin">
          <color auto="1"/>
        </bottom>
      </border>
    </dxf>
    <dxf>
      <fill>
        <patternFill patternType="solid">
          <bgColor theme="0"/>
        </patternFill>
      </fill>
      <alignment horizontal="left" vertical="center" wrapText="1"/>
      <border>
        <left/>
        <right style="thin">
          <color auto="1"/>
        </right>
        <top style="thin">
          <color auto="1"/>
        </top>
        <bottom style="thin">
          <color auto="1"/>
        </bottom>
      </border>
    </dxf>
    <dxf>
      <fill>
        <patternFill patternType="solid">
          <bgColor theme="0"/>
        </patternFill>
      </fill>
      <alignment horizontal="center" vertical="center"/>
      <border>
        <left style="thin">
          <color auto="1"/>
        </left>
        <right style="thin">
          <color auto="1"/>
        </right>
        <top style="thin">
          <color auto="1"/>
        </top>
        <bottom style="thin">
          <color auto="1"/>
        </bottom>
      </border>
    </dxf>
    <dxf>
      <fill>
        <patternFill patternType="solid">
          <bgColor theme="0"/>
        </patternFill>
      </fill>
      <alignment horizontal="center" vertical="center"/>
      <border>
        <left style="thin">
          <color auto="1"/>
        </left>
        <right style="thin">
          <color auto="1"/>
        </right>
        <top style="thin">
          <color auto="1"/>
        </top>
        <bottom style="thin">
          <color auto="1"/>
        </bottom>
      </border>
    </dxf>
    <dxf>
      <fill>
        <patternFill patternType="solid">
          <bgColor theme="0"/>
        </patternFill>
      </fill>
      <alignment horizontal="center" vertical="center" wrapText="1"/>
      <border>
        <left style="thin">
          <color auto="1"/>
        </left>
        <right style="thin">
          <color auto="1"/>
        </right>
        <top style="thin">
          <color auto="1"/>
        </top>
        <bottom style="thin">
          <color auto="1"/>
        </bottom>
      </border>
    </dxf>
    <dxf>
      <numFmt numFmtId="178" formatCode="[$-F800]dddd\,\ mmmm\ dd\,\ yyyy"/>
      <fill>
        <patternFill patternType="solid">
          <bgColor theme="0"/>
        </patternFill>
      </fill>
      <alignment horizontal="center" vertical="center"/>
      <border>
        <left style="thin">
          <color auto="1"/>
        </left>
        <right style="thin">
          <color auto="1"/>
        </right>
        <top style="thin">
          <color auto="1"/>
        </top>
        <bottom style="thin">
          <color auto="1"/>
        </bottom>
      </border>
    </dxf>
    <dxf>
      <fill>
        <patternFill patternType="solid">
          <bgColor theme="0"/>
        </patternFill>
      </fill>
      <alignment horizontal="center" vertical="center"/>
      <border>
        <left style="thin">
          <color auto="1"/>
        </left>
        <right style="thin">
          <color auto="1"/>
        </right>
        <top style="thin">
          <color auto="1"/>
        </top>
        <bottom style="thin">
          <color auto="1"/>
        </bottom>
      </border>
    </dxf>
    <dxf>
      <fill>
        <patternFill patternType="solid">
          <bgColor theme="0"/>
        </patternFill>
      </fill>
      <alignment horizontal="center" vertical="center"/>
      <border>
        <left style="thin">
          <color auto="1"/>
        </left>
        <right style="thin">
          <color auto="1"/>
        </right>
        <top style="thin">
          <color auto="1"/>
        </top>
        <bottom style="thin">
          <color auto="1"/>
        </bottom>
      </border>
    </dxf>
    <dxf>
      <font>
        <color rgb="FF006100"/>
      </font>
      <fill>
        <patternFill patternType="solid">
          <bgColor rgb="FFC6EFCE"/>
        </patternFill>
      </fill>
    </dxf>
    <dxf>
      <font>
        <color rgb="FF9C5700"/>
      </font>
      <fill>
        <patternFill patternType="solid">
          <bgColor rgb="FFFFEB9C"/>
        </patternFill>
      </fill>
    </dxf>
    <dxf>
      <font>
        <color rgb="FF9C0006"/>
      </font>
      <fill>
        <patternFill patternType="solid">
          <bgColor rgb="FFFFC7CE"/>
        </patternFill>
      </fill>
    </dxf>
    <dxf>
      <fill>
        <patternFill patternType="solid">
          <bgColor rgb="FFFF0000"/>
        </patternFill>
      </fill>
    </dxf>
    <dxf>
      <font>
        <b val="0"/>
        <i val="0"/>
        <color theme="1"/>
      </font>
      <numFmt numFmtId="0" formatCode="General"/>
      <fill>
        <patternFill patternType="solid">
          <fgColor rgb="FF00B0F0"/>
          <bgColor rgb="FF00B0F0"/>
        </patternFill>
      </fill>
      <border>
        <left style="thin">
          <color auto="1"/>
        </left>
        <right style="thin">
          <color auto="1"/>
        </right>
        <top style="thin">
          <color auto="1"/>
        </top>
        <bottom style="thin">
          <color auto="1"/>
        </bottom>
      </border>
    </dxf>
    <dxf>
      <fill>
        <patternFill patternType="solid">
          <bgColor rgb="FFFFC000"/>
        </patternFill>
      </fill>
    </dxf>
  </dxfs>
  <tableStyles count="1" defaultTableStyle="TableStyleMedium9" defaultPivotStyle="PivotStyleLight16">
    <tableStyle name="Slicer Style 1" pivot="0" table="0" count="0" xr9:uid="{75A16CD1-FFB9-4EB7-BCB9-4A4B27A381A4}"/>
  </tableStyles>
  <colors>
    <mruColors>
      <color rgb="00FFD5D5"/>
      <color rgb="009A3836"/>
      <color rgb="00007E39"/>
      <color rgb="00680000"/>
      <color rgb="00820000"/>
      <color rgb="00DE0000"/>
      <color rgb="00FFB7B7"/>
      <color rgb="00FF4F4F"/>
      <color rgb="00C4E59F"/>
      <color rgb="0000B0F0"/>
    </mruColors>
  </colors>
  <extLst>
    <ext xmlns:x14="http://schemas.microsoft.com/office/spreadsheetml/2009/9/main" uri="{EB79DEF2-80B8-43e5-95BD-54CBDDF9020C}">
      <x14:slicerStyles defaultSlicerStyle="SlicerStyleLight1">
        <x14:slicerStyle name="Slicer Style 1"/>
      </x14:slicerStyles>
    </ext>
  </extLst>
</styleSheet>
</file>

<file path=xl/_rels/workbook.xml.rels><?xml version="1.0" encoding="UTF-8" standalone="yes"?>
<Relationships xmlns="http://schemas.openxmlformats.org/package/2006/relationships"><Relationship Id="rId9" Type="http://schemas.microsoft.com/office/2007/relationships/slicerCache" Target="slicerCaches/slicerCache1.xml"/><Relationship Id="rId8" Type="http://schemas.openxmlformats.org/officeDocument/2006/relationships/pivotCacheDefinition" Target="pivotCache/pivotCacheDefinition1.xml"/><Relationship Id="rId7" Type="http://schemas.openxmlformats.org/officeDocument/2006/relationships/customXml" Target="../customXml/item3.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eetMetadata" Target="metadata.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Bay.xlsx]Tables!PivotTable12</c:name>
    <c:fmtId val="28"/>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Area /</a:t>
            </a:r>
            <a:r>
              <a:rPr lang="en-US" baseline="0"/>
              <a:t> Location</a:t>
            </a:r>
            <a:endParaRPr lang="en-US" baseline="0"/>
          </a:p>
        </c:rich>
      </c:tx>
      <c:layout>
        <c:manualLayout>
          <c:xMode val="edge"/>
          <c:yMode val="edge"/>
          <c:x val="0.812584106157423"/>
          <c:y val="0.0335280569406146"/>
        </c:manualLayout>
      </c:layout>
      <c:overlay val="1"/>
      <c:spPr>
        <a:noFill/>
        <a:ln>
          <a:noFill/>
        </a:ln>
        <a:effectLst/>
      </c:spPr>
    </c:title>
    <c:autoTitleDeleted val="0"/>
    <c:plotArea>
      <c:layout/>
      <c:barChart>
        <c:barDir val="col"/>
        <c:grouping val="clustered"/>
        <c:varyColors val="0"/>
        <c:ser>
          <c:idx val="0"/>
          <c:order val="0"/>
          <c:tx>
            <c:strRef>
              <c:f>Tables!$M$34:$M$35</c:f>
              <c:strCache>
                <c:ptCount val="1"/>
                <c:pt idx="0">
                  <c:v>Safe Act/ Condition</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Tables!$L$36:$L$50</c:f>
              <c:strCache>
                <c:ptCount val="14"/>
                <c:pt idx="0">
                  <c:v>Workshop 1</c:v>
                </c:pt>
                <c:pt idx="1">
                  <c:v>Workshop 2</c:v>
                </c:pt>
                <c:pt idx="2">
                  <c:v>Workshop 3</c:v>
                </c:pt>
                <c:pt idx="3">
                  <c:v>Workshop 7</c:v>
                </c:pt>
                <c:pt idx="4">
                  <c:v>Open Area 1</c:v>
                </c:pt>
                <c:pt idx="5">
                  <c:v>Open Area 3</c:v>
                </c:pt>
                <c:pt idx="6">
                  <c:v>Zeit bay</c:v>
                </c:pt>
                <c:pt idx="7">
                  <c:v>Blasting &amp; Painting</c:v>
                </c:pt>
                <c:pt idx="8">
                  <c:v>Open Area 2</c:v>
                </c:pt>
                <c:pt idx="9">
                  <c:v>Workshop 4</c:v>
                </c:pt>
                <c:pt idx="10">
                  <c:v>Open Area 4</c:v>
                </c:pt>
                <c:pt idx="11">
                  <c:v>Warehouse 2</c:v>
                </c:pt>
                <c:pt idx="12">
                  <c:v>Workshop 5</c:v>
                </c:pt>
                <c:pt idx="13">
                  <c:v>Open Area 5</c:v>
                </c:pt>
              </c:strCache>
            </c:strRef>
          </c:cat>
          <c:val>
            <c:numRef>
              <c:f>Tables!$M$36:$M$50</c:f>
              <c:numCache>
                <c:formatCode>General</c:formatCode>
                <c:ptCount val="14"/>
                <c:pt idx="0">
                  <c:v>4</c:v>
                </c:pt>
                <c:pt idx="1">
                  <c:v>2</c:v>
                </c:pt>
                <c:pt idx="2">
                  <c:v>1</c:v>
                </c:pt>
                <c:pt idx="3">
                  <c:v>2</c:v>
                </c:pt>
                <c:pt idx="4">
                  <c:v>6</c:v>
                </c:pt>
                <c:pt idx="5">
                  <c:v>3</c:v>
                </c:pt>
                <c:pt idx="6">
                  <c:v>1</c:v>
                </c:pt>
                <c:pt idx="8">
                  <c:v>2</c:v>
                </c:pt>
                <c:pt idx="9">
                  <c:v>1</c:v>
                </c:pt>
                <c:pt idx="10">
                  <c:v>2</c:v>
                </c:pt>
                <c:pt idx="11">
                  <c:v>1</c:v>
                </c:pt>
                <c:pt idx="13">
                  <c:v>2</c:v>
                </c:pt>
              </c:numCache>
            </c:numRef>
          </c:val>
        </c:ser>
        <c:ser>
          <c:idx val="1"/>
          <c:order val="1"/>
          <c:tx>
            <c:strRef>
              <c:f>Tables!$N$34:$N$35</c:f>
              <c:strCache>
                <c:ptCount val="1"/>
                <c:pt idx="0">
                  <c:v>Unsafe Act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Tables!$L$36:$L$50</c:f>
              <c:strCache>
                <c:ptCount val="14"/>
                <c:pt idx="0">
                  <c:v>Workshop 1</c:v>
                </c:pt>
                <c:pt idx="1">
                  <c:v>Workshop 2</c:v>
                </c:pt>
                <c:pt idx="2">
                  <c:v>Workshop 3</c:v>
                </c:pt>
                <c:pt idx="3">
                  <c:v>Workshop 7</c:v>
                </c:pt>
                <c:pt idx="4">
                  <c:v>Open Area 1</c:v>
                </c:pt>
                <c:pt idx="5">
                  <c:v>Open Area 3</c:v>
                </c:pt>
                <c:pt idx="6">
                  <c:v>Zeit bay</c:v>
                </c:pt>
                <c:pt idx="7">
                  <c:v>Blasting &amp; Painting</c:v>
                </c:pt>
                <c:pt idx="8">
                  <c:v>Open Area 2</c:v>
                </c:pt>
                <c:pt idx="9">
                  <c:v>Workshop 4</c:v>
                </c:pt>
                <c:pt idx="10">
                  <c:v>Open Area 4</c:v>
                </c:pt>
                <c:pt idx="11">
                  <c:v>Warehouse 2</c:v>
                </c:pt>
                <c:pt idx="12">
                  <c:v>Workshop 5</c:v>
                </c:pt>
                <c:pt idx="13">
                  <c:v>Open Area 5</c:v>
                </c:pt>
              </c:strCache>
            </c:strRef>
          </c:cat>
          <c:val>
            <c:numRef>
              <c:f>Tables!$N$36:$N$50</c:f>
              <c:numCache>
                <c:formatCode>General</c:formatCode>
                <c:ptCount val="14"/>
                <c:pt idx="0">
                  <c:v>5</c:v>
                </c:pt>
                <c:pt idx="1">
                  <c:v>6</c:v>
                </c:pt>
                <c:pt idx="4">
                  <c:v>3</c:v>
                </c:pt>
                <c:pt idx="5">
                  <c:v>3</c:v>
                </c:pt>
                <c:pt idx="6">
                  <c:v>1</c:v>
                </c:pt>
                <c:pt idx="7">
                  <c:v>3</c:v>
                </c:pt>
                <c:pt idx="8">
                  <c:v>6</c:v>
                </c:pt>
                <c:pt idx="9">
                  <c:v>1</c:v>
                </c:pt>
                <c:pt idx="10">
                  <c:v>3</c:v>
                </c:pt>
                <c:pt idx="12">
                  <c:v>1</c:v>
                </c:pt>
                <c:pt idx="13">
                  <c:v>5</c:v>
                </c:pt>
              </c:numCache>
            </c:numRef>
          </c:val>
        </c:ser>
        <c:ser>
          <c:idx val="2"/>
          <c:order val="2"/>
          <c:tx>
            <c:strRef>
              <c:f>Tables!$O$34:$O$35</c:f>
              <c:strCache>
                <c:ptCount val="1"/>
                <c:pt idx="0">
                  <c:v>Unsafe Condition</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Tables!$L$36:$L$50</c:f>
              <c:strCache>
                <c:ptCount val="14"/>
                <c:pt idx="0">
                  <c:v>Workshop 1</c:v>
                </c:pt>
                <c:pt idx="1">
                  <c:v>Workshop 2</c:v>
                </c:pt>
                <c:pt idx="2">
                  <c:v>Workshop 3</c:v>
                </c:pt>
                <c:pt idx="3">
                  <c:v>Workshop 7</c:v>
                </c:pt>
                <c:pt idx="4">
                  <c:v>Open Area 1</c:v>
                </c:pt>
                <c:pt idx="5">
                  <c:v>Open Area 3</c:v>
                </c:pt>
                <c:pt idx="6">
                  <c:v>Zeit bay</c:v>
                </c:pt>
                <c:pt idx="7">
                  <c:v>Blasting &amp; Painting</c:v>
                </c:pt>
                <c:pt idx="8">
                  <c:v>Open Area 2</c:v>
                </c:pt>
                <c:pt idx="9">
                  <c:v>Workshop 4</c:v>
                </c:pt>
                <c:pt idx="10">
                  <c:v>Open Area 4</c:v>
                </c:pt>
                <c:pt idx="11">
                  <c:v>Warehouse 2</c:v>
                </c:pt>
                <c:pt idx="12">
                  <c:v>Workshop 5</c:v>
                </c:pt>
                <c:pt idx="13">
                  <c:v>Open Area 5</c:v>
                </c:pt>
              </c:strCache>
            </c:strRef>
          </c:cat>
          <c:val>
            <c:numRef>
              <c:f>Tables!$O$36:$O$50</c:f>
              <c:numCache>
                <c:formatCode>General</c:formatCode>
                <c:ptCount val="14"/>
                <c:pt idx="0">
                  <c:v>5</c:v>
                </c:pt>
                <c:pt idx="1">
                  <c:v>8</c:v>
                </c:pt>
                <c:pt idx="2">
                  <c:v>5</c:v>
                </c:pt>
                <c:pt idx="3">
                  <c:v>5</c:v>
                </c:pt>
                <c:pt idx="4">
                  <c:v>7</c:v>
                </c:pt>
                <c:pt idx="5">
                  <c:v>10</c:v>
                </c:pt>
                <c:pt idx="6">
                  <c:v>3</c:v>
                </c:pt>
                <c:pt idx="7">
                  <c:v>6</c:v>
                </c:pt>
                <c:pt idx="8">
                  <c:v>12</c:v>
                </c:pt>
                <c:pt idx="9">
                  <c:v>3</c:v>
                </c:pt>
                <c:pt idx="10">
                  <c:v>3</c:v>
                </c:pt>
                <c:pt idx="13">
                  <c:v>12</c:v>
                </c:pt>
              </c:numCache>
            </c:numRef>
          </c:val>
        </c:ser>
        <c:dLbls>
          <c:showLegendKey val="0"/>
          <c:showVal val="0"/>
          <c:showCatName val="0"/>
          <c:showSerName val="0"/>
          <c:showPercent val="0"/>
          <c:showBubbleSize val="0"/>
        </c:dLbls>
        <c:gapWidth val="102"/>
        <c:axId val="1159927760"/>
        <c:axId val="1159930640"/>
      </c:barChart>
      <c:catAx>
        <c:axId val="115992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59930640"/>
        <c:crosses val="autoZero"/>
        <c:auto val="1"/>
        <c:lblAlgn val="ctr"/>
        <c:lblOffset val="100"/>
        <c:noMultiLvlLbl val="0"/>
      </c:catAx>
      <c:valAx>
        <c:axId val="115993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59927760"/>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4dd9934-cf15-4d12-95b9-b5979a31a5e5}"/>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Bay.xlsx]Tables!PivotTable6</c:name>
    <c:fmtId val="8"/>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sz="1200"/>
              <a:t>Action Taken</a:t>
            </a:r>
            <a:endParaRPr lang="en-US" sz="1200"/>
          </a:p>
        </c:rich>
      </c:tx>
      <c:layout/>
      <c:overlay val="0"/>
      <c:spPr>
        <a:noFill/>
        <a:ln>
          <a:noFill/>
        </a:ln>
        <a:effectLst/>
      </c:spPr>
    </c:title>
    <c:autoTitleDeleted val="0"/>
    <c:plotArea>
      <c:layout/>
      <c:barChart>
        <c:barDir val="bar"/>
        <c:grouping val="stacked"/>
        <c:varyColors val="0"/>
        <c:ser>
          <c:idx val="0"/>
          <c:order val="0"/>
          <c:tx>
            <c:strRef>
              <c:f>Tables!$C$100</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Tables!$B$101:$B$106</c:f>
              <c:strCache>
                <c:ptCount val="5"/>
                <c:pt idx="0">
                  <c:v>I corrected the problem</c:v>
                </c:pt>
                <c:pt idx="1">
                  <c:v>I provided positive feedback</c:v>
                </c:pt>
                <c:pt idx="2">
                  <c:v>I reported observation to HSSEQ</c:v>
                </c:pt>
                <c:pt idx="3">
                  <c:v>I stopped the job</c:v>
                </c:pt>
                <c:pt idx="4">
                  <c:v>I took a safety intervention</c:v>
                </c:pt>
              </c:strCache>
            </c:strRef>
          </c:cat>
          <c:val>
            <c:numRef>
              <c:f>Tables!$C$101:$C$106</c:f>
              <c:numCache>
                <c:formatCode>General</c:formatCode>
                <c:ptCount val="5"/>
                <c:pt idx="0">
                  <c:v>33</c:v>
                </c:pt>
                <c:pt idx="1">
                  <c:v>27</c:v>
                </c:pt>
                <c:pt idx="2">
                  <c:v>15</c:v>
                </c:pt>
                <c:pt idx="3">
                  <c:v>17</c:v>
                </c:pt>
                <c:pt idx="4">
                  <c:v>51</c:v>
                </c:pt>
              </c:numCache>
            </c:numRef>
          </c:val>
        </c:ser>
        <c:dLbls>
          <c:showLegendKey val="0"/>
          <c:showVal val="0"/>
          <c:showCatName val="0"/>
          <c:showSerName val="0"/>
          <c:showPercent val="0"/>
          <c:showBubbleSize val="0"/>
        </c:dLbls>
        <c:gapWidth val="150"/>
        <c:overlap val="100"/>
        <c:axId val="735041296"/>
        <c:axId val="735040336"/>
      </c:barChart>
      <c:catAx>
        <c:axId val="735041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35040336"/>
        <c:crosses val="autoZero"/>
        <c:auto val="1"/>
        <c:lblAlgn val="ctr"/>
        <c:lblOffset val="100"/>
        <c:noMultiLvlLbl val="0"/>
      </c:catAx>
      <c:valAx>
        <c:axId val="73504033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35041296"/>
        <c:crosses val="autoZero"/>
        <c:crossBetween val="between"/>
      </c:valAx>
      <c:spPr>
        <a:noFill/>
        <a:ln>
          <a:noFill/>
        </a:ln>
        <a:effectLst/>
      </c:spPr>
    </c:plotArea>
    <c:plotVisOnly val="1"/>
    <c:dispBlanksAs val="gap"/>
    <c:showDLblsOverMax val="0"/>
    <c:extLst>
      <c:ext uri="{0b15fc19-7d7d-44ad-8c2d-2c3a37ce22c3}">
        <chartProps xmlns="https://web.wps.cn/et/2018/main" chartId="{1408190b-33a6-4f4d-8517-e109262c48bb}"/>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Bay.xlsx]Tables!PivotTable5</c:name>
    <c:fmtId val="14"/>
  </c:pivotSource>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Observation Type</a:t>
            </a:r>
            <a:endParaRPr lang="en-US"/>
          </a:p>
        </c:rich>
      </c:tx>
      <c:layout>
        <c:manualLayout>
          <c:xMode val="edge"/>
          <c:yMode val="edge"/>
          <c:x val="0.778814427870253"/>
          <c:y val="0.0206906910785536"/>
        </c:manualLayout>
      </c:layout>
      <c:overlay val="1"/>
      <c:spPr>
        <a:noFill/>
        <a:ln>
          <a:noFill/>
        </a:ln>
        <a:effectLst/>
      </c:spPr>
    </c:title>
    <c:autoTitleDeleted val="0"/>
    <c:plotArea>
      <c:layout>
        <c:manualLayout>
          <c:layoutTarget val="inner"/>
          <c:xMode val="edge"/>
          <c:yMode val="edge"/>
          <c:x val="0.295634529769294"/>
          <c:y val="0.0934963024831413"/>
          <c:w val="0.683563973833296"/>
          <c:h val="0.873089951144654"/>
        </c:manualLayout>
      </c:layout>
      <c:barChart>
        <c:barDir val="bar"/>
        <c:grouping val="clustered"/>
        <c:varyColors val="0"/>
        <c:ser>
          <c:idx val="0"/>
          <c:order val="0"/>
          <c:tx>
            <c:strRef>
              <c:f>Tables!$S$68</c:f>
              <c:strCache>
                <c:ptCount val="1"/>
                <c:pt idx="0">
                  <c:v>Total</c:v>
                </c:pt>
              </c:strCache>
            </c:strRef>
          </c:tx>
          <c:spPr>
            <a:solidFill>
              <a:schemeClr val="accent1"/>
            </a:solidFill>
            <a:ln>
              <a:noFill/>
            </a:ln>
            <a:effectLst/>
          </c:spPr>
          <c:invertIfNegative val="0"/>
          <c:dPt>
            <c:idx val="1"/>
            <c:invertIfNegative val="0"/>
            <c:bubble3D val="0"/>
          </c:dPt>
          <c:dPt>
            <c:idx val="2"/>
            <c:invertIfNegative val="0"/>
            <c:bubble3D val="0"/>
          </c:dPt>
          <c:dPt>
            <c:idx val="3"/>
            <c:invertIfNegative val="0"/>
            <c:bubble3D val="0"/>
          </c:dPt>
          <c:dPt>
            <c:idx val="4"/>
            <c:invertIfNegative val="0"/>
            <c:bubble3D val="0"/>
          </c:dPt>
          <c:dPt>
            <c:idx val="5"/>
            <c:invertIfNegative val="0"/>
            <c:bubble3D val="0"/>
          </c:dPt>
          <c:dPt>
            <c:idx val="6"/>
            <c:invertIfNegative val="0"/>
            <c:bubble3D val="0"/>
          </c:dPt>
          <c:dPt>
            <c:idx val="7"/>
            <c:invertIfNegative val="0"/>
            <c:bubble3D val="0"/>
            <c:spPr>
              <a:solidFill>
                <a:srgbClr val="C00000"/>
              </a:solidFill>
              <a:ln>
                <a:noFill/>
              </a:ln>
              <a:effectLst/>
            </c:spPr>
          </c:dPt>
          <c:dPt>
            <c:idx val="8"/>
            <c:invertIfNegative val="0"/>
            <c:bubble3D val="0"/>
            <c:spPr>
              <a:solidFill>
                <a:srgbClr val="C00000"/>
              </a:solidFill>
              <a:ln>
                <a:noFill/>
              </a:ln>
              <a:effectLst/>
            </c:spPr>
          </c:dPt>
          <c:dPt>
            <c:idx val="9"/>
            <c:invertIfNegative val="0"/>
            <c:bubble3D val="0"/>
            <c:spPr>
              <a:solidFill>
                <a:srgbClr val="C00000"/>
              </a:solidFill>
              <a:ln>
                <a:noFill/>
              </a:ln>
              <a:effectLst/>
            </c:spPr>
          </c:dPt>
          <c:dPt>
            <c:idx val="10"/>
            <c:invertIfNegative val="0"/>
            <c:bubble3D val="0"/>
            <c:spPr>
              <a:solidFill>
                <a:srgbClr val="C00000"/>
              </a:solidFill>
              <a:ln>
                <a:noFill/>
              </a:ln>
              <a:effectLst/>
            </c:spPr>
          </c:dPt>
          <c:dPt>
            <c:idx val="11"/>
            <c:invertIfNegative val="0"/>
            <c:bubble3D val="0"/>
            <c:spPr>
              <a:solidFill>
                <a:srgbClr val="C00000"/>
              </a:solidFill>
              <a:ln>
                <a:noFill/>
              </a:ln>
              <a:effectLst/>
            </c:spPr>
          </c:dPt>
          <c:dPt>
            <c:idx val="12"/>
            <c:invertIfNegative val="0"/>
            <c:bubble3D val="0"/>
          </c:dPt>
          <c:dPt>
            <c:idx val="13"/>
            <c:invertIfNegative val="0"/>
            <c:bubble3D val="0"/>
          </c:dPt>
          <c:dPt>
            <c:idx val="14"/>
            <c:invertIfNegative val="0"/>
            <c:bubble3D val="0"/>
          </c:dPt>
          <c:dPt>
            <c:idx val="15"/>
            <c:invertIfNegative val="0"/>
            <c:bubble3D val="0"/>
          </c:dPt>
          <c:dLbls>
            <c:spPr>
              <a:noFill/>
              <a:ln>
                <a:noFill/>
              </a:ln>
              <a:effectLst/>
            </c:spPr>
            <c:txPr>
              <a:bodyPr rot="0" spcFirstLastPara="1" vertOverflow="overflow" horzOverflow="overflow"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Tables!$R$69:$R$87</c:f>
              <c:multiLvlStrCache>
                <c:ptCount val="16"/>
                <c:lvl>
                  <c:pt idx="0">
                    <c:v>Workplace Environment</c:v>
                  </c:pt>
                  <c:pt idx="1">
                    <c:v>Tools Equipment</c:v>
                  </c:pt>
                  <c:pt idx="2">
                    <c:v>Supervision</c:v>
                  </c:pt>
                  <c:pt idx="3">
                    <c:v>Situational Awareness</c:v>
                  </c:pt>
                  <c:pt idx="4">
                    <c:v>Safety Devices or Guards</c:v>
                  </c:pt>
                  <c:pt idx="5">
                    <c:v>Personal Protective Equipment</c:v>
                  </c:pt>
                  <c:pt idx="6">
                    <c:v>Manual/Mechanical Handling</c:v>
                  </c:pt>
                  <c:pt idx="7">
                    <c:v>Housekeeping</c:v>
                  </c:pt>
                  <c:pt idx="8">
                    <c:v>Health, Hygiene, Food or Water</c:v>
                  </c:pt>
                  <c:pt idx="9">
                    <c:v>Working at Height</c:v>
                  </c:pt>
                  <c:pt idx="10">
                    <c:v>Work Authorization</c:v>
                  </c:pt>
                  <c:pt idx="11">
                    <c:v>Safe Mechanical Lifting</c:v>
                  </c:pt>
                  <c:pt idx="12">
                    <c:v>Line of Fire</c:v>
                  </c:pt>
                  <c:pt idx="13">
                    <c:v>Hot Work</c:v>
                  </c:pt>
                  <c:pt idx="14">
                    <c:v>Energy Isolation</c:v>
                  </c:pt>
                  <c:pt idx="15">
                    <c:v>Bypassing Safety Control</c:v>
                  </c:pt>
                </c:lvl>
                <c:lvl>
                  <c:pt idx="0">
                    <c:v>Others</c:v>
                  </c:pt>
                  <c:pt idx="9">
                    <c:v>LSR</c:v>
                  </c:pt>
                </c:lvl>
              </c:multiLvlStrCache>
            </c:multiLvlStrRef>
          </c:cat>
          <c:val>
            <c:numRef>
              <c:f>Tables!$S$69:$S$87</c:f>
              <c:numCache>
                <c:formatCode>General</c:formatCode>
                <c:ptCount val="16"/>
                <c:pt idx="0">
                  <c:v>4</c:v>
                </c:pt>
                <c:pt idx="1">
                  <c:v>8</c:v>
                </c:pt>
                <c:pt idx="2">
                  <c:v>1</c:v>
                </c:pt>
                <c:pt idx="3">
                  <c:v>1</c:v>
                </c:pt>
                <c:pt idx="4">
                  <c:v>1</c:v>
                </c:pt>
                <c:pt idx="5">
                  <c:v>17</c:v>
                </c:pt>
                <c:pt idx="6">
                  <c:v>3</c:v>
                </c:pt>
                <c:pt idx="7">
                  <c:v>30</c:v>
                </c:pt>
                <c:pt idx="8">
                  <c:v>1</c:v>
                </c:pt>
                <c:pt idx="9">
                  <c:v>13</c:v>
                </c:pt>
                <c:pt idx="10">
                  <c:v>1</c:v>
                </c:pt>
                <c:pt idx="11">
                  <c:v>7</c:v>
                </c:pt>
                <c:pt idx="12">
                  <c:v>3</c:v>
                </c:pt>
                <c:pt idx="13">
                  <c:v>15</c:v>
                </c:pt>
                <c:pt idx="14">
                  <c:v>8</c:v>
                </c:pt>
                <c:pt idx="15">
                  <c:v>3</c:v>
                </c:pt>
              </c:numCache>
            </c:numRef>
          </c:val>
        </c:ser>
        <c:dLbls>
          <c:showLegendKey val="0"/>
          <c:showVal val="0"/>
          <c:showCatName val="0"/>
          <c:showSerName val="0"/>
          <c:showPercent val="0"/>
          <c:showBubbleSize val="0"/>
        </c:dLbls>
        <c:gapWidth val="150"/>
        <c:axId val="735043216"/>
        <c:axId val="735046576"/>
      </c:barChart>
      <c:catAx>
        <c:axId val="73504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35046576"/>
        <c:crosses val="autoZero"/>
        <c:auto val="1"/>
        <c:lblAlgn val="ctr"/>
        <c:lblOffset val="100"/>
        <c:noMultiLvlLbl val="0"/>
      </c:catAx>
      <c:valAx>
        <c:axId val="73504657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35043216"/>
        <c:crosses val="autoZero"/>
        <c:crossBetween val="between"/>
      </c:valAx>
      <c:spPr>
        <a:noFill/>
        <a:ln>
          <a:noFill/>
        </a:ln>
        <a:effectLst/>
      </c:spPr>
    </c:plotArea>
    <c:plotVisOnly val="1"/>
    <c:dispBlanksAs val="gap"/>
    <c:showDLblsOverMax val="0"/>
    <c:extLst>
      <c:ext uri="{0b15fc19-7d7d-44ad-8c2d-2c3a37ce22c3}">
        <chartProps xmlns="https://web.wps.cn/et/2018/main" chartId="{a7c24933-f36f-4c32-93fa-efa18bbb7ea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Bay.xlsx]Tables!PivotTable11</c:name>
    <c:fmtId val="14"/>
  </c:pivotSource>
  <c:chart>
    <c:autoTitleDeleted val="1"/>
    <c:plotArea>
      <c:layout/>
      <c:barChart>
        <c:barDir val="bar"/>
        <c:grouping val="clustered"/>
        <c:varyColors val="0"/>
        <c:ser>
          <c:idx val="0"/>
          <c:order val="0"/>
          <c:tx>
            <c:strRef>
              <c:f>Tables!$C$23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bg1"/>
                    </a:solidFill>
                    <a:latin typeface="+mn-lt"/>
                    <a:ea typeface="+mn-ea"/>
                    <a:cs typeface="+mn-cs"/>
                  </a:defRPr>
                </a:pPr>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Tables!$B$24:$B$27</c:f>
              <c:strCache>
                <c:ptCount val="3"/>
                <c:pt idx="0">
                  <c:v>Petrojet</c:v>
                </c:pt>
                <c:pt idx="1">
                  <c:v>Total Energies</c:v>
                </c:pt>
                <c:pt idx="2">
                  <c:v>TechnipFMC</c:v>
                </c:pt>
              </c:strCache>
            </c:strRef>
          </c:cat>
          <c:val>
            <c:numRef>
              <c:f>Tables!$C$24:$C$27</c:f>
              <c:numCache>
                <c:formatCode>General</c:formatCode>
                <c:ptCount val="3"/>
                <c:pt idx="0">
                  <c:v>73</c:v>
                </c:pt>
                <c:pt idx="1">
                  <c:v>24</c:v>
                </c:pt>
                <c:pt idx="2">
                  <c:v>46</c:v>
                </c:pt>
              </c:numCache>
            </c:numRef>
          </c:val>
        </c:ser>
        <c:dLbls>
          <c:showLegendKey val="0"/>
          <c:showVal val="0"/>
          <c:showCatName val="0"/>
          <c:showSerName val="0"/>
          <c:showPercent val="0"/>
          <c:showBubbleSize val="0"/>
        </c:dLbls>
        <c:gapWidth val="120"/>
        <c:axId val="742041872"/>
        <c:axId val="742043312"/>
      </c:barChart>
      <c:catAx>
        <c:axId val="74204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42043312"/>
        <c:crosses val="autoZero"/>
        <c:auto val="1"/>
        <c:lblAlgn val="ctr"/>
        <c:lblOffset val="100"/>
        <c:noMultiLvlLbl val="0"/>
      </c:catAx>
      <c:valAx>
        <c:axId val="742043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42041872"/>
        <c:crosses val="autoZero"/>
        <c:crossBetween val="between"/>
      </c:valAx>
      <c:spPr>
        <a:noFill/>
        <a:ln>
          <a:noFill/>
        </a:ln>
        <a:effectLst/>
      </c:spPr>
    </c:plotArea>
    <c:plotVisOnly val="1"/>
    <c:dispBlanksAs val="gap"/>
    <c:showDLblsOverMax val="0"/>
    <c:extLst>
      <c:ext uri="{0b15fc19-7d7d-44ad-8c2d-2c3a37ce22c3}">
        <chartProps xmlns="https://web.wps.cn/et/2018/main" chartId="{39bb2c63-3167-4482-a66b-59e91b4e1daf}"/>
      </c:ext>
    </c:extLst>
  </c:chart>
  <c:spPr>
    <a:solidFill>
      <a:schemeClr val="bg1"/>
    </a:solidFill>
    <a:ln w="38100" cap="flat" cmpd="sng" algn="ctr">
      <a:solidFill>
        <a:srgbClr val="C00000"/>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Bay.xlsx]Tables!PivotTable7</c:name>
    <c:fmtId val="19"/>
  </c:pivotSource>
  <c:chart>
    <c:autoTitleDeleted val="1"/>
    <c:plotArea>
      <c:layout/>
      <c:doughnutChart>
        <c:varyColors val="1"/>
        <c:ser>
          <c:idx val="0"/>
          <c:order val="0"/>
          <c:tx>
            <c:strRef>
              <c:f>Tables!$C$63</c:f>
              <c:strCache>
                <c:ptCount val="1"/>
                <c:pt idx="0">
                  <c:v>Total</c:v>
                </c:pt>
              </c:strCache>
            </c:strRef>
          </c:tx>
          <c:spPr>
            <a:gradFill flip="none" rotWithShape="1">
              <a:gsLst>
                <a:gs pos="70000">
                  <a:schemeClr val="accent2">
                    <a:lumMod val="60000"/>
                    <a:lumOff val="40000"/>
                  </a:schemeClr>
                </a:gs>
                <a:gs pos="92000">
                  <a:schemeClr val="accent2">
                    <a:lumMod val="20000"/>
                    <a:lumOff val="80000"/>
                  </a:schemeClr>
                </a:gs>
                <a:gs pos="53000">
                  <a:srgbClr val="C00000"/>
                </a:gs>
              </a:gsLst>
              <a:path path="circle">
                <a:fillToRect l="50000" t="50000" r="50000" b="50000"/>
              </a:path>
              <a:tileRect/>
            </a:gradFill>
          </c:spPr>
          <c:explosion val="0"/>
          <c:dPt>
            <c:idx val="0"/>
            <c:bubble3D val="0"/>
            <c:spPr>
              <a:gradFill flip="none" rotWithShape="1">
                <a:gsLst>
                  <a:gs pos="41000">
                    <a:schemeClr val="accent2">
                      <a:lumMod val="60000"/>
                      <a:lumOff val="40000"/>
                    </a:schemeClr>
                  </a:gs>
                  <a:gs pos="27000">
                    <a:schemeClr val="accent2">
                      <a:lumMod val="20000"/>
                      <a:lumOff val="80000"/>
                    </a:schemeClr>
                  </a:gs>
                  <a:gs pos="64000">
                    <a:srgbClr val="9A3836"/>
                  </a:gs>
                </a:gsLst>
                <a:path path="shape">
                  <a:fillToRect l="50000" t="50000" r="50000" b="50000"/>
                </a:path>
                <a:tileRect/>
              </a:gradFill>
              <a:ln w="19050">
                <a:noFill/>
              </a:ln>
              <a:effectLst/>
            </c:spPr>
          </c:dPt>
          <c:dLbls>
            <c:delete val="1"/>
          </c:dLbls>
          <c:cat>
            <c:strRef>
              <c:f>Tables!$B$64:$B$65</c:f>
              <c:strCache>
                <c:ptCount val="1"/>
                <c:pt idx="0">
                  <c:v>Closed</c:v>
                </c:pt>
              </c:strCache>
            </c:strRef>
          </c:cat>
          <c:val>
            <c:numRef>
              <c:f>Tables!$C$64:$C$65</c:f>
              <c:numCache>
                <c:formatCode>General</c:formatCode>
                <c:ptCount val="1"/>
                <c:pt idx="0">
                  <c:v>116</c:v>
                </c:pt>
              </c:numCache>
            </c:numRef>
          </c:val>
        </c:ser>
        <c:dLbls>
          <c:showLegendKey val="0"/>
          <c:showVal val="0"/>
          <c:showCatName val="0"/>
          <c:showSerName val="0"/>
          <c:showPercent val="0"/>
          <c:showBubbleSize val="0"/>
          <c:showLeaderLines val="1"/>
        </c:dLbls>
        <c:firstSliceAng val="45"/>
        <c:holeSize val="75"/>
      </c:doughnutChart>
      <c:spPr>
        <a:noFill/>
        <a:ln>
          <a:noFill/>
        </a:ln>
        <a:effectLst/>
      </c:spPr>
    </c:plotArea>
    <c:plotVisOnly val="1"/>
    <c:dispBlanksAs val="gap"/>
    <c:showDLblsOverMax val="0"/>
    <c:extLst>
      <c:ext uri="{0b15fc19-7d7d-44ad-8c2d-2c3a37ce22c3}">
        <chartProps xmlns="https://web.wps.cn/et/2018/main" chartId="{d9e178f6-c52c-44ee-b13d-8390a01fac87}"/>
      </c:ext>
    </c:extLst>
  </c:chart>
  <c:spPr>
    <a:solidFill>
      <a:schemeClr val="bg1"/>
    </a:solidFill>
    <a:ln w="38100" cap="flat" cmpd="sng" algn="ctr">
      <a:solidFill>
        <a:srgbClr val="C00000"/>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800" b="0" i="0" u="none" strike="noStrike" kern="1200" spc="0" baseline="0">
                <a:solidFill>
                  <a:schemeClr val="tx1">
                    <a:lumMod val="65000"/>
                    <a:lumOff val="35000"/>
                  </a:schemeClr>
                </a:solidFill>
                <a:latin typeface="+mn-lt"/>
                <a:ea typeface="+mn-ea"/>
                <a:cs typeface="+mn-cs"/>
              </a:defRPr>
            </a:pPr>
            <a:r>
              <a:rPr lang="en-US" sz="1800"/>
              <a:t>Pending Observations</a:t>
            </a:r>
            <a:endParaRPr lang="en-US" sz="1800"/>
          </a:p>
        </c:rich>
      </c:tx>
      <c:layout/>
      <c:overlay val="0"/>
      <c:spPr>
        <a:noFill/>
        <a:ln>
          <a:noFill/>
        </a:ln>
        <a:effectLst/>
      </c:spPr>
    </c:title>
    <c:autoTitleDeleted val="0"/>
    <c:plotArea>
      <c:layout/>
      <c:doughnutChart>
        <c:varyColors val="1"/>
        <c:ser>
          <c:idx val="0"/>
          <c:order val="0"/>
          <c:spPr/>
          <c:explosion val="0"/>
          <c:dPt>
            <c:idx val="0"/>
            <c:bubble3D val="0"/>
            <c:spPr>
              <a:gradFill flip="none" rotWithShape="1">
                <a:gsLst>
                  <a:gs pos="24000">
                    <a:schemeClr val="accent2">
                      <a:lumMod val="20000"/>
                      <a:lumOff val="80000"/>
                    </a:schemeClr>
                  </a:gs>
                  <a:gs pos="36000">
                    <a:schemeClr val="accent2">
                      <a:lumMod val="60000"/>
                      <a:lumOff val="40000"/>
                    </a:schemeClr>
                  </a:gs>
                  <a:gs pos="65000">
                    <a:schemeClr val="accent2">
                      <a:lumMod val="75000"/>
                    </a:schemeClr>
                  </a:gs>
                </a:gsLst>
                <a:path path="shape">
                  <a:fillToRect l="50000" t="50000" r="50000" b="50000"/>
                </a:path>
                <a:tileRect/>
              </a:gradFill>
              <a:ln w="19050">
                <a:solidFill>
                  <a:schemeClr val="lt1"/>
                </a:solidFill>
              </a:ln>
              <a:effectLst/>
            </c:spPr>
          </c:dPt>
          <c:dPt>
            <c:idx val="1"/>
            <c:bubble3D val="0"/>
            <c:explosion val="9"/>
            <c:spPr>
              <a:solidFill>
                <a:schemeClr val="accent2">
                  <a:lumMod val="40000"/>
                  <a:lumOff val="60000"/>
                </a:schemeClr>
              </a:solidFill>
              <a:ln w="19050">
                <a:solidFill>
                  <a:schemeClr val="lt1"/>
                </a:solidFill>
              </a:ln>
              <a:effectLst/>
            </c:spPr>
          </c:dPt>
          <c:dLbls>
            <c:dLbl>
              <c:idx val="0"/>
              <c:delete val="1"/>
            </c:dLbl>
            <c:dLbl>
              <c:idx val="1"/>
              <c:layout>
                <c:manualLayout>
                  <c:x val="0.160907610144427"/>
                  <c:y val="-0.0441372913035951"/>
                </c:manualLayout>
              </c:layout>
              <c:numFmt formatCode="General" sourceLinked="1"/>
              <c:spPr>
                <a:noFill/>
                <a:ln>
                  <a:noFill/>
                </a:ln>
                <a:effectLst/>
              </c:spPr>
              <c:txPr>
                <a:bodyPr rot="0" spcFirstLastPara="1" vertOverflow="ellipsis" vert="horz" wrap="square" lIns="38100" tIns="19050" rIns="38100" bIns="19050" anchor="ctr" anchorCtr="1">
                  <a:spAutoFit/>
                </a:bodyPr>
                <a:lstStyle/>
                <a:p>
                  <a:pPr>
                    <a:defRPr lang="en-US" sz="1600" b="0" i="0" u="none" strike="noStrike" kern="1200" baseline="0">
                      <a:solidFill>
                        <a:schemeClr val="tx1">
                          <a:lumMod val="75000"/>
                          <a:lumOff val="25000"/>
                        </a:schemeClr>
                      </a:solidFill>
                      <a:latin typeface="+mn-lt"/>
                      <a:ea typeface="+mn-ea"/>
                      <a:cs typeface="+mn-cs"/>
                    </a:defRPr>
                  </a:pPr>
                </a:p>
              </c:txPr>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SHOC!$D$15:$E$15</c:f>
              <c:numCache>
                <c:formatCode>#,##0</c:formatCode>
                <c:ptCount val="2"/>
                <c:pt idx="0">
                  <c:v>1847</c:v>
                </c:pt>
                <c:pt idx="1">
                  <c:v>0</c:v>
                </c:pt>
              </c:numCache>
            </c:numRef>
          </c:val>
        </c:ser>
        <c:dLbls>
          <c:showLegendKey val="0"/>
          <c:showVal val="0"/>
          <c:showCatName val="0"/>
          <c:showSerName val="0"/>
          <c:showPercent val="0"/>
          <c:showBubbleSize val="0"/>
          <c:showLeaderLines val="1"/>
        </c:dLbls>
        <c:firstSliceAng val="57"/>
        <c:holeSize val="66"/>
      </c:doughnutChart>
      <c:spPr>
        <a:noFill/>
        <a:ln>
          <a:noFill/>
        </a:ln>
        <a:effectLst/>
      </c:spPr>
    </c:plotArea>
    <c:plotVisOnly val="1"/>
    <c:dispBlanksAs val="gap"/>
    <c:showDLblsOverMax val="0"/>
    <c:extLst>
      <c:ext uri="{0b15fc19-7d7d-44ad-8c2d-2c3a37ce22c3}">
        <chartProps xmlns="https://web.wps.cn/et/2018/main" chartId="{88cfbb10-cd85-4e74-b2f0-03bb979243a9}"/>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Bay.xlsx]Tables!PivotTable5</c:name>
    <c:fmtId val="4"/>
  </c:pivotSource>
  <c:chart>
    <c:autoTitleDeleted val="1"/>
    <c:plotArea>
      <c:layout/>
      <c:barChart>
        <c:barDir val="bar"/>
        <c:grouping val="stacked"/>
        <c:varyColors val="0"/>
        <c:ser>
          <c:idx val="0"/>
          <c:order val="0"/>
          <c:tx>
            <c:strRef>
              <c:f>Tables!$S$68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multiLvlStrRef>
              <c:f>Tables!$R$69:$R$87</c:f>
              <c:multiLvlStrCache>
                <c:ptCount val="16"/>
                <c:lvl>
                  <c:pt idx="0">
                    <c:v>Workplace Environment</c:v>
                  </c:pt>
                  <c:pt idx="1">
                    <c:v>Tools Equipment</c:v>
                  </c:pt>
                  <c:pt idx="2">
                    <c:v>Supervision</c:v>
                  </c:pt>
                  <c:pt idx="3">
                    <c:v>Situational Awareness</c:v>
                  </c:pt>
                  <c:pt idx="4">
                    <c:v>Safety Devices or Guards</c:v>
                  </c:pt>
                  <c:pt idx="5">
                    <c:v>Personal Protective Equipment</c:v>
                  </c:pt>
                  <c:pt idx="6">
                    <c:v>Manual/Mechanical Handling</c:v>
                  </c:pt>
                  <c:pt idx="7">
                    <c:v>Housekeeping</c:v>
                  </c:pt>
                  <c:pt idx="8">
                    <c:v>Health, Hygiene, Food or Water</c:v>
                  </c:pt>
                  <c:pt idx="9">
                    <c:v>Working at Height</c:v>
                  </c:pt>
                  <c:pt idx="10">
                    <c:v>Work Authorization</c:v>
                  </c:pt>
                  <c:pt idx="11">
                    <c:v>Safe Mechanical Lifting</c:v>
                  </c:pt>
                  <c:pt idx="12">
                    <c:v>Line of Fire</c:v>
                  </c:pt>
                  <c:pt idx="13">
                    <c:v>Hot Work</c:v>
                  </c:pt>
                  <c:pt idx="14">
                    <c:v>Energy Isolation</c:v>
                  </c:pt>
                  <c:pt idx="15">
                    <c:v>Bypassing Safety Control</c:v>
                  </c:pt>
                </c:lvl>
                <c:lvl>
                  <c:pt idx="0">
                    <c:v>Others</c:v>
                  </c:pt>
                  <c:pt idx="9">
                    <c:v>LSR</c:v>
                  </c:pt>
                </c:lvl>
              </c:multiLvlStrCache>
            </c:multiLvlStrRef>
          </c:cat>
          <c:val>
            <c:numRef>
              <c:f>Tables!$S$69:$S$87</c:f>
              <c:numCache>
                <c:formatCode>General</c:formatCode>
                <c:ptCount val="16"/>
                <c:pt idx="0">
                  <c:v>4</c:v>
                </c:pt>
                <c:pt idx="1">
                  <c:v>8</c:v>
                </c:pt>
                <c:pt idx="2">
                  <c:v>1</c:v>
                </c:pt>
                <c:pt idx="3">
                  <c:v>1</c:v>
                </c:pt>
                <c:pt idx="4">
                  <c:v>1</c:v>
                </c:pt>
                <c:pt idx="5">
                  <c:v>17</c:v>
                </c:pt>
                <c:pt idx="6">
                  <c:v>3</c:v>
                </c:pt>
                <c:pt idx="7">
                  <c:v>30</c:v>
                </c:pt>
                <c:pt idx="8">
                  <c:v>1</c:v>
                </c:pt>
                <c:pt idx="9">
                  <c:v>13</c:v>
                </c:pt>
                <c:pt idx="10">
                  <c:v>1</c:v>
                </c:pt>
                <c:pt idx="11">
                  <c:v>7</c:v>
                </c:pt>
                <c:pt idx="12">
                  <c:v>3</c:v>
                </c:pt>
                <c:pt idx="13">
                  <c:v>15</c:v>
                </c:pt>
                <c:pt idx="14">
                  <c:v>8</c:v>
                </c:pt>
                <c:pt idx="15">
                  <c:v>3</c:v>
                </c:pt>
              </c:numCache>
            </c:numRef>
          </c:val>
        </c:ser>
        <c:dLbls>
          <c:showLegendKey val="0"/>
          <c:showVal val="0"/>
          <c:showCatName val="0"/>
          <c:showSerName val="0"/>
          <c:showPercent val="0"/>
          <c:showBubbleSize val="0"/>
        </c:dLbls>
        <c:gapWidth val="150"/>
        <c:overlap val="100"/>
        <c:axId val="735043216"/>
        <c:axId val="735046576"/>
      </c:barChart>
      <c:catAx>
        <c:axId val="7350432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35046576"/>
        <c:crosses val="autoZero"/>
        <c:auto val="1"/>
        <c:lblAlgn val="ctr"/>
        <c:lblOffset val="100"/>
        <c:noMultiLvlLbl val="0"/>
      </c:catAx>
      <c:valAx>
        <c:axId val="735046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35043216"/>
        <c:crosses val="autoZero"/>
        <c:crossBetween val="between"/>
      </c:valAx>
      <c:spPr>
        <a:noFill/>
        <a:ln>
          <a:noFill/>
        </a:ln>
        <a:effectLst/>
      </c:spPr>
    </c:plotArea>
    <c:plotVisOnly val="1"/>
    <c:dispBlanksAs val="gap"/>
    <c:showDLblsOverMax val="0"/>
    <c:extLst>
      <c:ext uri="{0b15fc19-7d7d-44ad-8c2d-2c3a37ce22c3}">
        <chartProps xmlns="https://web.wps.cn/et/2018/main" chartId="{91799daa-d92f-4a0c-997a-7fb5561765f0}"/>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Bay.xlsx]Tables!PivotTable6</c:name>
    <c:fmtId val="0"/>
  </c:pivotSource>
  <c:chart>
    <c:autoTitleDeleted val="1"/>
    <c:plotArea>
      <c:layout/>
      <c:barChart>
        <c:barDir val="bar"/>
        <c:grouping val="stacked"/>
        <c:varyColors val="0"/>
        <c:ser>
          <c:idx val="0"/>
          <c:order val="0"/>
          <c:tx>
            <c:strRef>
              <c:f>Tables!$C$100</c:f>
              <c:strCache>
                <c:ptCount val="1"/>
                <c:pt idx="0">
                  <c:v>Total</c:v>
                </c:pt>
              </c:strCache>
            </c:strRef>
          </c:tx>
          <c:spPr>
            <a:solidFill>
              <a:schemeClr val="accent1"/>
            </a:solidFill>
            <a:ln>
              <a:noFill/>
            </a:ln>
            <a:effectLst/>
            <a:sp3d/>
          </c:spPr>
          <c:invertIfNegative val="0"/>
          <c:dLbls>
            <c:delete val="1"/>
          </c:dLbls>
          <c:cat>
            <c:strRef>
              <c:f>Tables!$B$101:$B$106</c:f>
              <c:strCache>
                <c:ptCount val="5"/>
                <c:pt idx="0">
                  <c:v>I corrected the problem</c:v>
                </c:pt>
                <c:pt idx="1">
                  <c:v>I provided positive feedback</c:v>
                </c:pt>
                <c:pt idx="2">
                  <c:v>I reported observation to HSSEQ</c:v>
                </c:pt>
                <c:pt idx="3">
                  <c:v>I stopped the job</c:v>
                </c:pt>
                <c:pt idx="4">
                  <c:v>I took a safety intervention</c:v>
                </c:pt>
              </c:strCache>
            </c:strRef>
          </c:cat>
          <c:val>
            <c:numRef>
              <c:f>Tables!$C$101:$C$106</c:f>
              <c:numCache>
                <c:formatCode>General</c:formatCode>
                <c:ptCount val="5"/>
                <c:pt idx="0">
                  <c:v>33</c:v>
                </c:pt>
                <c:pt idx="1">
                  <c:v>27</c:v>
                </c:pt>
                <c:pt idx="2">
                  <c:v>15</c:v>
                </c:pt>
                <c:pt idx="3">
                  <c:v>17</c:v>
                </c:pt>
                <c:pt idx="4">
                  <c:v>51</c:v>
                </c:pt>
              </c:numCache>
            </c:numRef>
          </c:val>
        </c:ser>
        <c:dLbls>
          <c:showLegendKey val="0"/>
          <c:showVal val="0"/>
          <c:showCatName val="0"/>
          <c:showSerName val="0"/>
          <c:showPercent val="0"/>
          <c:showBubbleSize val="0"/>
        </c:dLbls>
        <c:gapWidth val="150"/>
        <c:overlap val="100"/>
        <c:axId val="735041296"/>
        <c:axId val="735040336"/>
      </c:barChart>
      <c:catAx>
        <c:axId val="735041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35040336"/>
        <c:crosses val="autoZero"/>
        <c:auto val="1"/>
        <c:lblAlgn val="ctr"/>
        <c:lblOffset val="100"/>
        <c:noMultiLvlLbl val="0"/>
      </c:catAx>
      <c:valAx>
        <c:axId val="73504033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35041296"/>
        <c:crosses val="autoZero"/>
        <c:crossBetween val="between"/>
      </c:valAx>
      <c:spPr>
        <a:noFill/>
        <a:ln>
          <a:noFill/>
        </a:ln>
        <a:effectLst/>
      </c:spPr>
    </c:plotArea>
    <c:plotVisOnly val="1"/>
    <c:dispBlanksAs val="gap"/>
    <c:showDLblsOverMax val="0"/>
    <c:extLst>
      <c:ext uri="{0b15fc19-7d7d-44ad-8c2d-2c3a37ce22c3}">
        <chartProps xmlns="https://web.wps.cn/et/2018/main" chartId="{9d82e4de-97d8-419e-b342-1e841d5a6e3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Bay.xlsx]Tables!PivotTable11</c:name>
    <c:fmtId val="12"/>
  </c:pivotSource>
  <c:chart>
    <c:title>
      <c:layout/>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p>
      </c:txPr>
    </c:title>
    <c:autoTitleDeleted val="0"/>
    <c:plotArea>
      <c:layout/>
      <c:barChart>
        <c:barDir val="bar"/>
        <c:grouping val="clustered"/>
        <c:varyColors val="0"/>
        <c:ser>
          <c:idx val="0"/>
          <c:order val="0"/>
          <c:tx>
            <c:strRef>
              <c:f>Tables!$C$23</c:f>
              <c:strCache>
                <c:ptCount val="1"/>
                <c:pt idx="0">
                  <c:v>Total</c:v>
                </c:pt>
              </c:strCache>
            </c:strRef>
          </c:tx>
          <c:spPr>
            <a:solidFill>
              <a:schemeClr val="accent1"/>
            </a:solidFill>
            <a:ln>
              <a:noFill/>
            </a:ln>
            <a:effectLst/>
          </c:spPr>
          <c:invertIfNegative val="0"/>
          <c:dLbls>
            <c:delete val="1"/>
          </c:dLbls>
          <c:cat>
            <c:strRef>
              <c:f>Tables!$B$24:$B$27</c:f>
              <c:strCache>
                <c:ptCount val="3"/>
                <c:pt idx="0">
                  <c:v>Petrojet</c:v>
                </c:pt>
                <c:pt idx="1">
                  <c:v>Total Energies</c:v>
                </c:pt>
                <c:pt idx="2">
                  <c:v>TechnipFMC</c:v>
                </c:pt>
              </c:strCache>
            </c:strRef>
          </c:cat>
          <c:val>
            <c:numRef>
              <c:f>Tables!$C$24:$C$27</c:f>
              <c:numCache>
                <c:formatCode>General</c:formatCode>
                <c:ptCount val="3"/>
                <c:pt idx="0">
                  <c:v>73</c:v>
                </c:pt>
                <c:pt idx="1">
                  <c:v>24</c:v>
                </c:pt>
                <c:pt idx="2">
                  <c:v>46</c:v>
                </c:pt>
              </c:numCache>
            </c:numRef>
          </c:val>
        </c:ser>
        <c:dLbls>
          <c:showLegendKey val="0"/>
          <c:showVal val="0"/>
          <c:showCatName val="0"/>
          <c:showSerName val="0"/>
          <c:showPercent val="0"/>
          <c:showBubbleSize val="0"/>
        </c:dLbls>
        <c:gapWidth val="182"/>
        <c:axId val="742041872"/>
        <c:axId val="742043312"/>
      </c:barChart>
      <c:catAx>
        <c:axId val="742041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42043312"/>
        <c:crosses val="autoZero"/>
        <c:auto val="1"/>
        <c:lblAlgn val="ctr"/>
        <c:lblOffset val="100"/>
        <c:noMultiLvlLbl val="0"/>
      </c:catAx>
      <c:valAx>
        <c:axId val="7420433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42041872"/>
        <c:crosses val="autoZero"/>
        <c:crossBetween val="between"/>
      </c:valAx>
      <c:spPr>
        <a:noFill/>
        <a:ln>
          <a:noFill/>
        </a:ln>
        <a:effectLst/>
      </c:spPr>
    </c:plotArea>
    <c:plotVisOnly val="1"/>
    <c:dispBlanksAs val="gap"/>
    <c:showDLblsOverMax val="0"/>
    <c:extLst>
      <c:ext uri="{0b15fc19-7d7d-44ad-8c2d-2c3a37ce22c3}">
        <chartProps xmlns="https://web.wps.cn/et/2018/main" chartId="{098556f6-1af0-49ba-a0ab-2d8b1da91de8}"/>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Bay.xlsx]Tables!PivotTable12</c:name>
    <c:fmtId val="10"/>
  </c:pivotSource>
  <c:chart>
    <c:autoTitleDeleted val="1"/>
    <c:plotArea>
      <c:layout/>
      <c:barChart>
        <c:barDir val="col"/>
        <c:grouping val="clustered"/>
        <c:varyColors val="0"/>
        <c:ser>
          <c:idx val="0"/>
          <c:order val="0"/>
          <c:tx>
            <c:strRef>
              <c:f>Tables!$M$34:$M$35</c:f>
              <c:strCache>
                <c:ptCount val="1"/>
                <c:pt idx="0">
                  <c:v>Safe Act/ Condition</c:v>
                </c:pt>
              </c:strCache>
            </c:strRef>
          </c:tx>
          <c:spPr>
            <a:solidFill>
              <a:schemeClr val="accent1"/>
            </a:solidFill>
            <a:ln>
              <a:noFill/>
            </a:ln>
            <a:effectLst/>
          </c:spPr>
          <c:invertIfNegative val="0"/>
          <c:dLbls>
            <c:delete val="1"/>
          </c:dLbls>
          <c:cat>
            <c:strRef>
              <c:f>Tables!$L$36:$L$50</c:f>
              <c:strCache>
                <c:ptCount val="14"/>
                <c:pt idx="0">
                  <c:v>Workshop 1</c:v>
                </c:pt>
                <c:pt idx="1">
                  <c:v>Workshop 2</c:v>
                </c:pt>
                <c:pt idx="2">
                  <c:v>Workshop 3</c:v>
                </c:pt>
                <c:pt idx="3">
                  <c:v>Workshop 7</c:v>
                </c:pt>
                <c:pt idx="4">
                  <c:v>Open Area 1</c:v>
                </c:pt>
                <c:pt idx="5">
                  <c:v>Open Area 3</c:v>
                </c:pt>
                <c:pt idx="6">
                  <c:v>Zeit bay</c:v>
                </c:pt>
                <c:pt idx="7">
                  <c:v>Blasting &amp; Painting</c:v>
                </c:pt>
                <c:pt idx="8">
                  <c:v>Open Area 2</c:v>
                </c:pt>
                <c:pt idx="9">
                  <c:v>Workshop 4</c:v>
                </c:pt>
                <c:pt idx="10">
                  <c:v>Open Area 4</c:v>
                </c:pt>
                <c:pt idx="11">
                  <c:v>Warehouse 2</c:v>
                </c:pt>
                <c:pt idx="12">
                  <c:v>Workshop 5</c:v>
                </c:pt>
                <c:pt idx="13">
                  <c:v>Open Area 5</c:v>
                </c:pt>
              </c:strCache>
            </c:strRef>
          </c:cat>
          <c:val>
            <c:numRef>
              <c:f>Tables!$M$36:$M$50</c:f>
              <c:numCache>
                <c:formatCode>General</c:formatCode>
                <c:ptCount val="14"/>
                <c:pt idx="0">
                  <c:v>4</c:v>
                </c:pt>
                <c:pt idx="1">
                  <c:v>2</c:v>
                </c:pt>
                <c:pt idx="2">
                  <c:v>1</c:v>
                </c:pt>
                <c:pt idx="3">
                  <c:v>2</c:v>
                </c:pt>
                <c:pt idx="4">
                  <c:v>6</c:v>
                </c:pt>
                <c:pt idx="5">
                  <c:v>3</c:v>
                </c:pt>
                <c:pt idx="6">
                  <c:v>1</c:v>
                </c:pt>
                <c:pt idx="8">
                  <c:v>2</c:v>
                </c:pt>
                <c:pt idx="9">
                  <c:v>1</c:v>
                </c:pt>
                <c:pt idx="10">
                  <c:v>2</c:v>
                </c:pt>
                <c:pt idx="11">
                  <c:v>1</c:v>
                </c:pt>
                <c:pt idx="13">
                  <c:v>2</c:v>
                </c:pt>
              </c:numCache>
            </c:numRef>
          </c:val>
        </c:ser>
        <c:ser>
          <c:idx val="1"/>
          <c:order val="1"/>
          <c:tx>
            <c:strRef>
              <c:f>Tables!$N$34:$N$35</c:f>
              <c:strCache>
                <c:ptCount val="1"/>
                <c:pt idx="0">
                  <c:v>Unsafe Act</c:v>
                </c:pt>
              </c:strCache>
            </c:strRef>
          </c:tx>
          <c:spPr>
            <a:solidFill>
              <a:schemeClr val="accent2"/>
            </a:solidFill>
            <a:ln>
              <a:noFill/>
            </a:ln>
            <a:effectLst/>
          </c:spPr>
          <c:invertIfNegative val="0"/>
          <c:dLbls>
            <c:delete val="1"/>
          </c:dLbls>
          <c:cat>
            <c:strRef>
              <c:f>Tables!$L$36:$L$50</c:f>
              <c:strCache>
                <c:ptCount val="14"/>
                <c:pt idx="0">
                  <c:v>Workshop 1</c:v>
                </c:pt>
                <c:pt idx="1">
                  <c:v>Workshop 2</c:v>
                </c:pt>
                <c:pt idx="2">
                  <c:v>Workshop 3</c:v>
                </c:pt>
                <c:pt idx="3">
                  <c:v>Workshop 7</c:v>
                </c:pt>
                <c:pt idx="4">
                  <c:v>Open Area 1</c:v>
                </c:pt>
                <c:pt idx="5">
                  <c:v>Open Area 3</c:v>
                </c:pt>
                <c:pt idx="6">
                  <c:v>Zeit bay</c:v>
                </c:pt>
                <c:pt idx="7">
                  <c:v>Blasting &amp; Painting</c:v>
                </c:pt>
                <c:pt idx="8">
                  <c:v>Open Area 2</c:v>
                </c:pt>
                <c:pt idx="9">
                  <c:v>Workshop 4</c:v>
                </c:pt>
                <c:pt idx="10">
                  <c:v>Open Area 4</c:v>
                </c:pt>
                <c:pt idx="11">
                  <c:v>Warehouse 2</c:v>
                </c:pt>
                <c:pt idx="12">
                  <c:v>Workshop 5</c:v>
                </c:pt>
                <c:pt idx="13">
                  <c:v>Open Area 5</c:v>
                </c:pt>
              </c:strCache>
            </c:strRef>
          </c:cat>
          <c:val>
            <c:numRef>
              <c:f>Tables!$N$36:$N$50</c:f>
              <c:numCache>
                <c:formatCode>General</c:formatCode>
                <c:ptCount val="14"/>
                <c:pt idx="0">
                  <c:v>5</c:v>
                </c:pt>
                <c:pt idx="1">
                  <c:v>6</c:v>
                </c:pt>
                <c:pt idx="4">
                  <c:v>3</c:v>
                </c:pt>
                <c:pt idx="5">
                  <c:v>3</c:v>
                </c:pt>
                <c:pt idx="6">
                  <c:v>1</c:v>
                </c:pt>
                <c:pt idx="7">
                  <c:v>3</c:v>
                </c:pt>
                <c:pt idx="8">
                  <c:v>6</c:v>
                </c:pt>
                <c:pt idx="9">
                  <c:v>1</c:v>
                </c:pt>
                <c:pt idx="10">
                  <c:v>3</c:v>
                </c:pt>
                <c:pt idx="12">
                  <c:v>1</c:v>
                </c:pt>
                <c:pt idx="13">
                  <c:v>5</c:v>
                </c:pt>
              </c:numCache>
            </c:numRef>
          </c:val>
        </c:ser>
        <c:ser>
          <c:idx val="2"/>
          <c:order val="2"/>
          <c:tx>
            <c:strRef>
              <c:f>Tables!$O$34:$O$35</c:f>
              <c:strCache>
                <c:ptCount val="1"/>
                <c:pt idx="0">
                  <c:v>Unsafe Condition</c:v>
                </c:pt>
              </c:strCache>
            </c:strRef>
          </c:tx>
          <c:spPr>
            <a:solidFill>
              <a:schemeClr val="accent3"/>
            </a:solidFill>
            <a:ln>
              <a:noFill/>
            </a:ln>
            <a:effectLst/>
          </c:spPr>
          <c:invertIfNegative val="0"/>
          <c:dLbls>
            <c:delete val="1"/>
          </c:dLbls>
          <c:cat>
            <c:strRef>
              <c:f>Tables!$L$36:$L$50</c:f>
              <c:strCache>
                <c:ptCount val="14"/>
                <c:pt idx="0">
                  <c:v>Workshop 1</c:v>
                </c:pt>
                <c:pt idx="1">
                  <c:v>Workshop 2</c:v>
                </c:pt>
                <c:pt idx="2">
                  <c:v>Workshop 3</c:v>
                </c:pt>
                <c:pt idx="3">
                  <c:v>Workshop 7</c:v>
                </c:pt>
                <c:pt idx="4">
                  <c:v>Open Area 1</c:v>
                </c:pt>
                <c:pt idx="5">
                  <c:v>Open Area 3</c:v>
                </c:pt>
                <c:pt idx="6">
                  <c:v>Zeit bay</c:v>
                </c:pt>
                <c:pt idx="7">
                  <c:v>Blasting &amp; Painting</c:v>
                </c:pt>
                <c:pt idx="8">
                  <c:v>Open Area 2</c:v>
                </c:pt>
                <c:pt idx="9">
                  <c:v>Workshop 4</c:v>
                </c:pt>
                <c:pt idx="10">
                  <c:v>Open Area 4</c:v>
                </c:pt>
                <c:pt idx="11">
                  <c:v>Warehouse 2</c:v>
                </c:pt>
                <c:pt idx="12">
                  <c:v>Workshop 5</c:v>
                </c:pt>
                <c:pt idx="13">
                  <c:v>Open Area 5</c:v>
                </c:pt>
              </c:strCache>
            </c:strRef>
          </c:cat>
          <c:val>
            <c:numRef>
              <c:f>Tables!$O$36:$O$50</c:f>
              <c:numCache>
                <c:formatCode>General</c:formatCode>
                <c:ptCount val="14"/>
                <c:pt idx="0">
                  <c:v>5</c:v>
                </c:pt>
                <c:pt idx="1">
                  <c:v>8</c:v>
                </c:pt>
                <c:pt idx="2">
                  <c:v>5</c:v>
                </c:pt>
                <c:pt idx="3">
                  <c:v>5</c:v>
                </c:pt>
                <c:pt idx="4">
                  <c:v>7</c:v>
                </c:pt>
                <c:pt idx="5">
                  <c:v>10</c:v>
                </c:pt>
                <c:pt idx="6">
                  <c:v>3</c:v>
                </c:pt>
                <c:pt idx="7">
                  <c:v>6</c:v>
                </c:pt>
                <c:pt idx="8">
                  <c:v>12</c:v>
                </c:pt>
                <c:pt idx="9">
                  <c:v>3</c:v>
                </c:pt>
                <c:pt idx="10">
                  <c:v>3</c:v>
                </c:pt>
                <c:pt idx="13">
                  <c:v>12</c:v>
                </c:pt>
              </c:numCache>
            </c:numRef>
          </c:val>
        </c:ser>
        <c:dLbls>
          <c:showLegendKey val="0"/>
          <c:showVal val="0"/>
          <c:showCatName val="0"/>
          <c:showSerName val="0"/>
          <c:showPercent val="0"/>
          <c:showBubbleSize val="0"/>
        </c:dLbls>
        <c:gapWidth val="182"/>
        <c:axId val="1159927760"/>
        <c:axId val="1159930640"/>
      </c:barChart>
      <c:catAx>
        <c:axId val="115992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59930640"/>
        <c:crosses val="autoZero"/>
        <c:auto val="1"/>
        <c:lblAlgn val="ctr"/>
        <c:lblOffset val="100"/>
        <c:noMultiLvlLbl val="0"/>
      </c:catAx>
      <c:valAx>
        <c:axId val="1159930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159927760"/>
        <c:crosses val="autoZero"/>
        <c:crossBetween val="between"/>
      </c:valAx>
      <c:spPr>
        <a:noFill/>
        <a:ln>
          <a:noFill/>
        </a:ln>
        <a:effectLst/>
      </c:spPr>
    </c:plotArea>
    <c:plotVisOnly val="1"/>
    <c:dispBlanksAs val="gap"/>
    <c:showDLblsOverMax val="0"/>
    <c:extLst>
      <c:ext uri="{0b15fc19-7d7d-44ad-8c2d-2c3a37ce22c3}">
        <chartProps xmlns="https://web.wps.cn/et/2018/main" chartId="{81df065e-3667-4cb2-a9a6-dd2bffe64095}"/>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pivotSource>
    <c:name>[Master Action Tracker - Zait Bay.xlsx]Tables!PivotTable7</c:name>
    <c:fmtId val="15"/>
  </c:pivotSource>
  <c:chart>
    <c:autoTitleDeleted val="1"/>
    <c:plotArea>
      <c:layout/>
      <c:pieChart>
        <c:varyColors val="1"/>
        <c:ser>
          <c:idx val="0"/>
          <c:order val="0"/>
          <c:tx>
            <c:strRef>
              <c:f>Tables!$C$63</c:f>
              <c:strCache>
                <c:ptCount val="1"/>
                <c:pt idx="0">
                  <c:v>Total</c:v>
                </c:pt>
              </c:strCache>
            </c:strRef>
          </c:tx>
          <c:spPr/>
          <c:explosion val="0"/>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p>
            </c:txPr>
            <c:dLblPos val="bestFit"/>
            <c:showLegendKey val="0"/>
            <c:showVal val="1"/>
            <c:showCatName val="0"/>
            <c:showSerName val="0"/>
            <c:showPercent val="0"/>
            <c:showBubbleSize val="0"/>
            <c:showLeaderLines val="1"/>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Tables!$B$64:$B$65</c:f>
              <c:strCache>
                <c:ptCount val="1"/>
                <c:pt idx="0">
                  <c:v>Closed</c:v>
                </c:pt>
              </c:strCache>
            </c:strRef>
          </c:cat>
          <c:val>
            <c:numRef>
              <c:f>Tables!$C$64:$C$65</c:f>
              <c:numCache>
                <c:formatCode>General</c:formatCode>
                <c:ptCount val="1"/>
                <c:pt idx="0">
                  <c:v>116</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93814960629921"/>
          <c:y val="0.0470826042578011"/>
          <c:w val="0.157789237130775"/>
          <c:h val="0.169382899293309"/>
        </c:manualLayout>
      </c:layout>
      <c:overlay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c842dec-4c94-466d-ae78-f9eb38f42a53}"/>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9" Type="http://schemas.openxmlformats.org/officeDocument/2006/relationships/image" Target="../media/image4.png"/><Relationship Id="rId8" Type="http://schemas.openxmlformats.org/officeDocument/2006/relationships/image" Target="../media/image3.png"/><Relationship Id="rId7" Type="http://schemas.openxmlformats.org/officeDocument/2006/relationships/image" Target="../media/image2.svg"/><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 Id="rId3" Type="http://schemas.openxmlformats.org/officeDocument/2006/relationships/chart" Target="../charts/chart3.xml"/><Relationship Id="rId2" Type="http://schemas.openxmlformats.org/officeDocument/2006/relationships/chart" Target="../charts/chart2.xml"/><Relationship Id="rId10" Type="http://schemas.openxmlformats.org/officeDocument/2006/relationships/image" Target="../media/image5.jpe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7" Type="http://schemas.openxmlformats.org/officeDocument/2006/relationships/hyperlink" Target="#DashBoard!A1"/><Relationship Id="rId6" Type="http://schemas.openxmlformats.org/officeDocument/2006/relationships/image" Target="../media/image4.png"/><Relationship Id="rId5" Type="http://schemas.openxmlformats.org/officeDocument/2006/relationships/image" Target="../media/image5.jpeg"/><Relationship Id="rId4" Type="http://schemas.openxmlformats.org/officeDocument/2006/relationships/image" Target="../media/image6.png"/><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5" Type="http://schemas.openxmlformats.org/officeDocument/2006/relationships/chart" Target="../charts/chart11.xml"/><Relationship Id="rId4" Type="http://schemas.openxmlformats.org/officeDocument/2006/relationships/chart" Target="../charts/chart10.xml"/><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539115</xdr:colOff>
      <xdr:row>0</xdr:row>
      <xdr:rowOff>35383</xdr:rowOff>
    </xdr:from>
    <xdr:to>
      <xdr:col>23</xdr:col>
      <xdr:colOff>487951</xdr:colOff>
      <xdr:row>0</xdr:row>
      <xdr:rowOff>457200</xdr:rowOff>
    </xdr:to>
    <xdr:pic>
      <xdr:nvPicPr>
        <xdr:cNvPr id="2" name="Graphic 10"/>
        <xdr:cNvPicPr/>
      </xdr:nvPicPr>
      <xdr:blipFill>
        <a:blip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l="28933" t="26457" b="7779"/>
        <a:stretch>
          <a:fillRect/>
        </a:stretch>
      </xdr:blipFill>
      <xdr:spPr>
        <a:xfrm>
          <a:off x="14117955" y="34925"/>
          <a:ext cx="565785" cy="422275"/>
        </a:xfrm>
        <a:prstGeom prst="rect">
          <a:avLst/>
        </a:prstGeom>
      </xdr:spPr>
    </xdr:pic>
    <xdr:clientData/>
  </xdr:twoCellAnchor>
  <xdr:twoCellAnchor editAs="oneCell">
    <xdr:from>
      <xdr:col>24</xdr:col>
      <xdr:colOff>240030</xdr:colOff>
      <xdr:row>0</xdr:row>
      <xdr:rowOff>0</xdr:rowOff>
    </xdr:from>
    <xdr:to>
      <xdr:col>25</xdr:col>
      <xdr:colOff>512826</xdr:colOff>
      <xdr:row>1</xdr:row>
      <xdr:rowOff>16693</xdr:rowOff>
    </xdr:to>
    <xdr:pic>
      <xdr:nvPicPr>
        <xdr:cNvPr id="3" name="Picture 2" descr="A logo with a map of the country&#10;&#10;Description automatically generated"/>
        <xdr:cNvPicPr>
          <a:picLocks noChangeAspect="1"/>
        </xdr:cNvPicPr>
      </xdr:nvPicPr>
      <xdr:blipFill>
        <a:blip r:embed="rId8" cstate="print">
          <a:extLst>
            <a:ext uri="{28A0092B-C50C-407E-A947-70E740481C1C}">
              <a14:useLocalDpi xmlns:a14="http://schemas.microsoft.com/office/drawing/2010/main" val="0"/>
            </a:ext>
          </a:extLst>
        </a:blip>
        <a:srcRect/>
        <a:stretch>
          <a:fillRect/>
        </a:stretch>
      </xdr:blipFill>
      <xdr:spPr>
        <a:xfrm>
          <a:off x="15053310" y="0"/>
          <a:ext cx="889635" cy="588010"/>
        </a:xfrm>
        <a:prstGeom prst="rect">
          <a:avLst/>
        </a:prstGeom>
        <a:noFill/>
        <a:ln>
          <a:noFill/>
        </a:ln>
      </xdr:spPr>
    </xdr:pic>
    <xdr:clientData/>
  </xdr:twoCellAnchor>
  <xdr:twoCellAnchor editAs="oneCell">
    <xdr:from>
      <xdr:col>0</xdr:col>
      <xdr:colOff>50019</xdr:colOff>
      <xdr:row>0</xdr:row>
      <xdr:rowOff>141542</xdr:rowOff>
    </xdr:from>
    <xdr:to>
      <xdr:col>2</xdr:col>
      <xdr:colOff>133350</xdr:colOff>
      <xdr:row>0</xdr:row>
      <xdr:rowOff>479052</xdr:rowOff>
    </xdr:to>
    <xdr:pic>
      <xdr:nvPicPr>
        <xdr:cNvPr id="5" name="Picture 4"/>
        <xdr:cNvPicPr>
          <a:picLocks noChangeAspect="1"/>
        </xdr:cNvPicPr>
      </xdr:nvPicPr>
      <xdr:blipFill>
        <a:blip r:embed="rId9">
          <a:extLst>
            <a:ext uri="{28A0092B-C50C-407E-A947-70E740481C1C}">
              <a14:useLocalDpi xmlns:a14="http://schemas.microsoft.com/office/drawing/2010/main" val="0"/>
            </a:ext>
          </a:extLst>
        </a:blip>
        <a:srcRect/>
        <a:stretch>
          <a:fillRect/>
        </a:stretch>
      </xdr:blipFill>
      <xdr:spPr>
        <a:xfrm>
          <a:off x="49530" y="140970"/>
          <a:ext cx="1318260" cy="337820"/>
        </a:xfrm>
        <a:prstGeom prst="rect">
          <a:avLst/>
        </a:prstGeom>
        <a:noFill/>
        <a:ln>
          <a:noFill/>
        </a:ln>
      </xdr:spPr>
    </xdr:pic>
    <xdr:clientData/>
  </xdr:twoCellAnchor>
  <xdr:twoCellAnchor editAs="oneCell">
    <xdr:from>
      <xdr:col>2</xdr:col>
      <xdr:colOff>552949</xdr:colOff>
      <xdr:row>0</xdr:row>
      <xdr:rowOff>9525</xdr:rowOff>
    </xdr:from>
    <xdr:to>
      <xdr:col>4</xdr:col>
      <xdr:colOff>57150</xdr:colOff>
      <xdr:row>0</xdr:row>
      <xdr:rowOff>517152</xdr:rowOff>
    </xdr:to>
    <xdr:pic>
      <xdr:nvPicPr>
        <xdr:cNvPr id="4" name=" " descr=" "/>
        <xdr:cNvPicPr/>
      </xdr:nvPicPr>
      <xdr:blipFill>
        <a:blip r:embed="rId10"/>
        <a:srcRect/>
        <a:stretch>
          <a:fillRect/>
        </a:stretch>
      </xdr:blipFill>
      <xdr:spPr>
        <a:xfrm>
          <a:off x="1786890" y="9525"/>
          <a:ext cx="739140" cy="507365"/>
        </a:xfrm>
        <a:prstGeom prst="rect">
          <a:avLst/>
        </a:prstGeom>
        <a:noFill/>
        <a:ln w="9525" cap="flat" cmpd="sng">
          <a:noFill/>
          <a:prstDash val="solid"/>
          <a:miter/>
        </a:ln>
        <a:effectLst/>
      </xdr:spPr>
    </xdr:pic>
    <xdr:clientData/>
  </xdr:twoCellAnchor>
  <xdr:twoCellAnchor>
    <xdr:from>
      <xdr:col>2</xdr:col>
      <xdr:colOff>593913</xdr:colOff>
      <xdr:row>1</xdr:row>
      <xdr:rowOff>0</xdr:rowOff>
    </xdr:from>
    <xdr:to>
      <xdr:col>9</xdr:col>
      <xdr:colOff>0</xdr:colOff>
      <xdr:row>4</xdr:row>
      <xdr:rowOff>134470</xdr:rowOff>
    </xdr:to>
    <xdr:sp>
      <xdr:nvSpPr>
        <xdr:cNvPr id="37" name="Rectangle: Rounded Corners 36"/>
        <xdr:cNvSpPr/>
      </xdr:nvSpPr>
      <xdr:spPr>
        <a:xfrm>
          <a:off x="1828165" y="571500"/>
          <a:ext cx="3726815" cy="636905"/>
        </a:xfrm>
        <a:prstGeom prst="roundRect">
          <a:avLst>
            <a:gd name="adj" fmla="val 0"/>
          </a:avLst>
        </a:prstGeom>
        <a:gradFill flip="none" rotWithShape="1">
          <a:gsLst>
            <a:gs pos="0">
              <a:srgbClr val="C00000"/>
            </a:gs>
            <a:gs pos="50000">
              <a:srgbClr val="820000"/>
            </a:gs>
            <a:gs pos="100000">
              <a:srgbClr val="680000"/>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22412</xdr:colOff>
      <xdr:row>27</xdr:row>
      <xdr:rowOff>50763</xdr:rowOff>
    </xdr:from>
    <xdr:to>
      <xdr:col>2</xdr:col>
      <xdr:colOff>590102</xdr:colOff>
      <xdr:row>32</xdr:row>
      <xdr:rowOff>141419</xdr:rowOff>
    </xdr:to>
    <xdr:sp>
      <xdr:nvSpPr>
        <xdr:cNvPr id="36" name="Rectangle: Rounded Corners 35"/>
        <xdr:cNvSpPr/>
      </xdr:nvSpPr>
      <xdr:spPr>
        <a:xfrm>
          <a:off x="22225" y="4989195"/>
          <a:ext cx="1802130" cy="929005"/>
        </a:xfrm>
        <a:prstGeom prst="roundRect">
          <a:avLst>
            <a:gd name="adj" fmla="val 14593"/>
          </a:avLst>
        </a:prstGeom>
        <a:solidFill>
          <a:schemeClr val="bg1"/>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173355</xdr:colOff>
      <xdr:row>1</xdr:row>
      <xdr:rowOff>166855</xdr:rowOff>
    </xdr:from>
    <xdr:to>
      <xdr:col>6</xdr:col>
      <xdr:colOff>240030</xdr:colOff>
      <xdr:row>3</xdr:row>
      <xdr:rowOff>163045</xdr:rowOff>
    </xdr:to>
    <xdr:sp>
      <xdr:nvSpPr>
        <xdr:cNvPr id="9" name="TextBox 8"/>
        <xdr:cNvSpPr txBox="1"/>
      </xdr:nvSpPr>
      <xdr:spPr>
        <a:xfrm>
          <a:off x="2025015" y="737870"/>
          <a:ext cx="1918335" cy="331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Total</a:t>
          </a:r>
          <a:r>
            <a:rPr lang="en-US" sz="1800" b="1" baseline="0">
              <a:solidFill>
                <a:schemeClr val="bg1"/>
              </a:solidFill>
            </a:rPr>
            <a:t> SHOC</a:t>
          </a:r>
          <a:endParaRPr lang="en-US" sz="1800" b="1">
            <a:solidFill>
              <a:schemeClr val="bg1"/>
            </a:solidFill>
          </a:endParaRPr>
        </a:p>
      </xdr:txBody>
    </xdr:sp>
    <xdr:clientData/>
  </xdr:twoCellAnchor>
  <xdr:twoCellAnchor>
    <xdr:from>
      <xdr:col>14</xdr:col>
      <xdr:colOff>19517</xdr:colOff>
      <xdr:row>0</xdr:row>
      <xdr:rowOff>563468</xdr:rowOff>
    </xdr:from>
    <xdr:to>
      <xdr:col>25</xdr:col>
      <xdr:colOff>590551</xdr:colOff>
      <xdr:row>26</xdr:row>
      <xdr:rowOff>2135</xdr:rowOff>
    </xdr:to>
    <xdr:graphicFrame>
      <xdr:nvGraphicFramePr>
        <xdr:cNvPr id="16" name="Chart 15"/>
        <xdr:cNvGraphicFramePr/>
      </xdr:nvGraphicFramePr>
      <xdr:xfrm>
        <a:off x="8660130" y="563245"/>
        <a:ext cx="7360920" cy="42100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18602</xdr:colOff>
      <xdr:row>24</xdr:row>
      <xdr:rowOff>77208</xdr:rowOff>
    </xdr:from>
    <xdr:to>
      <xdr:col>2</xdr:col>
      <xdr:colOff>593912</xdr:colOff>
      <xdr:row>30</xdr:row>
      <xdr:rowOff>9300</xdr:rowOff>
    </xdr:to>
    <xdr:sp>
      <xdr:nvSpPr>
        <xdr:cNvPr id="35" name="Rectangle: Rounded Corners 34"/>
        <xdr:cNvSpPr/>
      </xdr:nvSpPr>
      <xdr:spPr>
        <a:xfrm>
          <a:off x="18415" y="4512945"/>
          <a:ext cx="1809750" cy="937895"/>
        </a:xfrm>
        <a:prstGeom prst="roundRect">
          <a:avLst>
            <a:gd name="adj" fmla="val 14593"/>
          </a:avLst>
        </a:prstGeom>
        <a:solidFill>
          <a:schemeClr val="bg1"/>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174363</xdr:colOff>
      <xdr:row>1</xdr:row>
      <xdr:rowOff>107575</xdr:rowOff>
    </xdr:from>
    <xdr:to>
      <xdr:col>8</xdr:col>
      <xdr:colOff>479163</xdr:colOff>
      <xdr:row>4</xdr:row>
      <xdr:rowOff>54237</xdr:rowOff>
    </xdr:to>
    <xdr:sp textlink="Tables!B12">
      <xdr:nvSpPr>
        <xdr:cNvPr id="7" name="TextBox 6"/>
        <xdr:cNvSpPr txBox="1"/>
      </xdr:nvSpPr>
      <xdr:spPr>
        <a:xfrm>
          <a:off x="4494530" y="678815"/>
          <a:ext cx="92202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29B747-AD80-4ED2-B7C2-8B30B1D2BF8E}" type="TxLink">
            <a:rPr lang="en-US" sz="1800" b="1" i="0" u="none" strike="noStrike">
              <a:solidFill>
                <a:schemeClr val="bg1"/>
              </a:solidFill>
              <a:latin typeface="Arial" panose="020B0604020202020204"/>
              <a:cs typeface="Arial" panose="020B0604020202020204"/>
            </a:rPr>
            <a:t>143</a:t>
          </a:fld>
          <a:endParaRPr lang="en-US" sz="6000" b="1">
            <a:solidFill>
              <a:schemeClr val="bg1"/>
            </a:solidFill>
            <a:latin typeface="Book Antiqua" panose="02040602050305030304" pitchFamily="18" charset="0"/>
          </a:endParaRPr>
        </a:p>
      </xdr:txBody>
    </xdr:sp>
    <xdr:clientData/>
  </xdr:twoCellAnchor>
  <xdr:twoCellAnchor>
    <xdr:from>
      <xdr:col>14</xdr:col>
      <xdr:colOff>15241</xdr:colOff>
      <xdr:row>26</xdr:row>
      <xdr:rowOff>0</xdr:rowOff>
    </xdr:from>
    <xdr:to>
      <xdr:col>25</xdr:col>
      <xdr:colOff>590550</xdr:colOff>
      <xdr:row>38</xdr:row>
      <xdr:rowOff>145676</xdr:rowOff>
    </xdr:to>
    <xdr:graphicFrame>
      <xdr:nvGraphicFramePr>
        <xdr:cNvPr id="10" name="Chart 9"/>
        <xdr:cNvGraphicFramePr/>
      </xdr:nvGraphicFramePr>
      <xdr:xfrm>
        <a:off x="8656320" y="4771390"/>
        <a:ext cx="7364730" cy="21570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11206</xdr:colOff>
      <xdr:row>13</xdr:row>
      <xdr:rowOff>22412</xdr:rowOff>
    </xdr:from>
    <xdr:to>
      <xdr:col>14</xdr:col>
      <xdr:colOff>21469</xdr:colOff>
      <xdr:row>38</xdr:row>
      <xdr:rowOff>145676</xdr:rowOff>
    </xdr:to>
    <xdr:graphicFrame>
      <xdr:nvGraphicFramePr>
        <xdr:cNvPr id="12" name="Chart 11"/>
        <xdr:cNvGraphicFramePr/>
      </xdr:nvGraphicFramePr>
      <xdr:xfrm>
        <a:off x="1862455" y="2605405"/>
        <a:ext cx="6799580" cy="43230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xdr:colOff>
      <xdr:row>20</xdr:row>
      <xdr:rowOff>20731</xdr:rowOff>
    </xdr:from>
    <xdr:to>
      <xdr:col>3</xdr:col>
      <xdr:colOff>1</xdr:colOff>
      <xdr:row>27</xdr:row>
      <xdr:rowOff>56030</xdr:rowOff>
    </xdr:to>
    <xdr:sp>
      <xdr:nvSpPr>
        <xdr:cNvPr id="13" name="Rectangle: Rounded Corners 12"/>
        <xdr:cNvSpPr/>
      </xdr:nvSpPr>
      <xdr:spPr>
        <a:xfrm>
          <a:off x="0" y="3785870"/>
          <a:ext cx="1851660" cy="1209040"/>
        </a:xfrm>
        <a:prstGeom prst="roundRect">
          <a:avLst>
            <a:gd name="adj" fmla="val 14593"/>
          </a:avLst>
        </a:prstGeom>
        <a:gradFill flip="none" rotWithShape="1">
          <a:gsLst>
            <a:gs pos="0">
              <a:srgbClr val="C00000"/>
            </a:gs>
            <a:gs pos="50000">
              <a:srgbClr val="820000"/>
            </a:gs>
            <a:gs pos="100000">
              <a:srgbClr val="680000"/>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104776</xdr:colOff>
      <xdr:row>21</xdr:row>
      <xdr:rowOff>131444</xdr:rowOff>
    </xdr:from>
    <xdr:to>
      <xdr:col>2</xdr:col>
      <xdr:colOff>432434</xdr:colOff>
      <xdr:row>25</xdr:row>
      <xdr:rowOff>140970</xdr:rowOff>
    </xdr:to>
    <xdr:sp>
      <xdr:nvSpPr>
        <xdr:cNvPr id="15" name="TextBox 14"/>
        <xdr:cNvSpPr txBox="1"/>
      </xdr:nvSpPr>
      <xdr:spPr>
        <a:xfrm>
          <a:off x="104775" y="4064000"/>
          <a:ext cx="1561465" cy="680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bg1"/>
              </a:solidFill>
            </a:rPr>
            <a:t>Observation</a:t>
          </a:r>
          <a:r>
            <a:rPr lang="en-US" sz="1800" b="1" baseline="0">
              <a:solidFill>
                <a:schemeClr val="bg1"/>
              </a:solidFill>
            </a:rPr>
            <a:t> Type</a:t>
          </a:r>
          <a:endParaRPr lang="en-US" sz="1800" b="1">
            <a:solidFill>
              <a:schemeClr val="bg1"/>
            </a:solidFill>
          </a:endParaRPr>
        </a:p>
      </xdr:txBody>
    </xdr:sp>
    <xdr:clientData/>
  </xdr:twoCellAnchor>
  <xdr:twoCellAnchor>
    <xdr:from>
      <xdr:col>3</xdr:col>
      <xdr:colOff>9525</xdr:colOff>
      <xdr:row>4</xdr:row>
      <xdr:rowOff>150495</xdr:rowOff>
    </xdr:from>
    <xdr:to>
      <xdr:col>8</xdr:col>
      <xdr:colOff>594359</xdr:colOff>
      <xdr:row>13</xdr:row>
      <xdr:rowOff>36195</xdr:rowOff>
    </xdr:to>
    <xdr:graphicFrame>
      <xdr:nvGraphicFramePr>
        <xdr:cNvPr id="14" name="Chart 13"/>
        <xdr:cNvGraphicFramePr/>
      </xdr:nvGraphicFramePr>
      <xdr:xfrm>
        <a:off x="1861185" y="1224915"/>
        <a:ext cx="3670300" cy="13944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109761</xdr:colOff>
      <xdr:row>27</xdr:row>
      <xdr:rowOff>39557</xdr:rowOff>
    </xdr:from>
    <xdr:to>
      <xdr:col>1</xdr:col>
      <xdr:colOff>229776</xdr:colOff>
      <xdr:row>29</xdr:row>
      <xdr:rowOff>60512</xdr:rowOff>
    </xdr:to>
    <xdr:sp>
      <xdr:nvSpPr>
        <xdr:cNvPr id="17" name="TextBox 16"/>
        <xdr:cNvSpPr txBox="1"/>
      </xdr:nvSpPr>
      <xdr:spPr>
        <a:xfrm>
          <a:off x="109220" y="4978400"/>
          <a:ext cx="737235" cy="356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LSR</a:t>
          </a:r>
          <a:endParaRPr lang="en-US" sz="1800" b="1"/>
        </a:p>
      </xdr:txBody>
    </xdr:sp>
    <xdr:clientData/>
  </xdr:twoCellAnchor>
  <xdr:twoCellAnchor>
    <xdr:from>
      <xdr:col>0</xdr:col>
      <xdr:colOff>143098</xdr:colOff>
      <xdr:row>30</xdr:row>
      <xdr:rowOff>48408</xdr:rowOff>
    </xdr:from>
    <xdr:to>
      <xdr:col>1</xdr:col>
      <xdr:colOff>291688</xdr:colOff>
      <xdr:row>32</xdr:row>
      <xdr:rowOff>48409</xdr:rowOff>
    </xdr:to>
    <xdr:sp>
      <xdr:nvSpPr>
        <xdr:cNvPr id="20" name="TextBox 19"/>
        <xdr:cNvSpPr txBox="1"/>
      </xdr:nvSpPr>
      <xdr:spPr>
        <a:xfrm>
          <a:off x="142875" y="5490210"/>
          <a:ext cx="765810" cy="3352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t>Other</a:t>
          </a:r>
          <a:endParaRPr lang="en-US" sz="1800" b="1"/>
        </a:p>
      </xdr:txBody>
    </xdr:sp>
    <xdr:clientData/>
  </xdr:twoCellAnchor>
  <xdr:twoCellAnchor>
    <xdr:from>
      <xdr:col>1</xdr:col>
      <xdr:colOff>391309</xdr:colOff>
      <xdr:row>27</xdr:row>
      <xdr:rowOff>47175</xdr:rowOff>
    </xdr:from>
    <xdr:to>
      <xdr:col>2</xdr:col>
      <xdr:colOff>362733</xdr:colOff>
      <xdr:row>29</xdr:row>
      <xdr:rowOff>111946</xdr:rowOff>
    </xdr:to>
    <xdr:sp textlink="Tables!T77">
      <xdr:nvSpPr>
        <xdr:cNvPr id="21" name="TextBox 20"/>
        <xdr:cNvSpPr txBox="1"/>
      </xdr:nvSpPr>
      <xdr:spPr>
        <a:xfrm>
          <a:off x="1008380" y="4986020"/>
          <a:ext cx="588645"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BAB1F1B-6253-49A8-AEE9-E7C09AF61669}" type="TxLink">
            <a:rPr lang="en-US" sz="1400" b="1" i="0" u="none" strike="noStrike">
              <a:solidFill>
                <a:srgbClr val="000000"/>
              </a:solidFill>
              <a:latin typeface="Arial" panose="020B0604020202020204"/>
              <a:cs typeface="Arial" panose="020B0604020202020204"/>
            </a:rPr>
            <a:t>50</a:t>
          </a:fld>
          <a:endParaRPr lang="en-US" sz="3200" b="1"/>
        </a:p>
      </xdr:txBody>
    </xdr:sp>
    <xdr:clientData/>
  </xdr:twoCellAnchor>
  <xdr:twoCellAnchor>
    <xdr:from>
      <xdr:col>1</xdr:col>
      <xdr:colOff>396071</xdr:colOff>
      <xdr:row>30</xdr:row>
      <xdr:rowOff>65889</xdr:rowOff>
    </xdr:from>
    <xdr:to>
      <xdr:col>2</xdr:col>
      <xdr:colOff>357970</xdr:colOff>
      <xdr:row>32</xdr:row>
      <xdr:rowOff>136824</xdr:rowOff>
    </xdr:to>
    <xdr:sp textlink="Tables!T76">
      <xdr:nvSpPr>
        <xdr:cNvPr id="22" name="TextBox 21"/>
        <xdr:cNvSpPr txBox="1"/>
      </xdr:nvSpPr>
      <xdr:spPr>
        <a:xfrm>
          <a:off x="1012825" y="5507355"/>
          <a:ext cx="579120" cy="406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90911B-35BC-4914-B9CB-095885098F2D}" type="TxLink">
            <a:rPr lang="en-US" sz="1400" b="1" i="0" u="none" strike="noStrike">
              <a:solidFill>
                <a:srgbClr val="000000"/>
              </a:solidFill>
              <a:latin typeface="Arial" panose="020B0604020202020204"/>
              <a:cs typeface="Arial" panose="020B0604020202020204"/>
            </a:rPr>
            <a:t>66</a:t>
          </a:fld>
          <a:endParaRPr lang="en-US" sz="3200" b="1"/>
        </a:p>
      </xdr:txBody>
    </xdr:sp>
    <xdr:clientData/>
  </xdr:twoCellAnchor>
  <xdr:twoCellAnchor>
    <xdr:from>
      <xdr:col>11</xdr:col>
      <xdr:colOff>561975</xdr:colOff>
      <xdr:row>6</xdr:row>
      <xdr:rowOff>18602</xdr:rowOff>
    </xdr:from>
    <xdr:to>
      <xdr:col>14</xdr:col>
      <xdr:colOff>16921</xdr:colOff>
      <xdr:row>13</xdr:row>
      <xdr:rowOff>29808</xdr:rowOff>
    </xdr:to>
    <xdr:sp>
      <xdr:nvSpPr>
        <xdr:cNvPr id="23" name="Rectangle: Rounded Corners 22"/>
        <xdr:cNvSpPr/>
      </xdr:nvSpPr>
      <xdr:spPr>
        <a:xfrm>
          <a:off x="7351395" y="1428115"/>
          <a:ext cx="1306195" cy="1184275"/>
        </a:xfrm>
        <a:prstGeom prst="roundRect">
          <a:avLst>
            <a:gd name="adj" fmla="val 9048"/>
          </a:avLst>
        </a:prstGeom>
        <a:solidFill>
          <a:schemeClr val="bg1"/>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561975</xdr:colOff>
      <xdr:row>1</xdr:row>
      <xdr:rowOff>11205</xdr:rowOff>
    </xdr:from>
    <xdr:to>
      <xdr:col>14</xdr:col>
      <xdr:colOff>18602</xdr:colOff>
      <xdr:row>7</xdr:row>
      <xdr:rowOff>78441</xdr:rowOff>
    </xdr:to>
    <xdr:sp>
      <xdr:nvSpPr>
        <xdr:cNvPr id="11" name="Rectangle: Rounded Corners 10"/>
        <xdr:cNvSpPr/>
      </xdr:nvSpPr>
      <xdr:spPr>
        <a:xfrm>
          <a:off x="7351395" y="582295"/>
          <a:ext cx="1308100" cy="1073150"/>
        </a:xfrm>
        <a:prstGeom prst="roundRect">
          <a:avLst>
            <a:gd name="adj" fmla="val 9048"/>
          </a:avLst>
        </a:prstGeom>
        <a:solidFill>
          <a:schemeClr val="bg1"/>
        </a:solid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xdr:colOff>
      <xdr:row>1</xdr:row>
      <xdr:rowOff>19050</xdr:rowOff>
    </xdr:from>
    <xdr:to>
      <xdr:col>12</xdr:col>
      <xdr:colOff>56030</xdr:colOff>
      <xdr:row>13</xdr:row>
      <xdr:rowOff>29808</xdr:rowOff>
    </xdr:to>
    <xdr:graphicFrame>
      <xdr:nvGraphicFramePr>
        <xdr:cNvPr id="19" name="Chart 18"/>
        <xdr:cNvGraphicFramePr/>
      </xdr:nvGraphicFramePr>
      <xdr:xfrm>
        <a:off x="5554980" y="590550"/>
        <a:ext cx="1907540" cy="20218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326875</xdr:colOff>
      <xdr:row>2</xdr:row>
      <xdr:rowOff>63425</xdr:rowOff>
    </xdr:from>
    <xdr:to>
      <xdr:col>13</xdr:col>
      <xdr:colOff>406997</xdr:colOff>
      <xdr:row>3</xdr:row>
      <xdr:rowOff>134470</xdr:rowOff>
    </xdr:to>
    <xdr:sp>
      <xdr:nvSpPr>
        <xdr:cNvPr id="25" name="TextBox 24"/>
        <xdr:cNvSpPr txBox="1"/>
      </xdr:nvSpPr>
      <xdr:spPr>
        <a:xfrm>
          <a:off x="7733030" y="802005"/>
          <a:ext cx="697230" cy="238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Closed</a:t>
          </a:r>
          <a:endParaRPr lang="en-US" sz="1400" b="1"/>
        </a:p>
      </xdr:txBody>
    </xdr:sp>
    <xdr:clientData/>
  </xdr:twoCellAnchor>
  <xdr:twoCellAnchor>
    <xdr:from>
      <xdr:col>12</xdr:col>
      <xdr:colOff>153071</xdr:colOff>
      <xdr:row>2</xdr:row>
      <xdr:rowOff>158786</xdr:rowOff>
    </xdr:from>
    <xdr:to>
      <xdr:col>12</xdr:col>
      <xdr:colOff>295163</xdr:colOff>
      <xdr:row>3</xdr:row>
      <xdr:rowOff>121583</xdr:rowOff>
    </xdr:to>
    <xdr:sp>
      <xdr:nvSpPr>
        <xdr:cNvPr id="27" name="Rectangle: Rounded Corners 26"/>
        <xdr:cNvSpPr/>
      </xdr:nvSpPr>
      <xdr:spPr>
        <a:xfrm>
          <a:off x="7559675" y="897890"/>
          <a:ext cx="141605" cy="130175"/>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306368</xdr:colOff>
      <xdr:row>4</xdr:row>
      <xdr:rowOff>48409</xdr:rowOff>
    </xdr:from>
    <xdr:to>
      <xdr:col>13</xdr:col>
      <xdr:colOff>378870</xdr:colOff>
      <xdr:row>6</xdr:row>
      <xdr:rowOff>44824</xdr:rowOff>
    </xdr:to>
    <xdr:sp textlink="Tables!E64">
      <xdr:nvSpPr>
        <xdr:cNvPr id="28" name="TextBox 27"/>
        <xdr:cNvSpPr txBox="1"/>
      </xdr:nvSpPr>
      <xdr:spPr>
        <a:xfrm>
          <a:off x="7712710" y="1122680"/>
          <a:ext cx="689610" cy="33147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18BE075-342E-4871-950D-244272C47DCF}" type="TxLink">
            <a:rPr lang="en-US" sz="1400" b="1" i="0" u="none" strike="noStrike">
              <a:solidFill>
                <a:srgbClr val="000000"/>
              </a:solidFill>
              <a:latin typeface="Arial" panose="020B0604020202020204"/>
              <a:cs typeface="Arial" panose="020B0604020202020204"/>
            </a:rPr>
            <a:t>116</a:t>
          </a:fld>
          <a:endParaRPr lang="en-US" sz="4000" b="1"/>
        </a:p>
      </xdr:txBody>
    </xdr:sp>
    <xdr:clientData/>
  </xdr:twoCellAnchor>
  <xdr:twoCellAnchor>
    <xdr:from>
      <xdr:col>9</xdr:col>
      <xdr:colOff>475673</xdr:colOff>
      <xdr:row>5</xdr:row>
      <xdr:rowOff>33010</xdr:rowOff>
    </xdr:from>
    <xdr:to>
      <xdr:col>11</xdr:col>
      <xdr:colOff>231321</xdr:colOff>
      <xdr:row>9</xdr:row>
      <xdr:rowOff>42310</xdr:rowOff>
    </xdr:to>
    <xdr:sp textlink="Tables!F64">
      <xdr:nvSpPr>
        <xdr:cNvPr id="24" name="TextBox 23"/>
        <xdr:cNvSpPr txBox="1"/>
      </xdr:nvSpPr>
      <xdr:spPr>
        <a:xfrm>
          <a:off x="6030595" y="1274445"/>
          <a:ext cx="989965" cy="6800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DFB3FC-5157-4AB3-AFAB-B6D34A327140}" type="TxLink">
            <a:rPr lang="en-US" sz="2400" b="1" i="0" u="none" strike="noStrike">
              <a:solidFill>
                <a:srgbClr val="000000"/>
              </a:solidFill>
              <a:latin typeface="Arial" panose="020B0604020202020204"/>
              <a:cs typeface="Arial" panose="020B0604020202020204"/>
            </a:rPr>
            <a:t>100%</a:t>
          </a:fld>
          <a:endParaRPr lang="en-US" sz="3200"/>
        </a:p>
      </xdr:txBody>
    </xdr:sp>
    <xdr:clientData/>
  </xdr:twoCellAnchor>
  <xdr:twoCellAnchor>
    <xdr:from>
      <xdr:col>12</xdr:col>
      <xdr:colOff>184784</xdr:colOff>
      <xdr:row>9</xdr:row>
      <xdr:rowOff>28125</xdr:rowOff>
    </xdr:from>
    <xdr:to>
      <xdr:col>12</xdr:col>
      <xdr:colOff>323066</xdr:colOff>
      <xdr:row>9</xdr:row>
      <xdr:rowOff>159010</xdr:rowOff>
    </xdr:to>
    <xdr:sp>
      <xdr:nvSpPr>
        <xdr:cNvPr id="29" name="Rectangle: Rounded Corners 28"/>
        <xdr:cNvSpPr/>
      </xdr:nvSpPr>
      <xdr:spPr>
        <a:xfrm>
          <a:off x="7590790" y="1940560"/>
          <a:ext cx="138430" cy="130810"/>
        </a:xfrm>
        <a:prstGeom prst="roundRect">
          <a:avLst/>
        </a:prstGeom>
        <a:solidFill>
          <a:srgbClr val="FFD5D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401731</xdr:colOff>
      <xdr:row>8</xdr:row>
      <xdr:rowOff>83932</xdr:rowOff>
    </xdr:from>
    <xdr:to>
      <xdr:col>13</xdr:col>
      <xdr:colOff>470423</xdr:colOff>
      <xdr:row>9</xdr:row>
      <xdr:rowOff>154977</xdr:rowOff>
    </xdr:to>
    <xdr:sp>
      <xdr:nvSpPr>
        <xdr:cNvPr id="31" name="TextBox 30"/>
        <xdr:cNvSpPr txBox="1"/>
      </xdr:nvSpPr>
      <xdr:spPr>
        <a:xfrm>
          <a:off x="7807960" y="1828800"/>
          <a:ext cx="685800" cy="238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Open</a:t>
          </a:r>
          <a:endParaRPr lang="en-US" sz="1400" b="1"/>
        </a:p>
      </xdr:txBody>
    </xdr:sp>
    <xdr:clientData/>
  </xdr:twoCellAnchor>
  <xdr:twoCellAnchor>
    <xdr:from>
      <xdr:col>12</xdr:col>
      <xdr:colOff>347380</xdr:colOff>
      <xdr:row>9</xdr:row>
      <xdr:rowOff>166182</xdr:rowOff>
    </xdr:from>
    <xdr:to>
      <xdr:col>13</xdr:col>
      <xdr:colOff>419882</xdr:colOff>
      <xdr:row>11</xdr:row>
      <xdr:rowOff>158787</xdr:rowOff>
    </xdr:to>
    <xdr:sp textlink="Tables!D64">
      <xdr:nvSpPr>
        <xdr:cNvPr id="33" name="TextBox 32"/>
        <xdr:cNvSpPr txBox="1"/>
      </xdr:nvSpPr>
      <xdr:spPr>
        <a:xfrm>
          <a:off x="7753985" y="2078355"/>
          <a:ext cx="689610" cy="32829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9EFC17F-55C5-4E0F-8E33-4200BB0D32A6}" type="TxLink">
            <a:rPr lang="en-US" sz="1400" b="1" i="0" u="none" strike="noStrike">
              <a:solidFill>
                <a:srgbClr val="000000"/>
              </a:solidFill>
              <a:latin typeface="Arial" panose="020B0604020202020204"/>
              <a:cs typeface="Arial" panose="020B0604020202020204"/>
            </a:rPr>
            <a:t>0</a:t>
          </a:fld>
          <a:endParaRPr lang="en-US" sz="4000" b="1"/>
        </a:p>
      </xdr:txBody>
    </xdr:sp>
    <xdr:clientData/>
  </xdr:twoCellAnchor>
  <xdr:twoCellAnchor>
    <xdr:from>
      <xdr:col>0</xdr:col>
      <xdr:colOff>0</xdr:colOff>
      <xdr:row>0</xdr:row>
      <xdr:rowOff>551889</xdr:rowOff>
    </xdr:from>
    <xdr:to>
      <xdr:col>3</xdr:col>
      <xdr:colOff>0</xdr:colOff>
      <xdr:row>2</xdr:row>
      <xdr:rowOff>11206</xdr:rowOff>
    </xdr:to>
    <xdr:sp>
      <xdr:nvSpPr>
        <xdr:cNvPr id="38" name="Rectangle: Rounded Corners 37"/>
        <xdr:cNvSpPr/>
      </xdr:nvSpPr>
      <xdr:spPr>
        <a:xfrm>
          <a:off x="0" y="551815"/>
          <a:ext cx="1851660" cy="198120"/>
        </a:xfrm>
        <a:prstGeom prst="roundRect">
          <a:avLst>
            <a:gd name="adj" fmla="val 14593"/>
          </a:avLst>
        </a:prstGeom>
        <a:gradFill flip="none" rotWithShape="1">
          <a:gsLst>
            <a:gs pos="0">
              <a:srgbClr val="C00000"/>
            </a:gs>
            <a:gs pos="50000">
              <a:srgbClr val="820000"/>
            </a:gs>
            <a:gs pos="100000">
              <a:srgbClr val="680000"/>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131446</xdr:colOff>
      <xdr:row>0</xdr:row>
      <xdr:rowOff>539115</xdr:rowOff>
    </xdr:from>
    <xdr:to>
      <xdr:col>2</xdr:col>
      <xdr:colOff>480059</xdr:colOff>
      <xdr:row>2</xdr:row>
      <xdr:rowOff>28575</xdr:rowOff>
    </xdr:to>
    <xdr:sp>
      <xdr:nvSpPr>
        <xdr:cNvPr id="39" name="TextBox 38"/>
        <xdr:cNvSpPr txBox="1"/>
      </xdr:nvSpPr>
      <xdr:spPr>
        <a:xfrm>
          <a:off x="131445" y="539115"/>
          <a:ext cx="15824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chemeClr val="bg1"/>
              </a:solidFill>
            </a:rPr>
            <a:t>Filter</a:t>
          </a:r>
          <a:endParaRPr lang="en-US" sz="1400" b="1">
            <a:solidFill>
              <a:schemeClr val="bg1"/>
            </a:solidFill>
          </a:endParaRPr>
        </a:p>
      </xdr:txBody>
    </xdr:sp>
    <xdr:clientData/>
  </xdr:twoCellAnchor>
  <xdr:twoCellAnchor>
    <xdr:from>
      <xdr:col>0</xdr:col>
      <xdr:colOff>99283</xdr:colOff>
      <xdr:row>27</xdr:row>
      <xdr:rowOff>155424</xdr:rowOff>
    </xdr:from>
    <xdr:to>
      <xdr:col>0</xdr:col>
      <xdr:colOff>241375</xdr:colOff>
      <xdr:row>28</xdr:row>
      <xdr:rowOff>118221</xdr:rowOff>
    </xdr:to>
    <xdr:sp>
      <xdr:nvSpPr>
        <xdr:cNvPr id="8" name="Rectangle: Rounded Corners 7"/>
        <xdr:cNvSpPr/>
      </xdr:nvSpPr>
      <xdr:spPr>
        <a:xfrm>
          <a:off x="99060" y="5093970"/>
          <a:ext cx="142240" cy="130810"/>
        </a:xfrm>
        <a:prstGeom prst="roundRect">
          <a:avLst/>
        </a:prstGeom>
        <a:solidFill>
          <a:srgbClr val="C0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64321</xdr:colOff>
      <xdr:row>30</xdr:row>
      <xdr:rowOff>153631</xdr:rowOff>
    </xdr:from>
    <xdr:to>
      <xdr:col>0</xdr:col>
      <xdr:colOff>202603</xdr:colOff>
      <xdr:row>31</xdr:row>
      <xdr:rowOff>122591</xdr:rowOff>
    </xdr:to>
    <xdr:sp>
      <xdr:nvSpPr>
        <xdr:cNvPr id="18" name="Rectangle: Rounded Corners 17"/>
        <xdr:cNvSpPr/>
      </xdr:nvSpPr>
      <xdr:spPr>
        <a:xfrm>
          <a:off x="64135" y="5594985"/>
          <a:ext cx="138430" cy="137160"/>
        </a:xfrm>
        <a:prstGeom prst="roundRect">
          <a:avLst/>
        </a:prstGeom>
        <a:solidFill>
          <a:srgbClr val="0070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0</xdr:colOff>
      <xdr:row>1</xdr:row>
      <xdr:rowOff>156881</xdr:rowOff>
    </xdr:from>
    <xdr:to>
      <xdr:col>3</xdr:col>
      <xdr:colOff>13447</xdr:colOff>
      <xdr:row>20</xdr:row>
      <xdr:rowOff>44823</xdr:rowOff>
    </xdr:to>
    <mc:AlternateContent xmlns:mc="http://schemas.openxmlformats.org/markup-compatibility/2006">
      <mc:Choice xmlns:a14="http://schemas.microsoft.com/office/drawing/2010/main" Requires="a14">
        <xdr:graphicFrame>
          <xdr:nvGraphicFramePr>
            <xdr:cNvPr id="6" name="Months (Date)"/>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0" y="728345"/>
              <a:ext cx="1864995" cy="3081655"/>
            </a:xfrm>
            <a:prstGeom prst="rect">
              <a:avLst/>
            </a:prstGeom>
            <a:solidFill>
              <a:prstClr val="white"/>
            </a:solidFill>
            <a:ln w="1">
              <a:solidFill>
                <a:prstClr val="green"/>
              </a:solidFill>
            </a:ln>
          </xdr:spPr>
          <xdr:txBody>
            <a:bodyPr vertOverflow="clip" horzOverflow="clip"/>
            <a:lstStyle/>
            <a:p>
              <a:r>
                <a:rPr sz="1100"/>
                <a:t>This shape represents a slicer. 
Slicers are not supported in this version. Please update to the latest version of WPS Office.</a:t>
              </a:r>
            </a:p>
          </xdr:txBody>
        </xdr:sp>
      </mc:Fallback>
    </mc:AlternateContent>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17</xdr:col>
      <xdr:colOff>173184</xdr:colOff>
      <xdr:row>0</xdr:row>
      <xdr:rowOff>89694</xdr:rowOff>
    </xdr:from>
    <xdr:to>
      <xdr:col>17</xdr:col>
      <xdr:colOff>989162</xdr:colOff>
      <xdr:row>0</xdr:row>
      <xdr:rowOff>644048</xdr:rowOff>
    </xdr:to>
    <xdr:pic>
      <xdr:nvPicPr>
        <xdr:cNvPr id="7" name="Graphic 10"/>
        <xdr:cNvPicPr/>
      </xdr:nvPicPr>
      <xdr:blipFill>
        <a:blip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rcRect l="28933" t="26457" b="7779"/>
        <a:stretch>
          <a:fillRect/>
        </a:stretch>
      </xdr:blipFill>
      <xdr:spPr>
        <a:xfrm>
          <a:off x="38478460" y="89535"/>
          <a:ext cx="815975" cy="554355"/>
        </a:xfrm>
        <a:prstGeom prst="rect">
          <a:avLst/>
        </a:prstGeom>
      </xdr:spPr>
    </xdr:pic>
    <xdr:clientData/>
  </xdr:twoCellAnchor>
  <xdr:twoCellAnchor editAs="oneCell">
    <xdr:from>
      <xdr:col>18</xdr:col>
      <xdr:colOff>335500</xdr:colOff>
      <xdr:row>0</xdr:row>
      <xdr:rowOff>0</xdr:rowOff>
    </xdr:from>
    <xdr:to>
      <xdr:col>20</xdr:col>
      <xdr:colOff>41022</xdr:colOff>
      <xdr:row>0</xdr:row>
      <xdr:rowOff>642951</xdr:rowOff>
    </xdr:to>
    <xdr:pic>
      <xdr:nvPicPr>
        <xdr:cNvPr id="8" name="Picture 7" descr="A logo with a map of the country&#10;&#10;Description automatically generated"/>
        <xdr:cNvPicPr>
          <a:picLocks noChangeAspect="1"/>
        </xdr:cNvPicPr>
      </xdr:nvPicPr>
      <xdr:blipFill>
        <a:blip r:embed="rId4" cstate="print">
          <a:extLst>
            <a:ext uri="{28A0092B-C50C-407E-A947-70E740481C1C}">
              <a14:useLocalDpi xmlns:a14="http://schemas.microsoft.com/office/drawing/2010/main" val="0"/>
            </a:ext>
          </a:extLst>
        </a:blip>
        <a:srcRect/>
        <a:stretch>
          <a:fillRect/>
        </a:stretch>
      </xdr:blipFill>
      <xdr:spPr>
        <a:xfrm>
          <a:off x="40443785" y="0"/>
          <a:ext cx="1723390" cy="642620"/>
        </a:xfrm>
        <a:prstGeom prst="rect">
          <a:avLst/>
        </a:prstGeom>
        <a:noFill/>
        <a:ln>
          <a:noFill/>
        </a:ln>
      </xdr:spPr>
    </xdr:pic>
    <xdr:clientData/>
  </xdr:twoCellAnchor>
  <xdr:twoCellAnchor editAs="oneCell">
    <xdr:from>
      <xdr:col>2</xdr:col>
      <xdr:colOff>92547</xdr:colOff>
      <xdr:row>0</xdr:row>
      <xdr:rowOff>55485</xdr:rowOff>
    </xdr:from>
    <xdr:to>
      <xdr:col>2</xdr:col>
      <xdr:colOff>1108165</xdr:colOff>
      <xdr:row>0</xdr:row>
      <xdr:rowOff>650964</xdr:rowOff>
    </xdr:to>
    <xdr:pic>
      <xdr:nvPicPr>
        <xdr:cNvPr id="9" name=" " descr=" "/>
        <xdr:cNvPicPr/>
      </xdr:nvPicPr>
      <xdr:blipFill>
        <a:blip r:embed="rId5"/>
        <a:srcRect/>
        <a:stretch>
          <a:fillRect/>
        </a:stretch>
      </xdr:blipFill>
      <xdr:spPr>
        <a:xfrm>
          <a:off x="3138805" y="55245"/>
          <a:ext cx="1016000" cy="595630"/>
        </a:xfrm>
        <a:prstGeom prst="rect">
          <a:avLst/>
        </a:prstGeom>
        <a:noFill/>
        <a:ln w="9525" cap="flat" cmpd="sng">
          <a:noFill/>
          <a:prstDash val="solid"/>
          <a:miter/>
        </a:ln>
        <a:effectLst/>
      </xdr:spPr>
    </xdr:pic>
    <xdr:clientData/>
  </xdr:twoCellAnchor>
  <xdr:twoCellAnchor editAs="oneCell">
    <xdr:from>
      <xdr:col>0</xdr:col>
      <xdr:colOff>250860</xdr:colOff>
      <xdr:row>0</xdr:row>
      <xdr:rowOff>142085</xdr:rowOff>
    </xdr:from>
    <xdr:to>
      <xdr:col>1</xdr:col>
      <xdr:colOff>1672871</xdr:colOff>
      <xdr:row>0</xdr:row>
      <xdr:rowOff>604888</xdr:rowOff>
    </xdr:to>
    <xdr:pic>
      <xdr:nvPicPr>
        <xdr:cNvPr id="10" name="Picture 9"/>
        <xdr:cNvPicPr>
          <a:picLocks noChangeAspect="1"/>
        </xdr:cNvPicPr>
      </xdr:nvPicPr>
      <xdr:blipFill>
        <a:blip r:embed="rId6">
          <a:extLst>
            <a:ext uri="{28A0092B-C50C-407E-A947-70E740481C1C}">
              <a14:useLocalDpi xmlns:a14="http://schemas.microsoft.com/office/drawing/2010/main" val="0"/>
            </a:ext>
          </a:extLst>
        </a:blip>
        <a:srcRect/>
        <a:stretch>
          <a:fillRect/>
        </a:stretch>
      </xdr:blipFill>
      <xdr:spPr>
        <a:xfrm>
          <a:off x="250825" y="141605"/>
          <a:ext cx="2146935" cy="462915"/>
        </a:xfrm>
        <a:prstGeom prst="rect">
          <a:avLst/>
        </a:prstGeom>
        <a:noFill/>
        <a:ln>
          <a:noFill/>
        </a:ln>
      </xdr:spPr>
    </xdr:pic>
    <xdr:clientData/>
  </xdr:twoCellAnchor>
  <xdr:twoCellAnchor>
    <xdr:from>
      <xdr:col>0</xdr:col>
      <xdr:colOff>57151</xdr:colOff>
      <xdr:row>1</xdr:row>
      <xdr:rowOff>163285</xdr:rowOff>
    </xdr:from>
    <xdr:to>
      <xdr:col>0</xdr:col>
      <xdr:colOff>693964</xdr:colOff>
      <xdr:row>20</xdr:row>
      <xdr:rowOff>0</xdr:rowOff>
    </xdr:to>
    <xdr:sp>
      <xdr:nvSpPr>
        <xdr:cNvPr id="15" name="Rectangle: Rounded Corners 14"/>
        <xdr:cNvSpPr/>
      </xdr:nvSpPr>
      <xdr:spPr>
        <a:xfrm>
          <a:off x="57150" y="901700"/>
          <a:ext cx="636270" cy="3190875"/>
        </a:xfrm>
        <a:prstGeom prst="roundRect">
          <a:avLst>
            <a:gd name="adj" fmla="val 14593"/>
          </a:avLst>
        </a:prstGeom>
        <a:gradFill flip="none" rotWithShape="1">
          <a:gsLst>
            <a:gs pos="0">
              <a:srgbClr val="C00000"/>
            </a:gs>
            <a:gs pos="50000">
              <a:srgbClr val="820000"/>
            </a:gs>
            <a:gs pos="100000">
              <a:srgbClr val="680000"/>
            </a:gs>
          </a:gsLst>
          <a:lin ang="27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174917</xdr:colOff>
      <xdr:row>5</xdr:row>
      <xdr:rowOff>108860</xdr:rowOff>
    </xdr:from>
    <xdr:to>
      <xdr:col>0</xdr:col>
      <xdr:colOff>601686</xdr:colOff>
      <xdr:row>19</xdr:row>
      <xdr:rowOff>22271</xdr:rowOff>
    </xdr:to>
    <xdr:sp>
      <xdr:nvSpPr>
        <xdr:cNvPr id="18" name="TextBox 17"/>
        <xdr:cNvSpPr txBox="1"/>
      </xdr:nvSpPr>
      <xdr:spPr>
        <a:xfrm rot="16200000">
          <a:off x="-803910" y="2532380"/>
          <a:ext cx="2384425" cy="426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To Dashboard</a:t>
          </a:r>
          <a:endParaRPr lang="en-US" sz="2400" b="1">
            <a:solidFill>
              <a:schemeClr val="bg1"/>
            </a:solidFill>
          </a:endParaRPr>
        </a:p>
      </xdr:txBody>
    </xdr:sp>
    <xdr:clientData/>
  </xdr:twoCellAnchor>
  <xdr:twoCellAnchor>
    <xdr:from>
      <xdr:col>0</xdr:col>
      <xdr:colOff>122463</xdr:colOff>
      <xdr:row>2</xdr:row>
      <xdr:rowOff>163286</xdr:rowOff>
    </xdr:from>
    <xdr:to>
      <xdr:col>0</xdr:col>
      <xdr:colOff>544285</xdr:colOff>
      <xdr:row>7</xdr:row>
      <xdr:rowOff>149679</xdr:rowOff>
    </xdr:to>
    <xdr:sp>
      <xdr:nvSpPr>
        <xdr:cNvPr id="20" name="Arrow: Chevron 19"/>
        <xdr:cNvSpPr/>
      </xdr:nvSpPr>
      <xdr:spPr>
        <a:xfrm rot="10800000">
          <a:off x="121920" y="1078230"/>
          <a:ext cx="422275" cy="868680"/>
        </a:xfrm>
        <a:prstGeom prst="chevron">
          <a:avLst/>
        </a:prstGeom>
        <a:solidFill>
          <a:schemeClr val="bg1"/>
        </a:solidFill>
        <a:ln>
          <a:noFill/>
        </a:ln>
        <a:scene3d>
          <a:camera prst="orthographicFront"/>
          <a:lightRig rig="threePt" dir="t"/>
        </a:scene3d>
        <a:sp3d>
          <a:bevelT/>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0</xdr:col>
      <xdr:colOff>40821</xdr:colOff>
      <xdr:row>2</xdr:row>
      <xdr:rowOff>27214</xdr:rowOff>
    </xdr:from>
    <xdr:to>
      <xdr:col>0</xdr:col>
      <xdr:colOff>677634</xdr:colOff>
      <xdr:row>19</xdr:row>
      <xdr:rowOff>163286</xdr:rowOff>
    </xdr:to>
    <xdr:sp>
      <xdr:nvSpPr>
        <xdr:cNvPr id="21" name="Rectangle: Rounded Corners 20">
          <a:hlinkClick xmlns:r="http://schemas.openxmlformats.org/officeDocument/2006/relationships" r:id="rId7"/>
        </xdr:cNvPr>
        <xdr:cNvSpPr/>
      </xdr:nvSpPr>
      <xdr:spPr>
        <a:xfrm>
          <a:off x="40640" y="941705"/>
          <a:ext cx="636905" cy="3137535"/>
        </a:xfrm>
        <a:prstGeom prst="roundRect">
          <a:avLst>
            <a:gd name="adj" fmla="val 14593"/>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13607</xdr:colOff>
      <xdr:row>3</xdr:row>
      <xdr:rowOff>13607</xdr:rowOff>
    </xdr:from>
    <xdr:to>
      <xdr:col>8</xdr:col>
      <xdr:colOff>13899</xdr:colOff>
      <xdr:row>20</xdr:row>
      <xdr:rowOff>171552</xdr:rowOff>
    </xdr:to>
    <xdr:graphicFrame>
      <xdr:nvGraphicFramePr>
        <xdr:cNvPr id="2" name="Chart 1"/>
        <xdr:cNvGraphicFramePr/>
      </xdr:nvGraphicFramePr>
      <xdr:xfrm>
        <a:off x="10437495" y="1104900"/>
        <a:ext cx="4055745" cy="315912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7</xdr:col>
      <xdr:colOff>798</xdr:colOff>
      <xdr:row>69</xdr:row>
      <xdr:rowOff>6798</xdr:rowOff>
    </xdr:from>
    <xdr:to>
      <xdr:col>10</xdr:col>
      <xdr:colOff>20138</xdr:colOff>
      <xdr:row>96</xdr:row>
      <xdr:rowOff>33618</xdr:rowOff>
    </xdr:to>
    <xdr:graphicFrame>
      <xdr:nvGraphicFramePr>
        <xdr:cNvPr id="7" name="Chart 6"/>
        <xdr:cNvGraphicFramePr/>
      </xdr:nvGraphicFramePr>
      <xdr:xfrm>
        <a:off x="4621530" y="11602085"/>
        <a:ext cx="1468755" cy="455295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35377</xdr:colOff>
      <xdr:row>98</xdr:row>
      <xdr:rowOff>1</xdr:rowOff>
    </xdr:from>
    <xdr:to>
      <xdr:col>10</xdr:col>
      <xdr:colOff>0</xdr:colOff>
      <xdr:row>108</xdr:row>
      <xdr:rowOff>1</xdr:rowOff>
    </xdr:to>
    <xdr:graphicFrame>
      <xdr:nvGraphicFramePr>
        <xdr:cNvPr id="8" name="Chart 7"/>
        <xdr:cNvGraphicFramePr/>
      </xdr:nvGraphicFramePr>
      <xdr:xfrm>
        <a:off x="4655820" y="16457295"/>
        <a:ext cx="1414780" cy="167640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17143</xdr:colOff>
      <xdr:row>16</xdr:row>
      <xdr:rowOff>155862</xdr:rowOff>
    </xdr:from>
    <xdr:to>
      <xdr:col>10</xdr:col>
      <xdr:colOff>4139</xdr:colOff>
      <xdr:row>29</xdr:row>
      <xdr:rowOff>134470</xdr:rowOff>
    </xdr:to>
    <xdr:graphicFrame>
      <xdr:nvGraphicFramePr>
        <xdr:cNvPr id="11" name="Chart 10"/>
        <xdr:cNvGraphicFramePr/>
      </xdr:nvGraphicFramePr>
      <xdr:xfrm>
        <a:off x="4637405" y="2866390"/>
        <a:ext cx="1437005" cy="215773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17471</xdr:colOff>
      <xdr:row>34</xdr:row>
      <xdr:rowOff>16045</xdr:rowOff>
    </xdr:from>
    <xdr:to>
      <xdr:col>10</xdr:col>
      <xdr:colOff>0</xdr:colOff>
      <xdr:row>48</xdr:row>
      <xdr:rowOff>163345</xdr:rowOff>
    </xdr:to>
    <xdr:graphicFrame>
      <xdr:nvGraphicFramePr>
        <xdr:cNvPr id="12" name="Chart 11"/>
        <xdr:cNvGraphicFramePr/>
      </xdr:nvGraphicFramePr>
      <xdr:xfrm>
        <a:off x="4638040" y="5744210"/>
        <a:ext cx="1432560" cy="249428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7620</xdr:colOff>
      <xdr:row>50</xdr:row>
      <xdr:rowOff>136094</xdr:rowOff>
    </xdr:from>
    <xdr:to>
      <xdr:col>9</xdr:col>
      <xdr:colOff>16144</xdr:colOff>
      <xdr:row>65</xdr:row>
      <xdr:rowOff>143392</xdr:rowOff>
    </xdr:to>
    <xdr:graphicFrame>
      <xdr:nvGraphicFramePr>
        <xdr:cNvPr id="14" name="Chart 13"/>
        <xdr:cNvGraphicFramePr/>
      </xdr:nvGraphicFramePr>
      <xdr:xfrm>
        <a:off x="4628515" y="8546465"/>
        <a:ext cx="654685" cy="252158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createdVersion="8" refreshedVersion="8" minRefreshableVersion="3" refreshedDate="45992.4674740741" refreshedBy="Z BOOK" recordCount="2158">
  <cacheSource type="worksheet">
    <worksheetSource name="Table2"/>
  </cacheSource>
  <cacheFields count="23">
    <cacheField name="S/N" numFmtId="0"/>
    <cacheField name="Date" numFmtId="178">
      <sharedItems containsSemiMixedTypes="0" containsString="0" containsNonDate="0" containsDate="1" minDate="2025-01-01T00:00:00" maxDate="2025-11-28T00:00:00" count="302">
        <d v="2025-01-03T00:00:00"/>
        <d v="2025-01-05T00:00:00"/>
        <d v="2025-01-04T00:00:00"/>
        <d v="2025-01-02T00:00:00"/>
        <d v="2025-01-01T00:00:00"/>
        <d v="2025-01-06T00:00:00"/>
        <d v="2025-01-07T00:00:00"/>
        <d v="2025-01-08T00:00:00"/>
        <d v="2025-01-09T00:00:00"/>
        <d v="2025-01-11T00:00:00"/>
        <d v="2025-01-12T00:00:00"/>
        <d v="2025-01-10T00:00:00"/>
        <d v="2025-01-16T00:00:00"/>
        <d v="2025-01-13T00:00:00"/>
        <d v="2025-01-14T00:00:00"/>
        <d v="2025-01-15T00:00:00"/>
        <d v="2025-01-17T00:00:00"/>
        <d v="2025-01-18T00:00:00"/>
        <d v="2025-01-19T00:00:00"/>
        <d v="2025-01-22T00:00:00"/>
        <d v="2025-01-26T00:00:00"/>
        <d v="2025-01-24T00:00:00"/>
        <d v="2025-01-25T00:00:00"/>
        <d v="2025-01-27T00:00:00"/>
        <d v="2025-01-20T00:00:00"/>
        <d v="2025-01-28T00:00:00"/>
        <d v="2025-01-29T00:00:00"/>
        <d v="2025-01-30T00:00:00"/>
        <d v="2025-01-31T00:00:00"/>
        <d v="2025-02-02T00:00:00"/>
        <d v="2025-02-04T00:00:00"/>
        <d v="2025-02-05T00:00:00"/>
        <d v="2025-02-06T00:00:00"/>
        <d v="2025-02-07T00:00:00"/>
        <d v="2025-02-09T00:00:00"/>
        <d v="2025-02-10T00:00:00"/>
        <d v="2025-02-13T00:00:00"/>
        <d v="2025-02-14T00:00:00"/>
        <d v="2025-02-17T00:00:00"/>
        <d v="2025-02-18T00:00:00"/>
        <d v="2025-02-19T00:00:00"/>
        <d v="2025-02-21T00:00:00"/>
        <d v="2025-02-22T00:00:00"/>
        <d v="2025-02-24T00:00:00"/>
        <d v="2025-02-25T00:00:00"/>
        <d v="2025-02-16T00:00:00"/>
        <d v="2025-02-15T00:00:00"/>
        <d v="2025-02-20T00:00:00"/>
        <d v="2025-02-23T00:00:00"/>
        <d v="2025-02-26T00:00:00"/>
        <d v="2025-02-27T00:00:00"/>
        <d v="2025-02-28T00:00:00"/>
        <d v="2025-03-02T00:00:00"/>
        <d v="2025-03-10T00:00:00"/>
        <d v="2025-03-06T00:00:00"/>
        <d v="2025-03-07T00:00:00"/>
        <d v="2025-03-08T00:00:00"/>
        <d v="2025-03-09T00:00:00"/>
        <d v="2025-03-03T00:00:00"/>
        <d v="2025-03-04T00:00:00"/>
        <d v="2025-03-05T00:00:00"/>
        <d v="2025-03-01T00:00:00"/>
        <d v="2025-03-12T00:00:00"/>
        <d v="2025-03-13T00:00:00"/>
        <d v="2025-03-15T00:00:00"/>
        <d v="2025-03-16T00:00:00"/>
        <d v="2025-03-17T00:00:00"/>
        <d v="2025-03-18T00:00:00"/>
        <d v="2025-03-22T00:00:00"/>
        <d v="2025-03-20T00:00:00"/>
        <d v="2025-03-21T00:00:00"/>
        <d v="2025-03-11T00:00:00"/>
        <d v="2025-03-19T00:00:00"/>
        <d v="2025-03-23T00:00:00"/>
        <d v="2025-03-25T00:00:00"/>
        <d v="2025-03-27T00:00:00"/>
        <d v="2025-03-29T00:00:00"/>
        <d v="2025-03-14T00:00:00"/>
        <d v="2025-04-03T00:00:00"/>
        <d v="2025-04-05T00:00:00"/>
        <d v="2025-04-06T00:00:00"/>
        <d v="2025-04-07T00:00:00"/>
        <d v="2025-04-08T00:00:00"/>
        <d v="2025-04-09T00:00:00"/>
        <d v="2025-04-10T00:00:00"/>
        <d v="2025-04-12T00:00:00"/>
        <d v="2025-04-13T00:00:00"/>
        <d v="2025-04-14T00:00:00"/>
        <d v="2025-04-15T00:00:00"/>
        <d v="2025-04-16T00:00:00"/>
        <d v="2025-04-17T00:00:00"/>
        <d v="2025-04-19T00:00:00"/>
        <d v="2025-04-20T00:00:00"/>
        <d v="2025-04-22T00:00:00"/>
        <d v="2025-04-23T00:00:00"/>
        <d v="2025-04-24T00:00:00"/>
        <d v="2025-04-26T00:00:00"/>
        <d v="2025-04-21T00:00:00"/>
        <d v="2025-04-02T00:00:00"/>
        <d v="2025-04-30T00:00:00"/>
        <d v="2025-04-28T00:00:00"/>
        <d v="2025-04-29T00:00:00"/>
        <d v="2025-04-27T00:00:00"/>
        <d v="2025-03-24T00:00:00"/>
        <d v="2025-04-25T00:00:00"/>
        <d v="2025-04-11T00:00:00"/>
        <d v="2025-04-04T00:00:00"/>
        <d v="2025-05-05T00:00:00"/>
        <d v="2025-05-03T00:00:00"/>
        <d v="2025-05-06T00:00:00"/>
        <d v="2025-05-04T00:00:00"/>
        <d v="2025-05-02T00:00:00"/>
        <d v="2025-05-07T00:00:00"/>
        <d v="2025-05-08T00:00:00"/>
        <d v="2025-05-14T00:00:00"/>
        <d v="2025-05-13T00:00:00"/>
        <d v="2025-05-11T00:00:00"/>
        <d v="2025-05-12T00:00:00"/>
        <d v="2025-05-15T00:00:00"/>
        <d v="2025-05-16T00:00:00"/>
        <d v="2025-05-10T00:00:00"/>
        <d v="2025-05-18T00:00:00"/>
        <d v="2025-05-19T00:00:00"/>
        <d v="2025-05-17T00:00:00"/>
        <d v="2025-05-22T00:00:00"/>
        <d v="2025-05-20T00:00:00"/>
        <d v="2025-05-21T00:00:00"/>
        <d v="2025-05-26T00:00:00"/>
        <d v="2025-05-28T00:00:00"/>
        <d v="2025-05-27T00:00:00"/>
        <d v="2025-05-24T00:00:00"/>
        <d v="2025-05-25T00:00:00"/>
        <d v="2025-05-29T00:00:00"/>
        <d v="2025-05-01T00:00:00"/>
        <d v="2025-06-01T00:00:00"/>
        <d v="2025-06-02T00:00:00"/>
        <d v="2025-06-03T00:00:00"/>
        <d v="2025-06-05T00:00:00"/>
        <d v="2025-06-11T00:00:00"/>
        <d v="2025-06-12T00:00:00"/>
        <d v="2025-06-09T00:00:00"/>
        <d v="2025-06-10T00:00:00"/>
        <d v="2025-06-14T00:00:00"/>
        <d v="2025-06-15T00:00:00"/>
        <d v="2025-06-16T00:00:00"/>
        <d v="2025-06-17T00:00:00"/>
        <d v="2025-06-18T00:00:00"/>
        <d v="2025-06-19T00:00:00"/>
        <d v="2025-06-20T00:00:00"/>
        <d v="2025-06-13T00:00:00"/>
        <d v="2025-06-21T00:00:00"/>
        <d v="2025-06-22T00:00:00"/>
        <d v="2025-06-23T00:00:00"/>
        <d v="2025-06-24T00:00:00"/>
        <d v="2025-06-25T00:00:00"/>
        <d v="2025-06-26T00:00:00"/>
        <d v="2025-06-28T00:00:00"/>
        <d v="2025-06-29T00:00:00"/>
        <d v="2025-06-30T00:00:00"/>
        <d v="2025-07-01T00:00:00"/>
        <d v="2025-07-02T00:00:00"/>
        <d v="2025-07-03T00:00:00"/>
        <d v="2025-07-04T00:00:00"/>
        <d v="2025-06-27T00:00:00"/>
        <d v="2025-07-05T00:00:00"/>
        <d v="2025-07-07T00:00:00"/>
        <d v="2025-07-09T00:00:00"/>
        <d v="2025-07-06T00:00:00"/>
        <d v="2025-07-10T00:00:00"/>
        <d v="2025-07-08T00:00:00"/>
        <d v="2025-07-11T00:00:00"/>
        <d v="2025-07-14T00:00:00"/>
        <d v="2025-07-13T00:00:00"/>
        <d v="2025-07-16T00:00:00"/>
        <d v="2025-07-17T00:00:00"/>
        <d v="2025-07-12T00:00:00"/>
        <d v="2025-07-15T00:00:00"/>
        <d v="2025-07-20T00:00:00"/>
        <d v="2025-07-23T00:00:00"/>
        <d v="2025-07-19T00:00:00"/>
        <d v="2025-07-21T00:00:00"/>
        <d v="2025-07-24T00:00:00"/>
        <d v="2025-07-22T00:00:00"/>
        <d v="2025-07-26T00:00:00"/>
        <d v="2025-07-27T00:00:00"/>
        <d v="2025-07-28T00:00:00"/>
        <d v="2025-07-29T00:00:00"/>
        <d v="2025-07-30T00:00:00"/>
        <d v="2025-07-31T00:00:00"/>
        <d v="2025-08-07T00:00:00"/>
        <d v="2025-08-02T00:00:00"/>
        <d v="2025-08-03T00:00:00"/>
        <d v="2025-08-04T00:00:00"/>
        <d v="2025-08-06T00:00:00"/>
        <d v="2025-08-08T00:00:00"/>
        <d v="2025-08-01T00:00:00"/>
        <d v="2025-08-13T00:00:00"/>
        <d v="2025-08-21T00:00:00"/>
        <d v="2025-08-20T00:00:00"/>
        <d v="2025-08-19T00:00:00"/>
        <d v="2025-08-18T00:00:00"/>
        <d v="2025-08-17T00:00:00"/>
        <d v="2025-08-28T00:00:00"/>
        <d v="2025-08-25T00:00:00"/>
        <d v="2025-08-27T00:00:00"/>
        <d v="2025-08-26T00:00:00"/>
        <d v="2025-08-29T00:00:00"/>
        <d v="2025-08-24T00:00:00"/>
        <d v="2025-08-23T00:00:00"/>
        <d v="2025-08-05T00:00:00"/>
        <d v="2025-08-09T00:00:00"/>
        <d v="2025-08-10T00:00:00"/>
        <d v="2025-08-11T00:00:00"/>
        <d v="2025-08-12T00:00:00"/>
        <d v="2025-08-16T00:00:00"/>
        <d v="2025-08-14T00:00:00"/>
        <d v="2025-08-15T00:00:00"/>
        <d v="2025-09-02T00:00:00"/>
        <d v="2025-08-30T00:00:00"/>
        <d v="2025-09-01T00:00:00"/>
        <d v="2025-09-03T00:00:00"/>
        <d v="2025-09-04T00:00:00"/>
        <d v="2025-09-06T00:00:00"/>
        <d v="2025-08-31T00:00:00"/>
        <d v="2025-09-07T00:00:00"/>
        <d v="2025-09-08T00:00:00"/>
        <d v="2025-09-09T00:00:00"/>
        <d v="2025-09-10T00:00:00"/>
        <d v="2025-09-11T00:00:00"/>
        <d v="2025-09-12T00:00:00"/>
        <d v="2025-09-05T00:00:00"/>
        <d v="2025-09-15T00:00:00"/>
        <d v="2025-09-14T00:00:00"/>
        <d v="2025-09-16T00:00:00"/>
        <d v="2025-09-18T00:00:00"/>
        <d v="2025-09-17T00:00:00"/>
        <d v="2025-09-13T00:00:00"/>
        <d v="2025-09-20T00:00:00"/>
        <d v="2025-09-23T00:00:00"/>
        <d v="2025-09-19T00:00:00"/>
        <d v="2025-09-22T00:00:00"/>
        <d v="2025-09-25T00:00:00"/>
        <d v="2025-09-21T00:00:00"/>
        <d v="2025-09-24T00:00:00"/>
        <d v="2025-09-27T00:00:00"/>
        <d v="2025-09-28T00:00:00"/>
        <d v="2025-09-29T00:00:00"/>
        <d v="2025-10-01T00:00:00"/>
        <d v="2025-10-02T00:00:00"/>
        <d v="2025-09-30T00:00:00"/>
        <d v="2025-10-03T00:00:00"/>
        <d v="2025-10-07T00:00:00"/>
        <d v="2025-10-08T00:00:00"/>
        <d v="2025-10-09T00:00:00"/>
        <d v="2025-10-04T00:00:00"/>
        <d v="2025-10-05T00:00:00"/>
        <d v="2025-10-06T00:00:00"/>
        <d v="2025-10-10T00:00:00"/>
        <d v="2025-10-14T00:00:00"/>
        <d v="2025-10-17T00:00:00"/>
        <d v="2025-10-11T00:00:00"/>
        <d v="2025-10-12T00:00:00"/>
        <d v="2025-10-13T00:00:00"/>
        <d v="2025-10-15T00:00:00"/>
        <d v="2025-10-16T00:00:00"/>
        <d v="2025-10-23T00:00:00"/>
        <d v="2025-10-20T00:00:00"/>
        <d v="2025-10-18T00:00:00"/>
        <d v="2025-10-22T00:00:00"/>
        <d v="2025-10-19T00:00:00"/>
        <d v="2025-10-21T00:00:00"/>
        <d v="2025-10-27T00:00:00"/>
        <d v="2025-10-29T00:00:00"/>
        <d v="2025-10-26T00:00:00"/>
        <d v="2025-10-28T00:00:00"/>
        <d v="2025-10-25T00:00:00"/>
        <d v="2025-10-30T00:00:00"/>
        <d v="2025-11-02T00:00:00"/>
        <d v="2025-11-03T00:00:00"/>
        <d v="2025-11-05T00:00:00"/>
        <d v="2025-11-01T00:00:00"/>
        <d v="2025-11-04T00:00:00"/>
        <d v="2025-11-06T00:00:00"/>
        <d v="2025-11-12T00:00:00"/>
        <d v="2025-11-14T00:00:00"/>
        <d v="2025-11-11T00:00:00"/>
        <d v="2025-11-13T00:00:00"/>
        <d v="2025-11-09T00:00:00"/>
        <d v="2025-11-15T00:00:00"/>
        <d v="2025-11-16T00:00:00"/>
        <d v="2025-11-17T00:00:00"/>
        <d v="2025-11-19T00:00:00"/>
        <d v="2025-11-18T00:00:00"/>
        <d v="2025-11-20T00:00:00"/>
        <d v="2025-11-21T00:00:00"/>
        <d v="2025-11-22T00:00:00"/>
        <d v="2025-11-23T00:00:00"/>
        <d v="2025-11-24T00:00:00"/>
        <d v="2025-11-25T00:00:00"/>
        <d v="2025-11-26T00:00:00"/>
        <d v="2025-11-27T00:00:00"/>
        <d v="2025-11-28T00:00:00"/>
      </sharedItems>
    </cacheField>
    <cacheField name="Observer" numFmtId="0"/>
    <cacheField name="Company" numFmtId="0">
      <sharedItems containsBlank="1" count="6">
        <s v="Petrojet"/>
        <s v="Total Energies"/>
        <s v="TechnipFMC"/>
        <s v="TotalEnergies" u="1"/>
        <s v="TFMC" u="1"/>
        <m u="1"/>
      </sharedItems>
    </cacheField>
    <cacheField name="Trade/Position" numFmtId="0"/>
    <cacheField name="Observation Group" numFmtId="0">
      <sharedItems containsBlank="1" count="9">
        <s v="Unsafe Condition"/>
        <s v="Unsafe Act"/>
        <s v="Safe Condition"/>
        <s v="Safe Act"/>
        <m u="1"/>
        <s v="Improvement Quality-Procedure/system" u="1"/>
        <s v="Substandard/Hazard Quality-Procedure/system" u="1"/>
        <s v="Positive Quality-Procedure/system" u="1"/>
        <s v="Positive Asset/Equioment" u="1"/>
      </sharedItems>
      <fieldGroup par="19"/>
    </cacheField>
    <cacheField name="Location/Area" numFmtId="0">
      <sharedItems containsBlank="1" count="30">
        <s v="Workshop 1"/>
        <s v="Open Area 1"/>
        <s v="Workshop 2"/>
        <s v="Open Area 3"/>
        <s v="Workshop 3"/>
        <s v="Zeit bay"/>
        <s v="Blasting &amp; Painting"/>
        <s v="Open Area 2"/>
        <s v="Workshop 4"/>
        <s v="Open Area 4"/>
        <s v="Valve Area"/>
        <s v="Warehouse 2"/>
        <s v="Warehouse 3"/>
        <s v="Warehouse 1"/>
        <s v="TFMC/Total Offices"/>
        <s v="Workshop 5"/>
        <s v="PTJ Offices"/>
        <s v="Open Area 5"/>
        <s v="Workshop 7"/>
        <s v="Workshop 6"/>
        <s v="Final Assembly Area"/>
        <m u="1"/>
        <s v="Zeit Yard" u="1"/>
        <s v="Maadia Yard" u="1"/>
        <s v="Open Area C" u="1"/>
        <s v="Open Area A" u="1"/>
        <s v="Open Area B" u="1"/>
        <s v="Open Area D" u="1"/>
        <s v="Open Area E" u="1"/>
        <s v="Blasting &amp; Painting " u="1"/>
      </sharedItems>
    </cacheField>
    <cacheField name="Observation Type" numFmtId="0">
      <sharedItems containsBlank="1" count="27">
        <s v="Energy Isolation"/>
        <s v="Working at Height"/>
        <s v="Personal Protective Equipment"/>
        <s v="Housekeeping"/>
        <s v="Line of Fire"/>
        <s v="Hot Work"/>
        <s v="Bypassing Safety Control"/>
        <s v="Workplace Environment"/>
        <s v="Safe Mechanical Lifting"/>
        <s v="Supervision"/>
        <s v="Work Authorization"/>
        <s v="Safety Signage and Demarcation"/>
        <s v="Procedures"/>
        <s v="Emergency Response"/>
        <s v="Driving"/>
        <s v="Safety Devices or Guards"/>
        <s v="Situational Awareness"/>
        <s v="Manual/Mechanical Handling"/>
        <s v="Tools Equipment"/>
        <s v="Position of People"/>
        <s v="Toxic/Flammable Gas"/>
        <s v="Health, Hygiene, Food or Water"/>
        <s v="Other"/>
        <m u="1"/>
        <s v="Confined Space" u="1"/>
        <s v="Security" u="1"/>
        <s v="None" u="1"/>
      </sharedItems>
      <fieldGroup par="20"/>
    </cacheField>
    <cacheField name="Observation" numFmtId="0"/>
    <cacheField name="Action" numFmtId="0">
      <sharedItems containsBlank="1" count="7">
        <s v="I corrected the problem"/>
        <s v="I took a safety intervention"/>
        <s v="I reported observation to HSSEQ"/>
        <s v="I stopped the job"/>
        <s v="I could not correct the problem"/>
        <s v="I provided positive feedback"/>
        <m u="1"/>
      </sharedItems>
    </cacheField>
    <cacheField name="Action Taken" numFmtId="0"/>
    <cacheField name="Corrective Action / Preventive Action" numFmtId="0"/>
    <cacheField name="Priority" numFmtId="0"/>
    <cacheField name="Risk Rating" numFmtId="0"/>
    <cacheField name="Custodian" numFmtId="0"/>
    <cacheField name="Due Date" numFmtId="178"/>
    <cacheField name="Status" numFmtId="0">
      <sharedItems containsBlank="1" count="5">
        <s v="Closed"/>
        <s v="N/A"/>
        <s v="Open" u="1"/>
        <m u="1"/>
        <s v="Inprogress" u="1"/>
      </sharedItems>
    </cacheField>
    <cacheField name="Comment" numFmtId="0"/>
    <cacheField name="Field1" numFmtId="0" formula="0" databaseField="0"/>
    <cacheField name="Observation Group2" numFmtId="0" databaseField="0">
      <fieldGroup base="5">
        <discretePr count="9">
          <x v="1"/>
          <x v="0"/>
          <x v="2"/>
          <x v="2"/>
          <x v="3"/>
          <x v="4"/>
          <x v="5"/>
          <x v="6"/>
          <x v="7"/>
        </discretePr>
        <groupItems count="8">
          <s v="Unsafe Act"/>
          <s v="Unsafe Condition"/>
          <s v="Group1"/>
          <m/>
          <s v="Improvement Quality-Procedure/system"/>
          <s v="Substandard/Hazard Quality-Procedure/system"/>
          <s v="Positive Quality-Procedure/system"/>
          <s v="Positive Asset/Equioment"/>
        </groupItems>
      </fieldGroup>
    </cacheField>
    <cacheField name="Observation Type2" numFmtId="0" databaseField="0">
      <fieldGroup base="7">
        <discretePr count="27">
          <x v="2"/>
          <x v="2"/>
          <x v="5"/>
          <x v="5"/>
          <x v="2"/>
          <x v="2"/>
          <x v="2"/>
          <x v="5"/>
          <x v="2"/>
          <x v="5"/>
          <x v="2"/>
          <x v="5"/>
          <x v="5"/>
          <x v="5"/>
          <x v="2"/>
          <x v="5"/>
          <x v="5"/>
          <x v="5"/>
          <x v="5"/>
          <x v="3"/>
          <x v="5"/>
          <x v="5"/>
          <x v="5"/>
          <x v="1"/>
          <x v="2"/>
          <x v="4"/>
          <x v="0"/>
        </discretePr>
        <groupItems count="6">
          <s v="None"/>
          <m/>
          <s v="Group1"/>
          <s v="Position of People"/>
          <s v="Security"/>
          <s v="Group2"/>
        </groupItems>
      </fieldGroup>
    </cacheField>
    <cacheField name="Days (Date)" numFmtId="0" databaseField="0">
      <fieldGroup base="1">
        <rangePr groupBy="days" startDate="2025-01-01T00:00:00" endDate="2025-11-29T00:00:00" groupInterval="1"/>
        <groupItems count="368">
          <s v="&lt;01-01-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1-25"/>
        </groupItems>
      </fieldGroup>
    </cacheField>
    <cacheField name="Months (Date)" numFmtId="0" databaseField="0">
      <fieldGroup base="1">
        <rangePr groupBy="months" startDate="2025-01-01T00:00:00" endDate="2025-11-29T00:00:00" groupInterval="1"/>
        <groupItems count="14">
          <s v="&lt;01-01-25"/>
          <s v="Jan"/>
          <s v="Feb"/>
          <s v="Mar"/>
          <s v="Apr"/>
          <s v="May"/>
          <s v="Jun"/>
          <s v="Jul"/>
          <s v="Aug"/>
          <s v="Sep"/>
          <s v="Oct"/>
          <s v="Nov"/>
          <s v="Dec"/>
          <s v="&gt;29-11-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158">
  <r>
    <n v="1"/>
    <x v="0"/>
    <s v="Ahmed Ali"/>
    <x v="0"/>
    <m/>
    <x v="0"/>
    <x v="0"/>
    <x v="0"/>
    <s v="observed an electrical panel with broken plug"/>
    <x v="0"/>
    <s v="informed the sup to replaced it with another one and he did"/>
    <m/>
    <m/>
    <m/>
    <m/>
    <s v="Invalid"/>
    <x v="0"/>
    <m/>
  </r>
  <r>
    <n v="2"/>
    <x v="1"/>
    <s v="Sayed Aboelmagd"/>
    <x v="0"/>
    <m/>
    <x v="0"/>
    <x v="1"/>
    <x v="1"/>
    <s v="(Work plat form 1 Meter height missed the hand rail which may lead to fall hazard)"/>
    <x v="0"/>
    <s v="Hand rail was installed immediately "/>
    <m/>
    <m/>
    <m/>
    <m/>
    <s v="Invalid"/>
    <x v="0"/>
    <m/>
  </r>
  <r>
    <n v="3"/>
    <x v="2"/>
    <s v="Mohamed Abdallah"/>
    <x v="0"/>
    <m/>
    <x v="1"/>
    <x v="0"/>
    <x v="2"/>
    <s v="Observed worker grinding without his face shield properly affixed"/>
    <x v="1"/>
    <s v="Stopped the person grinding and informed him to wear his face shield in the proper manner. "/>
    <m/>
    <m/>
    <m/>
    <m/>
    <s v="Invalid"/>
    <x v="0"/>
    <m/>
  </r>
  <r>
    <n v="4"/>
    <x v="0"/>
    <s v="Ahmed Ali"/>
    <x v="0"/>
    <m/>
    <x v="0"/>
    <x v="2"/>
    <x v="3"/>
    <s v="Small work pieces need arrangement "/>
    <x v="0"/>
    <s v="Small work pieces arranged properly"/>
    <m/>
    <m/>
    <m/>
    <m/>
    <s v="Invalid"/>
    <x v="0"/>
    <m/>
  </r>
  <r>
    <n v="5"/>
    <x v="3"/>
    <s v="Reda Zaghloul"/>
    <x v="1"/>
    <m/>
    <x v="0"/>
    <x v="3"/>
    <x v="1"/>
    <s v="The piles receptacles holes in the Mudmat plate are open with no barriers and many workers (welders, grinders, fitters, etc…) working on the mudmat plate with potential falling in it."/>
    <x v="0"/>
    <s v="Spoke to TFMC QC &amp; PTJ HSE personnel to rectify such unsafe conditions by barricading the holes with hard barriers"/>
    <m/>
    <m/>
    <m/>
    <m/>
    <m/>
    <x v="0"/>
    <m/>
  </r>
  <r>
    <n v="6"/>
    <x v="4"/>
    <s v="Ibrahim Gowida"/>
    <x v="1"/>
    <m/>
    <x v="1"/>
    <x v="4"/>
    <x v="4"/>
    <s v="A worker was found sleeping near the drilling machine during the night shift.This posed a serious safety hazard due to the proximity to operating equipment and potential for accidents."/>
    <x v="1"/>
    <s v="Immediate Action:_x000a_➢The worker was woken up and removed from the hazardous area._x000a_➢The supervisor conducted a brief discussion with the individual to emphasize the risks and safety protocols._x000a_Preventive Measures:_x000a_➢Conduct a toolbox talk with all workers to highlight the dangers of inattentiveness and sleeping near machinery._x000a_➢Increase supervisory rounds during night shifts to monitor worker alertness._x000a_Agreement Reached:_x000a_➢The worker agreed to adhere to safety regulations and maintain attentiveness during shifts._x000a_➢Supervisors will ensure consistent monitoring and implement stricter adherence to break schedules."/>
    <m/>
    <m/>
    <m/>
    <m/>
    <s v="Invalid"/>
    <x v="0"/>
    <m/>
  </r>
  <r>
    <n v="7"/>
    <x v="3"/>
    <s v="Reda Zaghloul"/>
    <x v="1"/>
    <m/>
    <x v="1"/>
    <x v="3"/>
    <x v="4"/>
    <s v="A helper was spotted during carrying out welding operations whereas he was in improper position to do so"/>
    <x v="1"/>
    <s v="Spoke to welding supervisor and stopped the helper until preparing required scaffold to safely carrying out the welding operation."/>
    <m/>
    <m/>
    <m/>
    <m/>
    <m/>
    <x v="0"/>
    <m/>
  </r>
  <r>
    <n v="8"/>
    <x v="4"/>
    <s v="Hany Elashkar"/>
    <x v="2"/>
    <s v="HSE "/>
    <x v="0"/>
    <x v="5"/>
    <x v="4"/>
    <s v="Observed a lot of identification and safety signs installed without boards the way exposing them to be dismantled as a result of high wind speed."/>
    <x v="0"/>
    <s v="communicate PTJ to support signs by wooden or acrylic boards"/>
    <m/>
    <m/>
    <m/>
    <m/>
    <s v="Invalid"/>
    <x v="0"/>
    <m/>
  </r>
  <r>
    <n v="9"/>
    <x v="3"/>
    <s v="Hany Elashkar"/>
    <x v="2"/>
    <s v="HSE "/>
    <x v="0"/>
    <x v="2"/>
    <x v="0"/>
    <s v="Observed a defected gauge &amp; regulator related to a propane cylinder at Workshop 2"/>
    <x v="0"/>
    <s v="The cylinder immediately moved outside the ws then the gauge &amp; regulator were dismantled &amp; replaced"/>
    <m/>
    <m/>
    <m/>
    <m/>
    <s v="Invalid"/>
    <x v="0"/>
    <m/>
  </r>
  <r>
    <n v="10"/>
    <x v="3"/>
    <s v="Hany Elashkar"/>
    <x v="2"/>
    <s v="HSE "/>
    <x v="0"/>
    <x v="6"/>
    <x v="4"/>
    <s v="Observed high pressure hoses related to sandblasting and painting activities thrown on the ground beside sandblasting ws."/>
    <x v="0"/>
    <s v="need to provide proper housekeeping for the area"/>
    <m/>
    <m/>
    <m/>
    <m/>
    <s v="Invalid"/>
    <x v="0"/>
    <m/>
  </r>
  <r>
    <n v="11"/>
    <x v="3"/>
    <s v="Hany Elashkar"/>
    <x v="2"/>
    <s v="HSE "/>
    <x v="0"/>
    <x v="7"/>
    <x v="3"/>
    <s v="Observed a lot of corrugated sheets thrown on the ground between open areOpen Area 2 and valves storage hanger"/>
    <x v="0"/>
    <s v="The mentioned corrugated sheets need to be collected and transferred to proper storage area"/>
    <m/>
    <m/>
    <m/>
    <m/>
    <s v="Invalid"/>
    <x v="0"/>
    <m/>
  </r>
  <r>
    <n v="12"/>
    <x v="5"/>
    <s v="Gamal Abdelgawad"/>
    <x v="1"/>
    <s v="Fabrication"/>
    <x v="1"/>
    <x v="5"/>
    <x v="2"/>
    <s v="Improper PPE (Dark Glass) been worn by welders, inside all fabrication workshops"/>
    <x v="2"/>
    <s v="Discussed the point in person with the welder, then informed PTJ/ TFMC HSE, to provide a clear glass to the new team."/>
    <m/>
    <m/>
    <m/>
    <m/>
    <s v="Invalid"/>
    <x v="0"/>
    <m/>
  </r>
  <r>
    <n v="13"/>
    <x v="1"/>
    <s v="Gamal Abdelgawad"/>
    <x v="1"/>
    <s v="Fabrication"/>
    <x v="1"/>
    <x v="1"/>
    <x v="4"/>
    <s v="CPY observed that during lifting / assembly activities for fabrication structure items by crane, there was unsafe positioning of people/workforce who were not directly involved in the actual lifting operation positioned in areas of direct line of fire and general unsafe positions."/>
    <x v="3"/>
    <s v="CPY asked TFMC/PTJ HSE to stop the activity and discuss the CPY identified risks with PTJ rigging team as this was deemed to be unsafe condition due to a hazardous environment as well as the possibility of being classified as an unsafe act, if the individuals have knowingly entered the area despite warnings – both conditions would contribute to heightened risks."/>
    <m/>
    <m/>
    <m/>
    <m/>
    <s v="Invalid"/>
    <x v="0"/>
    <m/>
  </r>
  <r>
    <n v="14"/>
    <x v="1"/>
    <s v="Gamal Abdelgawad"/>
    <x v="1"/>
    <s v="Fabrication"/>
    <x v="0"/>
    <x v="8"/>
    <x v="5"/>
    <s v="CPY observed that, there is lack of Portable welding / grinding screens in comparison to grinding activities"/>
    <x v="2"/>
    <s v="CPY approached TFMC / PTJ HSE, to Relocate the Portable welding / grinding screens in conjunction to the Grinding activities been in progress"/>
    <m/>
    <m/>
    <m/>
    <m/>
    <s v="Invalid"/>
    <x v="0"/>
    <m/>
  </r>
  <r>
    <n v="15"/>
    <x v="1"/>
    <s v="Gamal Abdelgawad"/>
    <x v="1"/>
    <s v="Fabrication"/>
    <x v="0"/>
    <x v="1"/>
    <x v="6"/>
    <s v="CPY observed that, there is a modification has been made for some fabrication support which is lifting the structure up from the support and not fully rested on it. CPY observed that portable stand has been used for leveling, is locating under the weight block, used during the fabrication / welding activities."/>
    <x v="2"/>
    <s v="CPY approached TFMC / PTJ HSE, to take an immediate action to ensure that all structures are fully rested on the fabrication support (full contact points). In addition to that, PTJ to remove the weight block wherever located on top of the portable fabrication stands."/>
    <m/>
    <m/>
    <m/>
    <m/>
    <s v="Invalid"/>
    <x v="0"/>
    <m/>
  </r>
  <r>
    <n v="16"/>
    <x v="6"/>
    <s v="Malcolm Garrington"/>
    <x v="1"/>
    <s v="Project Manager"/>
    <x v="0"/>
    <x v="3"/>
    <x v="3"/>
    <s v="CPY noted that housekeeping conditions could be improved"/>
    <x v="2"/>
    <s v="CPY suggest PTJ to accordingly look at fabrication arrangements and provide a better, more safer place to enable housekeeping to be implemented"/>
    <m/>
    <m/>
    <m/>
    <m/>
    <s v="Invalid"/>
    <x v="0"/>
    <m/>
  </r>
  <r>
    <n v="17"/>
    <x v="6"/>
    <s v="Malcolm Garrington"/>
    <x v="1"/>
    <s v="Project Manager"/>
    <x v="1"/>
    <x v="3"/>
    <x v="2"/>
    <s v="CPY noted the crane driver was wearing any PPE whatsoever."/>
    <x v="2"/>
    <s v="CPY suggest es that PTJ ensure that all the subcontracts who enter the PTJ yard are in compliance to project PPE rules and wearing of mandatory PPE"/>
    <m/>
    <m/>
    <m/>
    <m/>
    <s v="Invalid"/>
    <x v="0"/>
    <m/>
  </r>
  <r>
    <n v="18"/>
    <x v="5"/>
    <s v="Gamal Abdelgawad"/>
    <x v="1"/>
    <s v="Fabrication"/>
    <x v="0"/>
    <x v="5"/>
    <x v="3"/>
    <s v="CPY observed that several cables were found on the ground without any arrangement / cable management through cable management platform."/>
    <x v="3"/>
    <s v="Informed PTJ / TFMC HSE, to postpone the activities, to do all necessary for proper housekeeping all over the cable arrangement / cable management through cable management platform"/>
    <m/>
    <m/>
    <m/>
    <m/>
    <s v="Invalid"/>
    <x v="0"/>
    <m/>
  </r>
  <r>
    <n v="19"/>
    <x v="5"/>
    <s v="Malcolm Garrington"/>
    <x v="1"/>
    <s v="Project Manager"/>
    <x v="1"/>
    <x v="5"/>
    <x v="2"/>
    <s v="CPY noted that several PTJ workers using oxy/acetylene burning equipment were using only using clear PPE glasses. It is typical to use a dark burning goggles with a shad 4 or 5 dark lens to protect the eyes from long time use and future sight issues when the worker is older. The light spectrum from the burning touch with the UV and IR light can and will cause severe eye (cornea) damage (permanently) to the eyes."/>
    <x v="1"/>
    <s v="NA"/>
    <m/>
    <m/>
    <m/>
    <m/>
    <s v="Invalid"/>
    <x v="0"/>
    <m/>
  </r>
  <r>
    <n v="20"/>
    <x v="6"/>
    <s v="Malcolm Garrington"/>
    <x v="1"/>
    <s v="Project Manager"/>
    <x v="0"/>
    <x v="5"/>
    <x v="1"/>
    <s v="CPY noted that several poorly constructed / erected scaffolding steps where being used within the TE project. Poor and damaged materials being used as well as poor design will lead to incidents/accidents within time."/>
    <x v="0"/>
    <s v="NA"/>
    <m/>
    <m/>
    <m/>
    <m/>
    <s v="Invalid"/>
    <x v="0"/>
    <m/>
  </r>
  <r>
    <n v="21"/>
    <x v="1"/>
    <s v="PHE"/>
    <x v="1"/>
    <m/>
    <x v="0"/>
    <x v="0"/>
    <x v="1"/>
    <s v="OPENED TRENCH BEHIND Workshop 1 WITHOUT BARRICADES"/>
    <x v="0"/>
    <s v="TO BE BARRICATED"/>
    <s v="Trench behind W/S 1 to be barricaded"/>
    <s v="Medium"/>
    <s v="Medium"/>
    <s v="PTJ"/>
    <d v="2025-01-12T00:00:00"/>
    <x v="0"/>
    <m/>
  </r>
  <r>
    <n v="22"/>
    <x v="7"/>
    <s v="PHE"/>
    <x v="1"/>
    <m/>
    <x v="0"/>
    <x v="5"/>
    <x v="5"/>
    <s v="UNPROPER WORKING TABLE LACK OF STOOLS TO ALLOW ADEQUATE GRINDING ACTIVITY"/>
    <x v="4"/>
    <m/>
    <m/>
    <m/>
    <m/>
    <m/>
    <s v="Invalid"/>
    <x v="0"/>
    <m/>
  </r>
  <r>
    <n v="23"/>
    <x v="7"/>
    <s v="PHE"/>
    <x v="1"/>
    <m/>
    <x v="0"/>
    <x v="5"/>
    <x v="5"/>
    <s v="SMOKING AREA TOO CLOSE FROM WORKING AREA AND LACK OF CLADDING PLATE PROTECTION WORKERS WITHOUT GOOGLES AND HELMET AT THIS AREA"/>
    <x v="4"/>
    <m/>
    <m/>
    <m/>
    <m/>
    <m/>
    <s v="Invalid"/>
    <x v="0"/>
    <m/>
  </r>
  <r>
    <n v="24"/>
    <x v="7"/>
    <s v="PHE"/>
    <x v="1"/>
    <m/>
    <x v="0"/>
    <x v="5"/>
    <x v="5"/>
    <s v="UNSECURED UNSTABLE FCAW WELDING MACHINES ON TOP OF MUDMAT FRAMING"/>
    <x v="4"/>
    <m/>
    <m/>
    <m/>
    <m/>
    <m/>
    <s v="Invalid"/>
    <x v="0"/>
    <m/>
  </r>
  <r>
    <n v="25"/>
    <x v="6"/>
    <s v="Lance Pretorius"/>
    <x v="1"/>
    <m/>
    <x v="0"/>
    <x v="4"/>
    <x v="1"/>
    <s v="The activity at a low height on a Mudmat pre-assemblies did not have sufficient low scaffold ledgers, thus creating a situation where a worker could step off the edges"/>
    <x v="0"/>
    <s v="Informed TFMC HSE Management who then engaged with PTJ HSE Manager to rectify the area as well as all other similar areas, site wide.The other areas having similar ledges with scaffold are to suspended until all scaffold ledger sections are improved."/>
    <m/>
    <m/>
    <m/>
    <m/>
    <s v="Invalid"/>
    <x v="0"/>
    <m/>
  </r>
  <r>
    <n v="26"/>
    <x v="7"/>
    <s v="Amgad abu Hashem"/>
    <x v="1"/>
    <m/>
    <x v="0"/>
    <x v="3"/>
    <x v="1"/>
    <s v="During the routine site surveillance inspection, it was noted that the installed scaffolding around mudmat structures at areOpen Area 3 is without mandrel and the safety tag is yellow but workers are working on top of the structur"/>
    <x v="3"/>
    <s v="Activity stopped, Introducing the subject to TFMC Safety manager and PTJ safety officer."/>
    <m/>
    <m/>
    <m/>
    <m/>
    <s v="Invalid"/>
    <x v="0"/>
    <m/>
  </r>
  <r>
    <n v="27"/>
    <x v="1"/>
    <s v="Mohamed Kamal"/>
    <x v="1"/>
    <m/>
    <x v="0"/>
    <x v="0"/>
    <x v="7"/>
    <s v="During site inspection in WK#1, CPY observed a scaffolding beam obstructing the access way between the fabricated main frames."/>
    <x v="0"/>
    <m/>
    <m/>
    <m/>
    <m/>
    <m/>
    <s v="Invalid"/>
    <x v="0"/>
    <m/>
  </r>
  <r>
    <n v="28"/>
    <x v="7"/>
    <s v="Mohamed Kamal"/>
    <x v="1"/>
    <m/>
    <x v="1"/>
    <x v="0"/>
    <x v="2"/>
    <s v="During site inspection in WK#1, CPY observed two structure fitters working without wearing hand gloves."/>
    <x v="1"/>
    <m/>
    <m/>
    <m/>
    <m/>
    <m/>
    <s v="Invalid"/>
    <x v="0"/>
    <m/>
  </r>
  <r>
    <n v="29"/>
    <x v="6"/>
    <s v="Reda Zaghloul"/>
    <x v="1"/>
    <m/>
    <x v="0"/>
    <x v="9"/>
    <x v="8"/>
    <s v="The lifting team, using a crane, performed a lifting operation by transferring the shear plate of piping support @ outdoor fab areOpen Area 4. There are welders who were working inside the adjacent sheltered area, and they were unaware that lifting operations were taking place outside. The load was being moved directly above them."/>
    <x v="3"/>
    <s v="Stopped them and highlighted this unsafe act to TFMC HSE."/>
    <m/>
    <m/>
    <m/>
    <m/>
    <m/>
    <x v="0"/>
    <m/>
  </r>
  <r>
    <n v="30"/>
    <x v="8"/>
    <s v="Reda Zaghloul"/>
    <x v="1"/>
    <m/>
    <x v="2"/>
    <x v="1"/>
    <x v="4"/>
    <s v="Proper access way was done and observed as per attached photo @ Outdoor Fab. AreOpen Area 1"/>
    <x v="5"/>
    <s v="Encourage the team to continue for such safe conditions"/>
    <m/>
    <m/>
    <m/>
    <m/>
    <s v="Invalid"/>
    <x v="1"/>
    <m/>
  </r>
  <r>
    <n v="31"/>
    <x v="7"/>
    <s v="Lance Pretorius"/>
    <x v="1"/>
    <m/>
    <x v="0"/>
    <x v="2"/>
    <x v="3"/>
    <s v="The waste bins at the entrances to Open Areas 1&amp;2 are extremely full and wastes are not correctly segregated"/>
    <x v="2"/>
    <s v="Informed TFMC HSE Management who then engaged with PTJ HSE Manager to rectify and conclude a suitable Waste Management control plan."/>
    <m/>
    <m/>
    <m/>
    <m/>
    <s v="Invalid"/>
    <x v="0"/>
    <s v="Environmental"/>
  </r>
  <r>
    <n v="32"/>
    <x v="1"/>
    <s v="PHE"/>
    <x v="1"/>
    <m/>
    <x v="0"/>
    <x v="6"/>
    <x v="5"/>
    <s v="UNPROPER PLATES STACKING BESIDE BLASTING WS? TOO MANU+Y PLATES AND UNBALANCED"/>
    <x v="1"/>
    <s v="It was explained to all the staff working in the workshop the risk of leakage occurring and importance of such test to mitigate that potential risk."/>
    <m/>
    <m/>
    <m/>
    <m/>
    <s v="Invalid"/>
    <x v="0"/>
    <m/>
  </r>
  <r>
    <n v="33"/>
    <x v="7"/>
    <s v="Lance Pretorius"/>
    <x v="1"/>
    <s v="HSE "/>
    <x v="1"/>
    <x v="5"/>
    <x v="9"/>
    <s v="It has been raised in numerous meetings that the Teams of both TFMC &amp; PTJ are not submitting suitable quantities of SHOC Cards to warrant the system effective._x000a_2. There is a distinct lack of management leadership in this SHE Program."/>
    <x v="2"/>
    <s v="Informed TFMC HSE Management who then engaged with PTJ HSE Manager to make attempts to rectify this concern raised by Company"/>
    <m/>
    <m/>
    <m/>
    <m/>
    <s v="Invalid"/>
    <x v="0"/>
    <m/>
  </r>
  <r>
    <n v="34"/>
    <x v="9"/>
    <s v="Elhussein Yahia"/>
    <x v="2"/>
    <s v="HSE "/>
    <x v="0"/>
    <x v="7"/>
    <x v="8"/>
    <s v="It has been observed the rigging team at open areOpen Area 2 attach 2 slings improperly and use a shackle without a cutter pin while performing a lifting operation "/>
    <x v="3"/>
    <s v="Stop the work, modify the lifting/ rigging technique, install the cutter pin"/>
    <m/>
    <m/>
    <m/>
    <m/>
    <s v="Invalid"/>
    <x v="0"/>
    <m/>
  </r>
  <r>
    <n v="35"/>
    <x v="9"/>
    <s v="Elhussein Yahia"/>
    <x v="2"/>
    <s v="HSE "/>
    <x v="1"/>
    <x v="7"/>
    <x v="10"/>
    <s v="The PTW at open areOpen Area 4 is not filled, the RA is not checked, there is no sign for the authorization and no PTW number."/>
    <x v="0"/>
    <s v="NA"/>
    <m/>
    <m/>
    <m/>
    <m/>
    <s v="Invalid"/>
    <x v="0"/>
    <m/>
  </r>
  <r>
    <n v="36"/>
    <x v="9"/>
    <s v="Elhussein Yahia"/>
    <x v="2"/>
    <s v="HSE "/>
    <x v="0"/>
    <x v="7"/>
    <x v="2"/>
    <s v="It has been observed that a welder working without put in the required PPE"/>
    <x v="0"/>
    <s v="Get the welder out of the area immediately until putting all the required PPE"/>
    <m/>
    <m/>
    <m/>
    <m/>
    <s v="Invalid"/>
    <x v="0"/>
    <m/>
  </r>
  <r>
    <n v="37"/>
    <x v="0"/>
    <s v="Gaballah Aman "/>
    <x v="2"/>
    <s v="HSE "/>
    <x v="0"/>
    <x v="5"/>
    <x v="5"/>
    <s v="The improper placement of MPT containers near welding activities increases the risk of fire in the workshop"/>
    <x v="2"/>
    <s v="I immediately informed the responsible Quality Engineer, who then collected the containers and placed them in their proper storage location to eliminate the hazard."/>
    <m/>
    <m/>
    <m/>
    <m/>
    <s v="Invalid"/>
    <x v="0"/>
    <m/>
  </r>
  <r>
    <n v="38"/>
    <x v="10"/>
    <s v="Tarek ElRafey"/>
    <x v="2"/>
    <s v="HSE "/>
    <x v="0"/>
    <x v="1"/>
    <x v="0"/>
    <s v="The electrical cable for the CNC machine is not double insulated."/>
    <x v="2"/>
    <s v="Informed the site HSE representative and the electrician supervisor to make it double insulated."/>
    <m/>
    <m/>
    <m/>
    <m/>
    <s v="Invalid"/>
    <x v="0"/>
    <m/>
  </r>
  <r>
    <n v="39"/>
    <x v="10"/>
    <s v="Elhussein Yahia"/>
    <x v="2"/>
    <s v="HSE "/>
    <x v="1"/>
    <x v="7"/>
    <x v="1"/>
    <s v="The positioning of some welder was unsafe, standing on a hand-made step as a working platform, which is insufficient. _x000a_"/>
    <x v="1"/>
    <s v="Informed the welder to move away from the step, and to provide a suitable working platform."/>
    <m/>
    <m/>
    <m/>
    <m/>
    <s v="Invalid"/>
    <x v="0"/>
    <m/>
  </r>
  <r>
    <n v="40"/>
    <x v="2"/>
    <s v="Moussa Moustafa Moussa"/>
    <x v="2"/>
    <s v="QC"/>
    <x v="0"/>
    <x v="0"/>
    <x v="4"/>
    <s v="A Curtain welding screen was installed in the middle of the walkway in Workshop No. 1, causing an obstruction and potential safety hazard. "/>
    <x v="4"/>
    <s v="The Curtain welding screen was removed from the walkway and reinstalled in a location away from pedestrian paths to ensure clear and safe access"/>
    <m/>
    <m/>
    <m/>
    <m/>
    <s v="Invalid"/>
    <x v="0"/>
    <m/>
  </r>
  <r>
    <n v="41"/>
    <x v="5"/>
    <s v="Hany Elashkar"/>
    <x v="2"/>
    <s v="HSE "/>
    <x v="0"/>
    <x v="0"/>
    <x v="4"/>
    <s v="Observed the welding curtains at Workshop 1 restricting the access at the left side safe walkway"/>
    <x v="0"/>
    <s v="The area scaffolders dismantled and moved the mentioned welding curtains to open an access at the safe walkway."/>
    <m/>
    <m/>
    <m/>
    <m/>
    <s v="Invalid"/>
    <x v="0"/>
    <m/>
  </r>
  <r>
    <n v="42"/>
    <x v="6"/>
    <s v="Hany Elashkar"/>
    <x v="2"/>
    <s v="HSE "/>
    <x v="0"/>
    <x v="4"/>
    <x v="10"/>
    <s v="Observed maintenance activities at Workshop 3 for  the overhead crane using manlift without PTW and without energy isolation"/>
    <x v="3"/>
    <s v="stopped the activity till being supported with suitable work authorization"/>
    <m/>
    <m/>
    <m/>
    <m/>
    <s v="Invalid"/>
    <x v="0"/>
    <m/>
  </r>
  <r>
    <n v="43"/>
    <x v="6"/>
    <s v="Hany Elashkar"/>
    <x v="2"/>
    <s v="HSE "/>
    <x v="0"/>
    <x v="2"/>
    <x v="4"/>
    <s v="Observed a lot of cups supports under tack welded beams / frames at Workshop 2 without identification no and SWL"/>
    <x v="3"/>
    <s v="restrict the working, install soft barriers / caution tape and signs of suspended load till these cups supports  being approved."/>
    <m/>
    <m/>
    <m/>
    <m/>
    <s v="Invalid"/>
    <x v="0"/>
    <m/>
  </r>
  <r>
    <n v="44"/>
    <x v="7"/>
    <s v="Hany Elashkar"/>
    <x v="2"/>
    <s v="HSE "/>
    <x v="0"/>
    <x v="2"/>
    <x v="0"/>
    <s v="Observed several defected gauges and regulators related to compressed gas cylinders at Workshop 2."/>
    <x v="0"/>
    <s v="the mentioned gauges and regulators were dismantled immediately and replaced with new ones under full supervision of PTJ HSE area officer "/>
    <m/>
    <m/>
    <m/>
    <m/>
    <s v="Invalid"/>
    <x v="0"/>
    <m/>
  </r>
  <r>
    <n v="45"/>
    <x v="10"/>
    <s v="Hany Elashkar"/>
    <x v="2"/>
    <s v="HSE "/>
    <x v="0"/>
    <x v="5"/>
    <x v="2"/>
    <s v="_x000a_Not to start activity without using the suitable PPE."/>
    <x v="3"/>
    <s v=" _x000a_Stopped the activity and asked the workers to use the protective gloves."/>
    <m/>
    <m/>
    <m/>
    <m/>
    <s v="Invalid"/>
    <x v="0"/>
    <m/>
  </r>
  <r>
    <n v="46"/>
    <x v="9"/>
    <s v="Hany Elashkar"/>
    <x v="2"/>
    <s v="HSE "/>
    <x v="1"/>
    <x v="7"/>
    <x v="10"/>
    <s v="The PTW at open areOpen Area 4 is not filled, the RA is not checked, there is no sign for the authorization and no PTW number."/>
    <x v="0"/>
    <s v="NA"/>
    <m/>
    <m/>
    <m/>
    <m/>
    <s v="Invalid"/>
    <x v="0"/>
    <m/>
  </r>
  <r>
    <n v="47"/>
    <x v="6"/>
    <s v="Hany Elashkar"/>
    <x v="2"/>
    <s v="HSE "/>
    <x v="0"/>
    <x v="2"/>
    <x v="0"/>
    <s v="The ground cable's sparking near flammable materials or equipment could potentially result in a fire, endangering the safety of the workers and the workspace."/>
    <x v="2"/>
    <s v="I immediately informed the responsible Safety Officer on-site, who promptly disconnected the cable and notified the electrician to repair the ground cable to ensure safe operation."/>
    <m/>
    <m/>
    <m/>
    <m/>
    <s v="Invalid"/>
    <x v="0"/>
    <m/>
  </r>
  <r>
    <n v="48"/>
    <x v="2"/>
    <s v="Ahmed Ali"/>
    <x v="0"/>
    <m/>
    <x v="0"/>
    <x v="9"/>
    <x v="3"/>
    <s v=" Welding Cables were passed through scaffolding ladder may lead to tripping hazard , falling hazard during climbing ladders "/>
    <x v="0"/>
    <s v="asked the welder to adjust cable routes , arrange cables for safe access , and he did "/>
    <m/>
    <m/>
    <m/>
    <m/>
    <s v="Invalid"/>
    <x v="0"/>
    <m/>
  </r>
  <r>
    <n v="49"/>
    <x v="1"/>
    <s v="Ashraf Elsayed"/>
    <x v="0"/>
    <m/>
    <x v="0"/>
    <x v="3"/>
    <x v="0"/>
    <s v="electric panel inspection paper not inside and need to be updated "/>
    <x v="0"/>
    <s v="electrician inspected  all electrical panels and inspection check list put on the panel and updated it  "/>
    <m/>
    <m/>
    <m/>
    <m/>
    <s v="Invalid"/>
    <x v="0"/>
    <m/>
  </r>
  <r>
    <n v="50"/>
    <x v="2"/>
    <s v="Mahmoud Gaber"/>
    <x v="0"/>
    <m/>
    <x v="0"/>
    <x v="5"/>
    <x v="0"/>
    <s v="gas cylinder without protection cap "/>
    <x v="0"/>
    <s v="told Welding Sup and he put cap on it "/>
    <m/>
    <m/>
    <m/>
    <m/>
    <s v="Invalid"/>
    <x v="0"/>
    <m/>
  </r>
  <r>
    <n v="51"/>
    <x v="5"/>
    <s v="Ahmed ElAidy"/>
    <x v="0"/>
    <m/>
    <x v="0"/>
    <x v="7"/>
    <x v="3"/>
    <s v="Welding cables needed to be arranged"/>
    <x v="0"/>
    <s v="cable management has been performed "/>
    <m/>
    <m/>
    <m/>
    <m/>
    <s v="Invalid"/>
    <x v="0"/>
    <m/>
  </r>
  <r>
    <n v="52"/>
    <x v="8"/>
    <s v="Ahmed Ali"/>
    <x v="0"/>
    <m/>
    <x v="1"/>
    <x v="5"/>
    <x v="0"/>
    <s v=" observed that  wrong  replacing method of  grinding disk."/>
    <x v="1"/>
    <s v=" Instructed the Grinders to use dedicaded tool  for changing grinding disks"/>
    <m/>
    <m/>
    <m/>
    <m/>
    <s v="Invalid"/>
    <x v="0"/>
    <m/>
  </r>
  <r>
    <n v="53"/>
    <x v="5"/>
    <s v="Ibrahim Hamed"/>
    <x v="0"/>
    <m/>
    <x v="3"/>
    <x v="1"/>
    <x v="8"/>
    <s v="Observed banksman evacuating the area before the lifting operation."/>
    <x v="5"/>
    <s v="Appreciate the good job."/>
    <m/>
    <m/>
    <m/>
    <m/>
    <s v="Invalid"/>
    <x v="1"/>
    <m/>
  </r>
  <r>
    <n v="54"/>
    <x v="5"/>
    <s v="Ahmed Ibrahim"/>
    <x v="0"/>
    <m/>
    <x v="1"/>
    <x v="5"/>
    <x v="5"/>
    <s v="A grinder was working with the resulting spark was directed to a gas cylinder."/>
    <x v="3"/>
    <s v="Stop him and inform him to remove the gas cylinder from the area."/>
    <m/>
    <m/>
    <m/>
    <m/>
    <s v="Invalid"/>
    <x v="0"/>
    <m/>
  </r>
  <r>
    <n v="55"/>
    <x v="6"/>
    <s v="Mahmoud Abdelnaser"/>
    <x v="0"/>
    <m/>
    <x v="1"/>
    <x v="7"/>
    <x v="2"/>
    <s v="found worker was not wearing his safety glassess "/>
    <x v="1"/>
    <s v="stop him and inform him to wear a safety glassess and comply with site PPE "/>
    <m/>
    <m/>
    <m/>
    <m/>
    <s v="Invalid"/>
    <x v="0"/>
    <m/>
  </r>
  <r>
    <n v="56"/>
    <x v="7"/>
    <s v="Ahmed Elmotawakel"/>
    <x v="0"/>
    <m/>
    <x v="2"/>
    <x v="5"/>
    <x v="11"/>
    <s v="Observed some lifitng accessories are stored safely and highlighted by caution tap"/>
    <x v="5"/>
    <s v="Appreciated the good work"/>
    <m/>
    <m/>
    <m/>
    <m/>
    <s v="Invalid"/>
    <x v="1"/>
    <m/>
  </r>
  <r>
    <n v="57"/>
    <x v="11"/>
    <s v="Mamdouh shahin"/>
    <x v="0"/>
    <m/>
    <x v="0"/>
    <x v="1"/>
    <x v="3"/>
    <s v="Found some tools scattered on the scaffold at the  which create tripping /dropped Objects  hazards."/>
    <x v="1"/>
    <s v="Removed the tools form the area and performed housekeeping to the area."/>
    <m/>
    <m/>
    <m/>
    <m/>
    <s v="Invalid"/>
    <x v="0"/>
    <m/>
  </r>
  <r>
    <n v="58"/>
    <x v="11"/>
    <s v="Ahmed Maher"/>
    <x v="0"/>
    <m/>
    <x v="2"/>
    <x v="5"/>
    <x v="8"/>
    <s v="Lifting equipments and tools are inspected , color coded and with valid callibration certificates "/>
    <x v="5"/>
    <s v="encourage workers to keep up good standard "/>
    <m/>
    <m/>
    <m/>
    <m/>
    <s v="Invalid"/>
    <x v="1"/>
    <m/>
  </r>
  <r>
    <n v="59"/>
    <x v="5"/>
    <s v="Ahmed Ali"/>
    <x v="0"/>
    <m/>
    <x v="0"/>
    <x v="7"/>
    <x v="3"/>
    <s v="un used Scaffolding material Scattered in the work area "/>
    <x v="0"/>
    <s v="Instructed the scaffolders to remove all material . To be stored in the dedicated storage area "/>
    <m/>
    <m/>
    <m/>
    <m/>
    <s v="Invalid"/>
    <x v="0"/>
    <m/>
  </r>
  <r>
    <n v="60"/>
    <x v="2"/>
    <s v="Mohamed Abdallah"/>
    <x v="0"/>
    <m/>
    <x v="1"/>
    <x v="5"/>
    <x v="4"/>
    <s v="one of lifting team was under the load in the line of fire "/>
    <x v="1"/>
    <s v="Instructed the lifting sup to relocate his position to be away from the line of fire , TOFS Held with lifting crew to highlight the issue , Line of fire stand down was done to highlight the risk of being in the line of fire._x000a_"/>
    <m/>
    <m/>
    <m/>
    <m/>
    <s v="Invalid"/>
    <x v="0"/>
    <m/>
  </r>
  <r>
    <n v="61"/>
    <x v="7"/>
    <s v="Ibrahim Hamed"/>
    <x v="0"/>
    <m/>
    <x v="0"/>
    <x v="5"/>
    <x v="3"/>
    <s v="observed some welding cable were in the way of the forklift"/>
    <x v="3"/>
    <s v="stopped him and informed a welder to remove the cable  and he did immediately"/>
    <m/>
    <m/>
    <m/>
    <m/>
    <s v="Invalid"/>
    <x v="0"/>
    <m/>
  </r>
  <r>
    <n v="62"/>
    <x v="1"/>
    <s v="Ahmed Ali"/>
    <x v="0"/>
    <m/>
    <x v="1"/>
    <x v="5"/>
    <x v="2"/>
    <s v="observed that one of grinders working without safety glasses and gloves  "/>
    <x v="1"/>
    <s v="told the worker to wear his PPE all the time in the working site and he did immediately "/>
    <m/>
    <m/>
    <m/>
    <m/>
    <s v="Invalid"/>
    <x v="0"/>
    <m/>
  </r>
  <r>
    <n v="63"/>
    <x v="6"/>
    <s v="Mamdouh shahin"/>
    <x v="0"/>
    <m/>
    <x v="0"/>
    <x v="7"/>
    <x v="0"/>
    <s v="observed damaged grinding cable "/>
    <x v="3"/>
    <s v="Stopped the grinder , instructed him to send the macchine to electric dept to change the cable  , he did "/>
    <m/>
    <m/>
    <m/>
    <m/>
    <s v="Invalid"/>
    <x v="0"/>
    <m/>
  </r>
  <r>
    <n v="64"/>
    <x v="8"/>
    <s v="Mahmoud Abdelnaser"/>
    <x v="0"/>
    <m/>
    <x v="1"/>
    <x v="3"/>
    <x v="2"/>
    <s v="observed grinder was working without ear plugs "/>
    <x v="0"/>
    <s v="stopped him , advised him  to wear ear plugs and he did  "/>
    <m/>
    <m/>
    <m/>
    <m/>
    <s v="Invalid"/>
    <x v="0"/>
    <m/>
  </r>
  <r>
    <n v="65"/>
    <x v="12"/>
    <s v="Elhussein Yahia"/>
    <x v="2"/>
    <s v="HSE "/>
    <x v="0"/>
    <x v="0"/>
    <x v="8"/>
    <s v="The rigging team in Workshop 1 used a lever hoist improperly to assemble a steel structure. The hook was directly attached to the steel, the safety latch was not working, and the ratchet was not color-coded."/>
    <x v="0"/>
    <s v="The Lever hoist was removed from service._x000a_The rigging technique was rejected, and the team was coached on proper rigging methods."/>
    <m/>
    <m/>
    <m/>
    <m/>
    <s v="Invalid"/>
    <x v="0"/>
    <m/>
  </r>
  <r>
    <n v="66"/>
    <x v="12"/>
    <s v="Elhussein Yahia"/>
    <x v="2"/>
    <s v="HSE "/>
    <x v="1"/>
    <x v="7"/>
    <x v="5"/>
    <s v="grinder was observed using a cutting disc (3 mm) for grinding activities, which is only intended for cutting tasks."/>
    <x v="3"/>
    <s v="Work was immediately stopped._x000a_The cutting disc was removed from service._x000a_On Spot toolbox talk was conducted with the crew to reinforce correct usage of tools._x000a_HSE performed a survey/ check in all areas to ensure no similar issues existed."/>
    <m/>
    <m/>
    <m/>
    <m/>
    <s v="Invalid"/>
    <x v="0"/>
    <m/>
  </r>
  <r>
    <n v="67"/>
    <x v="13"/>
    <s v="Tarek ElRafey"/>
    <x v="2"/>
    <s v="HSE "/>
    <x v="0"/>
    <x v="0"/>
    <x v="8"/>
    <s v="Improper rigging to a load;_x000a_ 1-One screw pin anchor shackle was used and not fully tightened._x000a_ 2-One safety type anchor shackle without the split-pin."/>
    <x v="0"/>
    <s v="Remove the screw pin shackle and provide the split pin to the safety type anchor shackle."/>
    <m/>
    <m/>
    <m/>
    <m/>
    <s v="Invalid"/>
    <x v="0"/>
    <m/>
  </r>
  <r>
    <n v="68"/>
    <x v="14"/>
    <s v="Tarek ElRafey"/>
    <x v="2"/>
    <s v="HSE "/>
    <x v="0"/>
    <x v="0"/>
    <x v="5"/>
    <s v="Openings beneath the electrical panels accumulate combustible materials."/>
    <x v="0"/>
    <s v="Remove the combustible materials and to close the openings."/>
    <m/>
    <m/>
    <m/>
    <m/>
    <s v="Invalid"/>
    <x v="0"/>
    <m/>
  </r>
  <r>
    <n v="69"/>
    <x v="15"/>
    <s v="Elhussein Yahia"/>
    <x v="2"/>
    <s v="HSE "/>
    <x v="0"/>
    <x v="10"/>
    <x v="10"/>
    <s v="It has been observed 2 Jerricans of chemical materials (hydraulic oil) at the valves warehouse without labeling and the SDS."/>
    <x v="0"/>
    <s v="The label and the SDS were provided to the chemicals. "/>
    <m/>
    <m/>
    <m/>
    <m/>
    <s v="Invalid"/>
    <x v="0"/>
    <m/>
  </r>
  <r>
    <n v="70"/>
    <x v="12"/>
    <s v="Elhussein Yahia"/>
    <x v="2"/>
    <s v="HSE "/>
    <x v="1"/>
    <x v="0"/>
    <x v="12"/>
    <s v="It has been observed old dated SHOC cards on the box without being collected."/>
    <x v="0"/>
    <s v="The cards were withdrawn to be submitted to PTJ HSE manager and to make sure that cards are collected on daily basis."/>
    <m/>
    <m/>
    <m/>
    <m/>
    <s v="Invalid"/>
    <x v="0"/>
    <m/>
  </r>
  <r>
    <n v="71"/>
    <x v="16"/>
    <s v="Tarek ElRafey"/>
    <x v="2"/>
    <s v="HSE "/>
    <x v="0"/>
    <x v="3"/>
    <x v="0"/>
    <s v="It has been observed a compressed gas cylinder inside the storing basket without the protection storage cap."/>
    <x v="0"/>
    <s v="The welder’s supervisor was informed that this cylinder is not allowed to be transferred before providing the proper protection cap."/>
    <m/>
    <m/>
    <m/>
    <m/>
    <s v="Invalid"/>
    <x v="0"/>
    <m/>
  </r>
  <r>
    <n v="72"/>
    <x v="17"/>
    <s v="Tarek ElRafey"/>
    <x v="2"/>
    <s v="HSE "/>
    <x v="1"/>
    <x v="2"/>
    <x v="0"/>
    <s v="The CNC machine operator (Mohamed Eid) was observed inside the workshop without the required PPE -helmet and ear plugs- "/>
    <x v="0"/>
    <s v="A disciplinary action shall be taken against the violator."/>
    <m/>
    <m/>
    <m/>
    <m/>
    <s v="Invalid"/>
    <x v="0"/>
    <m/>
  </r>
  <r>
    <n v="73"/>
    <x v="18"/>
    <s v="Tarek ElRafey"/>
    <x v="2"/>
    <s v="HSE "/>
    <x v="0"/>
    <x v="9"/>
    <x v="4"/>
    <s v="It has been observed that the access to the electrical panel in area 04 is blocked by the welding machine. _x000a_It’s essential that the access to be free from any obstacles in case of any emergency and maintenance to the electrical panel."/>
    <x v="0"/>
    <s v="The area supervisor removed the welding machine and instructed the workers."/>
    <m/>
    <m/>
    <m/>
    <m/>
    <s v="Invalid"/>
    <x v="0"/>
    <m/>
  </r>
  <r>
    <n v="74"/>
    <x v="13"/>
    <s v="Tarek ElRafey"/>
    <x v="2"/>
    <s v="HSE "/>
    <x v="0"/>
    <x v="7"/>
    <x v="8"/>
    <s v="Observed improper rigging to a load (scaffold tubes) _x000a_The load was not fully controlled due to the improper rigging."/>
    <x v="0"/>
    <s v="Informed the rigger’s supervisor that the load has to be fully controlled all the time. "/>
    <m/>
    <m/>
    <m/>
    <m/>
    <s v="Invalid"/>
    <x v="0"/>
    <m/>
  </r>
  <r>
    <n v="75"/>
    <x v="14"/>
    <s v="Tarek ElRafey"/>
    <x v="2"/>
    <s v="HSE "/>
    <x v="0"/>
    <x v="9"/>
    <x v="4"/>
    <s v="Personal car parking beside the lifting zone of area 04."/>
    <x v="2"/>
    <s v="The HSE team called the security to remove the car from the area and to park in the designated parking lot."/>
    <m/>
    <m/>
    <m/>
    <m/>
    <s v="Invalid"/>
    <x v="0"/>
    <m/>
  </r>
  <r>
    <n v="76"/>
    <x v="15"/>
    <s v="Elhussein Yahia"/>
    <x v="2"/>
    <s v="HSE "/>
    <x v="0"/>
    <x v="7"/>
    <x v="8"/>
    <s v="It has been observed transferring pipes on a trailer from the storage yard to the open areas 02 without being lashed, protected and centered on the trailer."/>
    <x v="0"/>
    <s v="Informed the site HSE representative to prohibit trailers with unprotected load to enter the area and to inform the storage area supervisor to make sure that every trailer is well lashed and protected before leaving the yard."/>
    <m/>
    <m/>
    <m/>
    <m/>
    <s v="Invalid"/>
    <x v="0"/>
    <m/>
  </r>
  <r>
    <n v="77"/>
    <x v="12"/>
    <s v="Elhussein Yahia"/>
    <x v="2"/>
    <s v="HSE "/>
    <x v="0"/>
    <x v="4"/>
    <x v="8"/>
    <s v="Rigging team use the gloves as a softener to protect the sling from sharp edges."/>
    <x v="0"/>
    <s v="The gloves were removed and provided proper softeners."/>
    <m/>
    <m/>
    <m/>
    <m/>
    <s v="Invalid"/>
    <x v="0"/>
    <m/>
  </r>
  <r>
    <n v="78"/>
    <x v="16"/>
    <s v="Tarek ElRafey"/>
    <x v="2"/>
    <s v="HSE "/>
    <x v="0"/>
    <x v="8"/>
    <x v="2"/>
    <s v="Observed an angle grinder without the adjustable guard (side handle)."/>
    <x v="0"/>
    <s v="It was removed till providing its adjustable guard. "/>
    <m/>
    <m/>
    <m/>
    <m/>
    <s v="Invalid"/>
    <x v="0"/>
    <m/>
  </r>
  <r>
    <n v="79"/>
    <x v="17"/>
    <s v="Tarek ElRafey"/>
    <x v="2"/>
    <s v="HSE "/>
    <x v="0"/>
    <x v="1"/>
    <x v="1"/>
    <s v="Improper/ damaged and unfixed wooden planks were used as a working platform (Height 30cm)."/>
    <x v="0"/>
    <s v="The planks were removed immediately from the site and informed the area supervisor to provide suitable scaffold step."/>
    <m/>
    <m/>
    <m/>
    <m/>
    <s v="Invalid"/>
    <x v="0"/>
    <m/>
  </r>
  <r>
    <n v="80"/>
    <x v="18"/>
    <s v="Tarek ElRafey"/>
    <x v="2"/>
    <s v="HSE "/>
    <x v="3"/>
    <x v="5"/>
    <x v="4"/>
    <s v="It was observed a good participation with the SHOC cards from the workers."/>
    <x v="5"/>
    <s v="The workers will be rewarded for their participation to make the workplace more safe and healthy."/>
    <m/>
    <m/>
    <m/>
    <m/>
    <s v="Invalid"/>
    <x v="1"/>
    <m/>
  </r>
  <r>
    <n v="81"/>
    <x v="13"/>
    <s v="Tarek ElRafey"/>
    <x v="2"/>
    <s v="HSE "/>
    <x v="0"/>
    <x v="9"/>
    <x v="8"/>
    <s v="Missing color code to shackles."/>
    <x v="0"/>
    <s v="Exclude the shackles till it’s inspected and color coded."/>
    <m/>
    <m/>
    <m/>
    <m/>
    <s v="Invalid"/>
    <x v="0"/>
    <m/>
  </r>
  <r>
    <n v="82"/>
    <x v="13"/>
    <s v="Tarek ElRafey"/>
    <x v="2"/>
    <s v="HSE "/>
    <x v="0"/>
    <x v="11"/>
    <x v="5"/>
    <s v="A lot of Combustible materials and cigarette butts inside the warehouse for the valves."/>
    <x v="2"/>
    <s v="Inform PTJ HSE team to remove the combustible materials and prohibit workers from smoking inside. "/>
    <m/>
    <m/>
    <m/>
    <m/>
    <s v="Invalid"/>
    <x v="0"/>
    <m/>
  </r>
  <r>
    <n v="83"/>
    <x v="15"/>
    <s v="Elhussein Yahia"/>
    <x v="2"/>
    <s v="HSE "/>
    <x v="0"/>
    <x v="12"/>
    <x v="3"/>
    <s v="It has been observed electrical cables thrown on the walkway at workshop03, which block the access."/>
    <x v="0"/>
    <s v="The cables have been managed."/>
    <m/>
    <m/>
    <m/>
    <m/>
    <s v="Invalid"/>
    <x v="0"/>
    <m/>
  </r>
  <r>
    <n v="84"/>
    <x v="12"/>
    <s v="Tarek ElRafey"/>
    <x v="2"/>
    <s v="HSE "/>
    <x v="0"/>
    <x v="2"/>
    <x v="3"/>
    <s v="Poor stacking of metal plates. (High level of stacking)"/>
    <x v="0"/>
    <s v="Advised the area supervisor to lower the stacking of the materials. "/>
    <m/>
    <m/>
    <m/>
    <m/>
    <s v="Invalid"/>
    <x v="0"/>
    <m/>
  </r>
  <r>
    <n v="85"/>
    <x v="16"/>
    <s v="Tarek ElRafey"/>
    <x v="2"/>
    <s v="HSE "/>
    <x v="1"/>
    <x v="0"/>
    <x v="2"/>
    <s v="Observed QC engineer performing the penetrant test without the suitable chemical gloves."/>
    <x v="1"/>
    <s v="The QC engineer was advised to wear the suitable chemical gloves."/>
    <m/>
    <m/>
    <m/>
    <m/>
    <s v="Invalid"/>
    <x v="0"/>
    <m/>
  </r>
  <r>
    <n v="86"/>
    <x v="17"/>
    <s v="Tarek ElRafey"/>
    <x v="2"/>
    <s v="HSE "/>
    <x v="0"/>
    <x v="0"/>
    <x v="8"/>
    <s v="Observed a lifting point (lug) for a steel counterweight was made in house. It has to be verified with a QC certificate/ approval to indicate the capacity of the lug."/>
    <x v="0"/>
    <s v="PTJ HSE team was informed to provide the required certificate."/>
    <m/>
    <m/>
    <m/>
    <m/>
    <s v="Invalid"/>
    <x v="0"/>
    <m/>
  </r>
  <r>
    <n v="87"/>
    <x v="18"/>
    <s v="Tarek ElRafey"/>
    <x v="2"/>
    <s v="HSE "/>
    <x v="0"/>
    <x v="5"/>
    <x v="13"/>
    <s v="There are a lot of (more than 10) emergency phone numbers posted in one single poster at site._x000a_It has to be only one phone number for better response to emergency."/>
    <x v="2"/>
    <s v="PTJ HSE team was informed to provide a phone assigned for emergency."/>
    <m/>
    <m/>
    <m/>
    <m/>
    <s v="Invalid"/>
    <x v="0"/>
    <m/>
  </r>
  <r>
    <n v="88"/>
    <x v="14"/>
    <s v="Tarek ElRafey"/>
    <x v="2"/>
    <s v="HSE "/>
    <x v="0"/>
    <x v="3"/>
    <x v="1"/>
    <s v="Improper wooden plank (plywood) covers the opening above the mud-mat."/>
    <x v="0"/>
    <s v="The plywood to be removed and replaced with proper cover."/>
    <m/>
    <m/>
    <m/>
    <m/>
    <s v="Invalid"/>
    <x v="0"/>
    <m/>
  </r>
  <r>
    <n v="89"/>
    <x v="13"/>
    <s v="Tarek ElRafey"/>
    <x v="2"/>
    <s v="HSE "/>
    <x v="0"/>
    <x v="9"/>
    <x v="3"/>
    <s v="Gas cylinders and some metal materials obstructing the access."/>
    <x v="0"/>
    <s v="Remove any obstacles from the access._x000a_It has to be free from any obstacles all the time."/>
    <m/>
    <m/>
    <m/>
    <m/>
    <s v="Invalid"/>
    <x v="0"/>
    <m/>
  </r>
  <r>
    <n v="90"/>
    <x v="15"/>
    <s v="Elhussein Yahia"/>
    <x v="2"/>
    <s v="HSE "/>
    <x v="1"/>
    <x v="3"/>
    <x v="6"/>
    <s v="It has been observed a grinder using the power tool without the secondary hand to control it. "/>
    <x v="0"/>
    <s v="Coached the grinder on the proper way to use the grinder and the importance of using the secondary hand. "/>
    <m/>
    <m/>
    <m/>
    <m/>
    <s v="Invalid"/>
    <x v="0"/>
    <m/>
  </r>
  <r>
    <n v="91"/>
    <x v="12"/>
    <s v="Tarek ElRafey"/>
    <x v="2"/>
    <s v="HSE "/>
    <x v="0"/>
    <x v="3"/>
    <x v="0"/>
    <s v="It has been observed a damaged cable (the double insulations found cut and the internal cable was exposed"/>
    <x v="0"/>
    <s v="The cable removed from site and replaced with another one."/>
    <m/>
    <m/>
    <m/>
    <m/>
    <s v="Invalid"/>
    <x v="0"/>
    <m/>
  </r>
  <r>
    <n v="92"/>
    <x v="16"/>
    <s v="Tarek ElRafey"/>
    <x v="2"/>
    <s v="HSE "/>
    <x v="0"/>
    <x v="7"/>
    <x v="4"/>
    <s v="The corrugated sheet flipped due to the high wind speed and the poor stacking. "/>
    <x v="0"/>
    <s v="The activity was suspended due to the high wind speed and the sheets fixed well."/>
    <m/>
    <m/>
    <m/>
    <m/>
    <s v="Invalid"/>
    <x v="0"/>
    <m/>
  </r>
  <r>
    <n v="93"/>
    <x v="17"/>
    <s v="Tarek ElRafey"/>
    <x v="2"/>
    <s v="HSE "/>
    <x v="0"/>
    <x v="9"/>
    <x v="0"/>
    <s v="The grounding/ earthing system to an electrical panel was not connected."/>
    <x v="0"/>
    <s v="The electrical panel was switched off and the electrical team fixed the earthing."/>
    <m/>
    <m/>
    <m/>
    <m/>
    <s v="Invalid"/>
    <x v="0"/>
    <m/>
  </r>
  <r>
    <n v="94"/>
    <x v="18"/>
    <s v="Tarek ElRafey"/>
    <x v="2"/>
    <s v="HSE "/>
    <x v="0"/>
    <x v="5"/>
    <x v="13"/>
    <s v="There is not a layout/ map of the site’ assembly point(s) at site to help/ guide the workers in case of emergency."/>
    <x v="0"/>
    <s v="PTJ HSE team was informed to provide the layout."/>
    <m/>
    <m/>
    <m/>
    <m/>
    <s v="Invalid"/>
    <x v="0"/>
    <m/>
  </r>
  <r>
    <n v="95"/>
    <x v="15"/>
    <s v="Elhussein Yahia"/>
    <x v="2"/>
    <s v="HSE "/>
    <x v="0"/>
    <x v="3"/>
    <x v="8"/>
    <s v="It has been observed shackles with double color coding (green and yellow) which is misleading."/>
    <x v="0"/>
    <s v="Shackles to be inspected and color coded with one single color code."/>
    <m/>
    <m/>
    <m/>
    <m/>
    <s v="Invalid"/>
    <x v="0"/>
    <m/>
  </r>
  <r>
    <n v="96"/>
    <x v="12"/>
    <s v="Tarek ElRafey"/>
    <x v="2"/>
    <s v="HSE "/>
    <x v="2"/>
    <x v="2"/>
    <x v="5"/>
    <s v="Close The openings (which accumulate combustible materials) beneath the electrical panels inside workshop 02"/>
    <x v="5"/>
    <s v="The responsible supervisor to be awarded."/>
    <m/>
    <m/>
    <m/>
    <m/>
    <s v="Invalid"/>
    <x v="1"/>
    <m/>
  </r>
  <r>
    <n v="97"/>
    <x v="18"/>
    <s v="Tarek ElRafey"/>
    <x v="2"/>
    <s v="HSE "/>
    <x v="0"/>
    <x v="5"/>
    <x v="0"/>
    <s v="In case of emergency with the electrical panels, there should be a poster of electricians’ phone numbers (at least two) in case of emergency/ maintenance."/>
    <x v="0"/>
    <s v="PTJ HSE team was informed to provide the electricians phone numbers."/>
    <m/>
    <m/>
    <m/>
    <m/>
    <s v="Invalid"/>
    <x v="0"/>
    <m/>
  </r>
  <r>
    <n v="98"/>
    <x v="15"/>
    <s v="Elhussein Yahia"/>
    <x v="2"/>
    <s v="HSE "/>
    <x v="0"/>
    <x v="3"/>
    <x v="3"/>
    <s v="It has been observed a poor stacking for the scaffold tubes."/>
    <x v="2"/>
    <s v="Informed the site HSE representative to inform the scaffold supervisor to re-handle/ rearrange the stacking of the scaffold tubes."/>
    <m/>
    <m/>
    <m/>
    <m/>
    <s v="Invalid"/>
    <x v="0"/>
    <m/>
  </r>
  <r>
    <n v="99"/>
    <x v="10"/>
    <s v="Tarek ElRafey"/>
    <x v="2"/>
    <s v="HSE "/>
    <x v="0"/>
    <x v="7"/>
    <x v="8"/>
    <s v="It has been observed a caravan (office for the supervisors) and a container (as an equipment store) inside area02 beside the lifting activities."/>
    <x v="2"/>
    <s v="Informed PTJ HSE team that those have to be removed from the workplace."/>
    <m/>
    <m/>
    <m/>
    <m/>
    <s v="Invalid"/>
    <x v="0"/>
    <m/>
  </r>
  <r>
    <n v="100"/>
    <x v="15"/>
    <s v="Tarek ElRafey"/>
    <x v="2"/>
    <s v="HSE "/>
    <x v="0"/>
    <x v="5"/>
    <x v="0"/>
    <s v="It has been observed that the button of the emergency siren is inside the electrical panel. "/>
    <x v="2"/>
    <s v="Informed PTJ HSE team to relocate the button/ to be outside the electrical panel in a single position."/>
    <m/>
    <m/>
    <m/>
    <m/>
    <s v="Invalid"/>
    <x v="0"/>
    <m/>
  </r>
  <r>
    <n v="101"/>
    <x v="15"/>
    <s v="Tarek ElRafey"/>
    <x v="2"/>
    <s v="HSE "/>
    <x v="2"/>
    <x v="0"/>
    <x v="5"/>
    <s v="The electrician supervisor has covered all the openings (which accumulate combustible materials) beneath the electrical panels inside workshop 01"/>
    <x v="5"/>
    <s v="The supervisor to be awarded in the next weekly MTBT."/>
    <m/>
    <m/>
    <m/>
    <m/>
    <s v="Invalid"/>
    <x v="1"/>
    <m/>
  </r>
  <r>
    <n v="102"/>
    <x v="12"/>
    <s v="Elhussein Yahia"/>
    <x v="2"/>
    <s v="HSE "/>
    <x v="1"/>
    <x v="5"/>
    <x v="1"/>
    <s v="Two employees were observed standing on a trailer(above a cargo loaded on a the trailer), offloading materials directly from the forklift forks. One employee was in the line of fire, positioned in front of the forklift forks."/>
    <x v="3"/>
    <s v="•Work was immediately stopped._x000a_•Coaching was conducted for the team._x000a_•Materials are now required to be loaded into a box before being loaded onto the trailer."/>
    <m/>
    <m/>
    <m/>
    <m/>
    <s v="Invalid"/>
    <x v="0"/>
    <m/>
  </r>
  <r>
    <n v="103"/>
    <x v="12"/>
    <s v="Elhussein Yahia"/>
    <x v="2"/>
    <s v="HSE "/>
    <x v="1"/>
    <x v="7"/>
    <x v="1"/>
    <s v="A welder placed a wooden timber between a steel column and stood on it. The timber was not designed to bear his weight, posing a fall risk."/>
    <x v="1"/>
    <s v="•The wooden timber was removed immediately._x000a_•The welder was instructed to use a proper scaffold step for the task"/>
    <m/>
    <m/>
    <m/>
    <m/>
    <s v="Invalid"/>
    <x v="0"/>
    <m/>
  </r>
  <r>
    <n v="104"/>
    <x v="12"/>
    <s v="Elhussein Yahia"/>
    <x v="2"/>
    <s v="HSE "/>
    <x v="1"/>
    <x v="3"/>
    <x v="1"/>
    <s v="It has been observed that an employee was standing directly on the scaffold pipe, rather than on the scaffold board, and without a safety harness."/>
    <x v="1"/>
    <s v="I immediately intervened and coached the employee regarding the consequences of this action, explaining that it is a violation of LSR number 9. I also record a violation for the employee as a disciplinary action."/>
    <m/>
    <m/>
    <m/>
    <m/>
    <s v="Invalid"/>
    <x v="0"/>
    <m/>
  </r>
  <r>
    <n v="105"/>
    <x v="1"/>
    <s v="Gaballah Aman"/>
    <x v="2"/>
    <s v="QA"/>
    <x v="0"/>
    <x v="2"/>
    <x v="0"/>
    <s v="The ground cable's sparking near flammable materials or equipment could potentially result in a fire, endangering the safety of the workers and the workspace."/>
    <x v="0"/>
    <s v="I immediately informed the responsible Safety Officer on-site, who promptly disconnected the cable and notified the electrician to repair the ground cable to ensure safe operation."/>
    <m/>
    <m/>
    <m/>
    <m/>
    <s v="Invalid"/>
    <x v="0"/>
    <m/>
  </r>
  <r>
    <n v="106"/>
    <x v="12"/>
    <s v="Elhussein Yahia"/>
    <x v="2"/>
    <s v="HSE "/>
    <x v="0"/>
    <x v="7"/>
    <x v="7"/>
    <s v="Wooden timbers with protruding nails were found on-site, posing a potential injury risk."/>
    <x v="0"/>
    <s v="The nails were immediately removed._x000a_The area was inspected to ensure all similar hazards were addressed."/>
    <m/>
    <m/>
    <m/>
    <m/>
    <s v="Invalid"/>
    <x v="0"/>
    <m/>
  </r>
  <r>
    <n v="107"/>
    <x v="12"/>
    <s v="Osama Mohamed"/>
    <x v="0"/>
    <m/>
    <x v="2"/>
    <x v="7"/>
    <x v="5"/>
    <s v="Sufficient no of Fire fighting extinguishers , inspected and are in good condition"/>
    <x v="5"/>
    <s v="encourage workers to keep up good standard "/>
    <m/>
    <m/>
    <m/>
    <m/>
    <s v="Invalid"/>
    <x v="1"/>
    <m/>
  </r>
  <r>
    <n v="108"/>
    <x v="13"/>
    <s v="Mosaad Mohamed"/>
    <x v="0"/>
    <m/>
    <x v="2"/>
    <x v="0"/>
    <x v="0"/>
    <s v="Electric panels are inspected - provided with electric hazard sign "/>
    <x v="5"/>
    <s v="encourage workers to keep up good standard "/>
    <m/>
    <m/>
    <m/>
    <m/>
    <s v="Invalid"/>
    <x v="1"/>
    <m/>
  </r>
  <r>
    <n v="109"/>
    <x v="13"/>
    <s v="Ahmed Samy Ahmed"/>
    <x v="0"/>
    <m/>
    <x v="2"/>
    <x v="1"/>
    <x v="10"/>
    <s v="good ptw system"/>
    <x v="5"/>
    <s v="encourage workers to keep up good standard "/>
    <m/>
    <m/>
    <m/>
    <m/>
    <s v="Invalid"/>
    <x v="1"/>
    <m/>
  </r>
  <r>
    <n v="110"/>
    <x v="6"/>
    <s v="Abdallah Mohamed"/>
    <x v="0"/>
    <m/>
    <x v="2"/>
    <x v="7"/>
    <x v="8"/>
    <s v="good control for the load during lifting operation, good use of tag lines by the riggers . Banks man with high visible vest"/>
    <x v="5"/>
    <s v="Appreciated the good work"/>
    <m/>
    <m/>
    <m/>
    <m/>
    <s v="Invalid"/>
    <x v="1"/>
    <m/>
  </r>
  <r>
    <n v="111"/>
    <x v="16"/>
    <s v="Ibrahim Atef"/>
    <x v="0"/>
    <m/>
    <x v="2"/>
    <x v="5"/>
    <x v="2"/>
    <s v="Good commitment from the work force with the site required PPE especially from the grinders "/>
    <x v="5"/>
    <s v="Appreciate the good work "/>
    <m/>
    <m/>
    <m/>
    <m/>
    <s v="Invalid"/>
    <x v="1"/>
    <m/>
  </r>
  <r>
    <n v="112"/>
    <x v="16"/>
    <s v="Emad Safy"/>
    <x v="0"/>
    <m/>
    <x v="2"/>
    <x v="5"/>
    <x v="3"/>
    <s v="Good level of housekeeping "/>
    <x v="5"/>
    <s v="Recognize the  good work"/>
    <m/>
    <m/>
    <m/>
    <m/>
    <s v="Invalid"/>
    <x v="1"/>
    <m/>
  </r>
  <r>
    <n v="113"/>
    <x v="12"/>
    <s v="Mohamed Shaaban"/>
    <x v="0"/>
    <m/>
    <x v="1"/>
    <x v="1"/>
    <x v="2"/>
    <s v="observed  grinder was grinding while wearing welding helmets."/>
    <x v="1"/>
    <s v="Stop them and inform them to wear face shield visor."/>
    <m/>
    <m/>
    <m/>
    <m/>
    <s v="Invalid"/>
    <x v="0"/>
    <m/>
  </r>
  <r>
    <n v="114"/>
    <x v="12"/>
    <s v="Sameh Salama"/>
    <x v="0"/>
    <m/>
    <x v="0"/>
    <x v="8"/>
    <x v="0"/>
    <s v="Found a damaged gland of one of the welding cables."/>
    <x v="0"/>
    <s v="Inform the welder to replace it."/>
    <m/>
    <m/>
    <m/>
    <m/>
    <s v="Invalid"/>
    <x v="0"/>
    <m/>
  </r>
  <r>
    <n v="115"/>
    <x v="16"/>
    <s v="Ahmed Salem"/>
    <x v="0"/>
    <m/>
    <x v="0"/>
    <x v="7"/>
    <x v="3"/>
    <s v="Housekeeping need some improvement."/>
    <x v="0"/>
    <s v="Inform the workers to clean the area, Housekeeping has been done. "/>
    <m/>
    <m/>
    <m/>
    <m/>
    <s v="Invalid"/>
    <x v="0"/>
    <m/>
  </r>
  <r>
    <n v="116"/>
    <x v="16"/>
    <s v="Ibrahim Abdelmohsen"/>
    <x v="0"/>
    <m/>
    <x v="0"/>
    <x v="7"/>
    <x v="4"/>
    <s v="The banksman was standing in a position where he is not clear to the crane operator."/>
    <x v="0"/>
    <s v="Stop work and advising him to relocate his position and to confirm with the crane operator that he can fully see him."/>
    <m/>
    <m/>
    <m/>
    <m/>
    <s v="Invalid"/>
    <x v="0"/>
    <m/>
  </r>
  <r>
    <n v="117"/>
    <x v="17"/>
    <s v="Sameh Ragab"/>
    <x v="0"/>
    <m/>
    <x v="1"/>
    <x v="1"/>
    <x v="0"/>
    <s v="A worker did not release the gas from the hoses of the gas cylinder after use."/>
    <x v="0"/>
    <s v="Inform the worker to release the gas from the hose, the issue communicated in the TBT "/>
    <m/>
    <m/>
    <m/>
    <m/>
    <s v="Invalid"/>
    <x v="0"/>
    <m/>
  </r>
  <r>
    <n v="118"/>
    <x v="17"/>
    <s v="Mohamed Shaaban"/>
    <x v="0"/>
    <m/>
    <x v="0"/>
    <x v="7"/>
    <x v="1"/>
    <s v="#-VE scaffold access needs more Fixation "/>
    <x v="0"/>
    <s v="Scaffolder Fixed it immediately "/>
    <m/>
    <m/>
    <m/>
    <m/>
    <s v="Invalid"/>
    <x v="0"/>
    <m/>
  </r>
  <r>
    <n v="119"/>
    <x v="17"/>
    <s v="Ibrahim Atef"/>
    <x v="0"/>
    <m/>
    <x v="0"/>
    <x v="1"/>
    <x v="5"/>
    <s v="using wooden support in grinding operation"/>
    <x v="0"/>
    <s v="Wooden supports were removed and replaced "/>
    <m/>
    <m/>
    <m/>
    <m/>
    <s v="Invalid"/>
    <x v="0"/>
    <m/>
  </r>
  <r>
    <n v="120"/>
    <x v="17"/>
    <s v="Mohamed Abdellnor"/>
    <x v="0"/>
    <m/>
    <x v="0"/>
    <x v="7"/>
    <x v="3"/>
    <s v="Electric cables were running through a scaffolding structure."/>
    <x v="2"/>
    <s v="Inform PTJ HSE Officer and he inform the welders to remove the cables away."/>
    <m/>
    <m/>
    <m/>
    <m/>
    <s v="Invalid"/>
    <x v="0"/>
    <m/>
  </r>
  <r>
    <n v="121"/>
    <x v="15"/>
    <s v="Rabee Allam"/>
    <x v="0"/>
    <m/>
    <x v="0"/>
    <x v="8"/>
    <x v="0"/>
    <s v="One of the welding cable gland was broken and needs to be replaced."/>
    <x v="0"/>
    <s v="Informed project electrician and he changed the cable gland immediately."/>
    <m/>
    <m/>
    <m/>
    <m/>
    <s v="Invalid"/>
    <x v="0"/>
    <m/>
  </r>
  <r>
    <n v="122"/>
    <x v="14"/>
    <s v="Mahmoud Fathy"/>
    <x v="0"/>
    <m/>
    <x v="1"/>
    <x v="2"/>
    <x v="2"/>
    <s v="There was a rigger without safety glasses"/>
    <x v="1"/>
    <s v="He was stopped from work ,warning letter was issued "/>
    <m/>
    <m/>
    <m/>
    <m/>
    <s v="Invalid"/>
    <x v="0"/>
    <m/>
  </r>
  <r>
    <n v="123"/>
    <x v="13"/>
    <s v="Yasser Abohelw"/>
    <x v="0"/>
    <m/>
    <x v="0"/>
    <x v="7"/>
    <x v="3"/>
    <s v="Housekeeping need improvement in areOpen Area 2 especially on scaffold plat form."/>
    <x v="0"/>
    <s v="Housekeeping was done"/>
    <m/>
    <m/>
    <m/>
    <m/>
    <s v="Invalid"/>
    <x v="0"/>
    <m/>
  </r>
  <r>
    <n v="124"/>
    <x v="14"/>
    <s v="Mohamed Hussein"/>
    <x v="0"/>
    <m/>
    <x v="0"/>
    <x v="2"/>
    <x v="3"/>
    <s v="Mentioned   electrical cable to be cover by covered internal protection sections cable bumps-trays._x000a_electrical cables to be protected against heavy equipment manoeuvring and sharp edges  housekeeping to be carried out. "/>
    <x v="0"/>
    <s v="Cables have been managed properly and coverd by cable Humps. "/>
    <m/>
    <m/>
    <m/>
    <m/>
    <s v="Invalid"/>
    <x v="0"/>
    <m/>
  </r>
  <r>
    <n v="125"/>
    <x v="15"/>
    <s v="Rabee Allam"/>
    <x v="0"/>
    <m/>
    <x v="1"/>
    <x v="7"/>
    <x v="14"/>
    <s v="Fork lift driver Using cellular phone during driving "/>
    <x v="3"/>
    <s v="Stopped the operation and spoke to the fork lift driver to not use cellular phone while he's driving "/>
    <m/>
    <m/>
    <m/>
    <m/>
    <s v="Invalid"/>
    <x v="0"/>
    <m/>
  </r>
  <r>
    <n v="126"/>
    <x v="12"/>
    <s v="Mohamed Fekry"/>
    <x v="0"/>
    <m/>
    <x v="0"/>
    <x v="1"/>
    <x v="0"/>
    <s v="Observed improper joint in welding cables "/>
    <x v="0"/>
    <s v="texas connection was installed"/>
    <m/>
    <m/>
    <m/>
    <m/>
    <s v="Invalid"/>
    <x v="0"/>
    <m/>
  </r>
  <r>
    <n v="127"/>
    <x v="12"/>
    <s v="Hassan Ali "/>
    <x v="0"/>
    <m/>
    <x v="1"/>
    <x v="4"/>
    <x v="2"/>
    <s v="One of the workers working without wearing glasses"/>
    <x v="1"/>
    <s v=" glasses worn Immediately."/>
    <m/>
    <m/>
    <m/>
    <m/>
    <s v="Invalid"/>
    <x v="0"/>
    <m/>
  </r>
  <r>
    <n v="128"/>
    <x v="14"/>
    <s v="Adel Abdelhady"/>
    <x v="0"/>
    <m/>
    <x v="1"/>
    <x v="0"/>
    <x v="2"/>
    <s v="Worker was using grinding motor without any face protection "/>
    <x v="1"/>
    <s v="Stopped him to wear full ppe"/>
    <m/>
    <m/>
    <m/>
    <m/>
    <s v="Invalid"/>
    <x v="0"/>
    <m/>
  </r>
  <r>
    <n v="129"/>
    <x v="14"/>
    <s v="Mohamed Salem"/>
    <x v="0"/>
    <m/>
    <x v="0"/>
    <x v="7"/>
    <x v="3"/>
    <s v="some scaffold material scattered in the area "/>
    <x v="0"/>
    <s v="Transferred scaffold material from the area to the temporary storage area for scaffold material out side the work area as agreed"/>
    <m/>
    <m/>
    <m/>
    <m/>
    <s v="Invalid"/>
    <x v="0"/>
    <m/>
  </r>
  <r>
    <n v="130"/>
    <x v="17"/>
    <s v="Ashraf Abdelmonem"/>
    <x v="0"/>
    <m/>
    <x v="0"/>
    <x v="7"/>
    <x v="15"/>
    <s v="Incomplete hard barricade for the work area "/>
    <x v="0"/>
    <s v="Informed Scaffold Sup to complete the hard barricade "/>
    <m/>
    <m/>
    <m/>
    <m/>
    <s v="Invalid"/>
    <x v="0"/>
    <m/>
  </r>
  <r>
    <n v="131"/>
    <x v="14"/>
    <s v="Adel Abdelhalim"/>
    <x v="0"/>
    <m/>
    <x v="0"/>
    <x v="7"/>
    <x v="3"/>
    <s v="The electrical panel cable needs to be managed "/>
    <x v="0"/>
    <s v="Cable management was done "/>
    <m/>
    <m/>
    <m/>
    <m/>
    <s v="Invalid"/>
    <x v="0"/>
    <m/>
  </r>
  <r>
    <n v="132"/>
    <x v="12"/>
    <s v="Samir Omar"/>
    <x v="0"/>
    <m/>
    <x v="0"/>
    <x v="1"/>
    <x v="1"/>
    <s v="Welders need wooden step"/>
    <x v="0"/>
    <s v="Informed Scaffold Sup to make scaffold steps"/>
    <m/>
    <m/>
    <m/>
    <m/>
    <s v="Invalid"/>
    <x v="0"/>
    <m/>
  </r>
  <r>
    <n v="133"/>
    <x v="14"/>
    <s v="Samir Mohamed"/>
    <x v="0"/>
    <m/>
    <x v="0"/>
    <x v="1"/>
    <x v="1"/>
    <s v="Scaffold clip in scaffold surface"/>
    <x v="0"/>
    <s v="clip was removed"/>
    <m/>
    <m/>
    <m/>
    <m/>
    <s v="Invalid"/>
    <x v="0"/>
    <m/>
  </r>
  <r>
    <n v="134"/>
    <x v="13"/>
    <s v="Ramadan Elshahat"/>
    <x v="0"/>
    <m/>
    <x v="0"/>
    <x v="4"/>
    <x v="11"/>
    <s v="Incomplete hard barricade for the work area "/>
    <x v="0"/>
    <s v="Informed Scaffold Sup to complete the hard barricade "/>
    <m/>
    <m/>
    <m/>
    <m/>
    <s v="Invalid"/>
    <x v="0"/>
    <m/>
  </r>
  <r>
    <n v="135"/>
    <x v="14"/>
    <s v="Mohamed Elzegheby"/>
    <x v="0"/>
    <m/>
    <x v="0"/>
    <x v="8"/>
    <x v="3"/>
    <s v="Housekeeping need improvement  especially on scaffold plat form."/>
    <x v="0"/>
    <s v="Housekeeping was done"/>
    <m/>
    <m/>
    <m/>
    <m/>
    <s v="Invalid"/>
    <x v="0"/>
    <m/>
  </r>
  <r>
    <n v="136"/>
    <x v="14"/>
    <s v="Eslam Adawy"/>
    <x v="0"/>
    <m/>
    <x v="1"/>
    <x v="7"/>
    <x v="8"/>
    <s v="Observed some fitters were guiding the crane operator during the lifting operation."/>
    <x v="3"/>
    <s v="Stop them and inform them that the banksman should only guide the crane operator,This issue has been highlighted in the collective TBT."/>
    <m/>
    <m/>
    <m/>
    <m/>
    <s v="Invalid"/>
    <x v="0"/>
    <m/>
  </r>
  <r>
    <n v="137"/>
    <x v="14"/>
    <s v="Eslam Kadry"/>
    <x v="0"/>
    <m/>
    <x v="1"/>
    <x v="0"/>
    <x v="8"/>
    <s v="During a lifting operation, a rigger was using his cell phone wihile holding the tagline."/>
    <x v="3"/>
    <s v="Immediately stopped him and instruct him not to use his cell phone during operation."/>
    <m/>
    <m/>
    <m/>
    <m/>
    <s v="Invalid"/>
    <x v="0"/>
    <m/>
  </r>
  <r>
    <n v="138"/>
    <x v="14"/>
    <s v="Rabee Mostafa"/>
    <x v="0"/>
    <m/>
    <x v="0"/>
    <x v="1"/>
    <x v="1"/>
    <s v="observed The Scaffolding ladder was not fixed well"/>
    <x v="0"/>
    <s v="stopped work and inform the sup of area to fixed it and check all scaffold in the site work daily"/>
    <m/>
    <m/>
    <m/>
    <m/>
    <s v="Invalid"/>
    <x v="0"/>
    <m/>
  </r>
  <r>
    <n v="139"/>
    <x v="15"/>
    <s v="Rabee Mostafa"/>
    <x v="0"/>
    <m/>
    <x v="0"/>
    <x v="7"/>
    <x v="0"/>
    <s v="one of Electrical panel need inspection sign."/>
    <x v="0"/>
    <s v="Informed  supervisor that Electrical panel need inspection sign"/>
    <m/>
    <m/>
    <m/>
    <m/>
    <s v="Invalid"/>
    <x v="0"/>
    <m/>
  </r>
  <r>
    <n v="140"/>
    <x v="12"/>
    <s v="Mahmoud Fathy"/>
    <x v="0"/>
    <m/>
    <x v="1"/>
    <x v="4"/>
    <x v="2"/>
    <s v="observed a grinder was grinding a metal without face sheild"/>
    <x v="1"/>
    <s v="stopped him and inform him to must wear it"/>
    <m/>
    <m/>
    <m/>
    <m/>
    <s v="Invalid"/>
    <x v="0"/>
    <m/>
  </r>
  <r>
    <n v="141"/>
    <x v="15"/>
    <s v="Mohamed Hassan"/>
    <x v="0"/>
    <m/>
    <x v="0"/>
    <x v="0"/>
    <x v="5"/>
    <s v="obsrved 2 of fire extinguisher are empty "/>
    <x v="0"/>
    <s v="inform him to must check all fire extinguisher in area "/>
    <m/>
    <m/>
    <m/>
    <m/>
    <s v="Invalid"/>
    <x v="0"/>
    <m/>
  </r>
  <r>
    <n v="142"/>
    <x v="12"/>
    <s v="Mohamed Rezk"/>
    <x v="0"/>
    <m/>
    <x v="1"/>
    <x v="2"/>
    <x v="2"/>
    <s v="found worker was not wearing his safety glassess "/>
    <x v="1"/>
    <s v="stop him and inform him to wear a safety glassess and comply with site PPE "/>
    <m/>
    <m/>
    <m/>
    <m/>
    <s v="Invalid"/>
    <x v="0"/>
    <m/>
  </r>
  <r>
    <n v="143"/>
    <x v="17"/>
    <s v="Ibrahim Mohamed"/>
    <x v="0"/>
    <m/>
    <x v="1"/>
    <x v="1"/>
    <x v="5"/>
    <s v="A grinder was working with the resulting spark was directed to a gas cylinder."/>
    <x v="1"/>
    <s v="Stop him and inform him to remove the gas cylinder from the area."/>
    <m/>
    <m/>
    <m/>
    <m/>
    <s v="Invalid"/>
    <x v="0"/>
    <m/>
  </r>
  <r>
    <n v="144"/>
    <x v="14"/>
    <s v="Badr Ragab"/>
    <x v="0"/>
    <m/>
    <x v="1"/>
    <x v="4"/>
    <x v="0"/>
    <s v=" observed that  wrong  replacing method of  grinding disk."/>
    <x v="3"/>
    <s v=" Instructed the Grinders to use dedicaded tool  for changing grinding disks"/>
    <m/>
    <m/>
    <m/>
    <m/>
    <s v="Invalid"/>
    <x v="0"/>
    <m/>
  </r>
  <r>
    <n v="145"/>
    <x v="14"/>
    <s v="Mohamed nor"/>
    <x v="0"/>
    <m/>
    <x v="0"/>
    <x v="8"/>
    <x v="0"/>
    <s v="gas cylinder without protection cap "/>
    <x v="0"/>
    <s v="told Welding Sup and he put cap on it "/>
    <m/>
    <m/>
    <m/>
    <m/>
    <s v="Invalid"/>
    <x v="0"/>
    <m/>
  </r>
  <r>
    <n v="146"/>
    <x v="14"/>
    <s v="Salem Saied"/>
    <x v="0"/>
    <m/>
    <x v="0"/>
    <x v="1"/>
    <x v="1"/>
    <s v="Incomplete hand rail of work step"/>
    <x v="0"/>
    <s v="Informed Scaffold Sup to complete the work step, and Scaffold Sup complete it"/>
    <m/>
    <m/>
    <m/>
    <m/>
    <s v="Invalid"/>
    <x v="0"/>
    <m/>
  </r>
  <r>
    <n v="147"/>
    <x v="14"/>
    <s v="Ezz eldawla Abdelaleem"/>
    <x v="0"/>
    <m/>
    <x v="1"/>
    <x v="7"/>
    <x v="5"/>
    <s v="one of the grinder using wooden plate as support which may cause fire "/>
    <x v="3"/>
    <s v="Stooped him to remove the wooden plate , advised him not to use combustible material near hot work area "/>
    <m/>
    <m/>
    <m/>
    <m/>
    <s v="Invalid"/>
    <x v="0"/>
    <m/>
  </r>
  <r>
    <n v="148"/>
    <x v="14"/>
    <s v="Saad Abdelwahab"/>
    <x v="0"/>
    <m/>
    <x v="1"/>
    <x v="2"/>
    <x v="2"/>
    <s v="Worker was using grinding motor without any face protection "/>
    <x v="1"/>
    <s v="Stopped him to wear full ppe"/>
    <m/>
    <m/>
    <m/>
    <m/>
    <s v="Invalid"/>
    <x v="0"/>
    <m/>
  </r>
  <r>
    <n v="149"/>
    <x v="15"/>
    <s v="Ibrahim Khalil"/>
    <x v="0"/>
    <m/>
    <x v="0"/>
    <x v="0"/>
    <x v="0"/>
    <s v="gas cylinder with empty bubble test bottle "/>
    <x v="0"/>
    <s v="Informed worker he filled it and advised him to check leakage before using "/>
    <m/>
    <m/>
    <m/>
    <m/>
    <s v="Invalid"/>
    <x v="0"/>
    <m/>
  </r>
  <r>
    <n v="150"/>
    <x v="15"/>
    <s v="Khaled Darwesh"/>
    <x v="0"/>
    <m/>
    <x v="0"/>
    <x v="8"/>
    <x v="5"/>
    <s v="observed grinding spark was towards gas cylinder "/>
    <x v="0"/>
    <s v="stopped him to remove cylinder away  from grinding operation area , advised him to focus on the direction of sparks all the time "/>
    <m/>
    <m/>
    <m/>
    <m/>
    <s v="Invalid"/>
    <x v="0"/>
    <m/>
  </r>
  <r>
    <n v="151"/>
    <x v="15"/>
    <s v="Khaled Abdelrahman"/>
    <x v="0"/>
    <m/>
    <x v="0"/>
    <x v="7"/>
    <x v="0"/>
    <s v="Propane gauge wasnot working well "/>
    <x v="0"/>
    <s v="Informmed worker and sup to replace it , They  replaced it "/>
    <m/>
    <m/>
    <m/>
    <m/>
    <s v="Invalid"/>
    <x v="0"/>
    <m/>
  </r>
  <r>
    <n v="152"/>
    <x v="15"/>
    <s v="Gamal Salama"/>
    <x v="0"/>
    <m/>
    <x v="1"/>
    <x v="1"/>
    <x v="2"/>
    <s v="observed grinder was working without ear plugs "/>
    <x v="0"/>
    <s v="stopped him , advised him  to wear ear plugs and he did  "/>
    <m/>
    <m/>
    <m/>
    <m/>
    <s v="Invalid"/>
    <x v="0"/>
    <m/>
  </r>
  <r>
    <n v="153"/>
    <x v="15"/>
    <s v="Ibrahim Abdelmohsen"/>
    <x v="0"/>
    <m/>
    <x v="1"/>
    <x v="7"/>
    <x v="2"/>
    <s v="observed grinder was working without ear plugs "/>
    <x v="0"/>
    <s v="stopped him , advised him  to wear ear plugs and he did  "/>
    <m/>
    <m/>
    <m/>
    <m/>
    <s v="Invalid"/>
    <x v="0"/>
    <m/>
  </r>
  <r>
    <n v="154"/>
    <x v="15"/>
    <s v="Mohamed Sameh"/>
    <x v="0"/>
    <m/>
    <x v="0"/>
    <x v="8"/>
    <x v="3"/>
    <s v="observed scaffolding material scattered on the working area without arrangement "/>
    <x v="0"/>
    <s v="materials has been arranged  "/>
    <m/>
    <m/>
    <m/>
    <m/>
    <s v="Invalid"/>
    <x v="0"/>
    <m/>
  </r>
  <r>
    <n v="155"/>
    <x v="15"/>
    <s v="Ibrahim Atef"/>
    <x v="0"/>
    <m/>
    <x v="0"/>
    <x v="1"/>
    <x v="3"/>
    <s v="Observed poor House keeping and improper material arrangement "/>
    <x v="0"/>
    <s v="materials has been arranged  "/>
    <m/>
    <m/>
    <m/>
    <m/>
    <s v="Invalid"/>
    <x v="0"/>
    <m/>
  </r>
  <r>
    <n v="156"/>
    <x v="12"/>
    <s v="Badr Ragab"/>
    <x v="0"/>
    <m/>
    <x v="1"/>
    <x v="5"/>
    <x v="2"/>
    <s v="Observed some workers not wearing safety glasses."/>
    <x v="0"/>
    <s v="Awareness held to all workers on the same day about use of PPE."/>
    <m/>
    <m/>
    <m/>
    <m/>
    <s v="Invalid"/>
    <x v="0"/>
    <m/>
  </r>
  <r>
    <n v="157"/>
    <x v="15"/>
    <s v="Mohamed Abdallah"/>
    <x v="0"/>
    <m/>
    <x v="0"/>
    <x v="7"/>
    <x v="7"/>
    <s v="Some scaffold plates on scaffold need to be propely installed and fixed "/>
    <x v="0"/>
    <s v="Scaffolders installed and fixed the wooden plates "/>
    <m/>
    <m/>
    <m/>
    <m/>
    <s v="Invalid"/>
    <x v="0"/>
    <m/>
  </r>
  <r>
    <n v="158"/>
    <x v="12"/>
    <s v="Abdelsalam Elsafy"/>
    <x v="0"/>
    <m/>
    <x v="0"/>
    <x v="1"/>
    <x v="3"/>
    <s v="observed  welding rods on scaffold platform "/>
    <x v="0"/>
    <s v="housekeeping was done "/>
    <m/>
    <m/>
    <m/>
    <m/>
    <s v="Invalid"/>
    <x v="0"/>
    <m/>
  </r>
  <r>
    <n v="159"/>
    <x v="12"/>
    <s v="Ahmed Khaled"/>
    <x v="0"/>
    <m/>
    <x v="0"/>
    <x v="1"/>
    <x v="4"/>
    <s v="there wasnot barricades around Scaffold Dismantling area "/>
    <x v="0"/>
    <s v="barricades has been done "/>
    <m/>
    <m/>
    <m/>
    <m/>
    <s v="Invalid"/>
    <x v="0"/>
    <m/>
  </r>
  <r>
    <n v="160"/>
    <x v="12"/>
    <s v="Abdelsalam Shola"/>
    <x v="0"/>
    <m/>
    <x v="1"/>
    <x v="8"/>
    <x v="2"/>
    <s v="Worker was using grinding motor without any face protection "/>
    <x v="1"/>
    <s v="Stopped him to wear full ppe"/>
    <m/>
    <m/>
    <m/>
    <m/>
    <s v="Invalid"/>
    <x v="0"/>
    <m/>
  </r>
  <r>
    <n v="161"/>
    <x v="12"/>
    <s v="Gamal Elzgheby"/>
    <x v="0"/>
    <m/>
    <x v="0"/>
    <x v="3"/>
    <x v="1"/>
    <s v="Observed that top scaffold blanks are not installed properly "/>
    <x v="0"/>
    <s v="Instructed scaffold team to install the scaffold  blanks properly  "/>
    <m/>
    <m/>
    <m/>
    <m/>
    <s v="Invalid"/>
    <x v="0"/>
    <m/>
  </r>
  <r>
    <n v="162"/>
    <x v="12"/>
    <s v="Ibrahim Abdelmohsen"/>
    <x v="0"/>
    <m/>
    <x v="0"/>
    <x v="1"/>
    <x v="3"/>
    <s v="Some cables present a trip hazard; also, there are some used electrodes and grinding discs on the ground."/>
    <x v="0"/>
    <s v="Housekeeping has been done "/>
    <m/>
    <m/>
    <m/>
    <m/>
    <s v="Invalid"/>
    <x v="0"/>
    <m/>
  </r>
  <r>
    <n v="163"/>
    <x v="12"/>
    <s v="Sameh Ragab"/>
    <x v="0"/>
    <m/>
    <x v="0"/>
    <x v="7"/>
    <x v="0"/>
    <s v="Found some electrical wires on sharp edges."/>
    <x v="0"/>
    <s v="Remove and allocating the wires away from the sharp edges."/>
    <m/>
    <m/>
    <m/>
    <m/>
    <s v="Invalid"/>
    <x v="0"/>
    <m/>
  </r>
  <r>
    <n v="164"/>
    <x v="12"/>
    <s v="Mohamed Eslam"/>
    <x v="0"/>
    <m/>
    <x v="0"/>
    <x v="0"/>
    <x v="0"/>
    <s v="observed a propane gas cylinder near by the welding area"/>
    <x v="0"/>
    <s v="instructed the sup to relocate the cylinder and he did"/>
    <m/>
    <m/>
    <m/>
    <m/>
    <s v="Invalid"/>
    <x v="0"/>
    <m/>
  </r>
  <r>
    <n v="165"/>
    <x v="12"/>
    <s v="Omar Elmokhtar"/>
    <x v="0"/>
    <m/>
    <x v="1"/>
    <x v="2"/>
    <x v="5"/>
    <s v="one of the grinder using wooden plate as support which may cause fire "/>
    <x v="1"/>
    <s v="Stooped him to remove the wooden plate , advised him not to use combustible material near hot work area "/>
    <m/>
    <m/>
    <m/>
    <m/>
    <s v="Invalid"/>
    <x v="0"/>
    <m/>
  </r>
  <r>
    <n v="166"/>
    <x v="12"/>
    <s v="Shaaban Hussein"/>
    <x v="0"/>
    <m/>
    <x v="0"/>
    <x v="8"/>
    <x v="3"/>
    <s v="Poor cable management may lead to trip hazard"/>
    <x v="0"/>
    <s v="cable management was done immediately"/>
    <m/>
    <m/>
    <m/>
    <m/>
    <s v="Invalid"/>
    <x v="0"/>
    <m/>
  </r>
  <r>
    <n v="167"/>
    <x v="12"/>
    <s v="Ibrahim Abdelmohsen"/>
    <x v="0"/>
    <m/>
    <x v="0"/>
    <x v="7"/>
    <x v="4"/>
    <s v="Grinder put grinding motor above Stand  , expose the machine to fall on the ground "/>
    <x v="0"/>
    <s v="Inormed the grinder , he adjusted the position of machine and secured it "/>
    <m/>
    <m/>
    <m/>
    <m/>
    <s v="Invalid"/>
    <x v="0"/>
    <m/>
  </r>
  <r>
    <n v="168"/>
    <x v="12"/>
    <s v="Ameen Allam"/>
    <x v="0"/>
    <m/>
    <x v="0"/>
    <x v="1"/>
    <x v="3"/>
    <s v=" Welding Cables were passed through scaffolding ladder may lead to tripping hazard , falling hazard during climbing ladders "/>
    <x v="0"/>
    <s v="asked the welder to adjust cable routes , arrange cables for safe access , and he did "/>
    <m/>
    <m/>
    <m/>
    <m/>
    <s v="Invalid"/>
    <x v="0"/>
    <m/>
  </r>
  <r>
    <n v="169"/>
    <x v="18"/>
    <s v="Rabee Mostafa"/>
    <x v="0"/>
    <m/>
    <x v="0"/>
    <x v="1"/>
    <x v="0"/>
    <s v="electric panel inspection paper not inside and need to be updated "/>
    <x v="0"/>
    <s v="electrician inspected  all electrical panels and inspection check list put on the panel and updated it  "/>
    <m/>
    <m/>
    <m/>
    <m/>
    <s v="Invalid"/>
    <x v="0"/>
    <m/>
  </r>
  <r>
    <n v="170"/>
    <x v="14"/>
    <s v="Ramadan Ali"/>
    <x v="0"/>
    <m/>
    <x v="0"/>
    <x v="3"/>
    <x v="0"/>
    <s v="gas cylinder without protection cap "/>
    <x v="0"/>
    <s v="told Welding Sup and he put cap on it "/>
    <m/>
    <m/>
    <m/>
    <m/>
    <s v="Invalid"/>
    <x v="0"/>
    <m/>
  </r>
  <r>
    <n v="171"/>
    <x v="19"/>
    <s v="Elhussein Yahia"/>
    <x v="2"/>
    <s v="HSE "/>
    <x v="0"/>
    <x v="1"/>
    <x v="3"/>
    <s v="In the entrance of Open AreOpen Area 1, there was an excess of materials, making the area very congested. There was also one caravan and one container that were unnecessary inside the working area. "/>
    <x v="0"/>
    <s v="To ensure proper segregation of areas that require PPE and those that do not, we rearranged the area and removed the caravan and the container"/>
    <m/>
    <m/>
    <m/>
    <m/>
    <s v="Invalid"/>
    <x v="0"/>
    <m/>
  </r>
  <r>
    <n v="172"/>
    <x v="20"/>
    <s v="Elhussein Yahia"/>
    <x v="2"/>
    <s v="HSE "/>
    <x v="0"/>
    <x v="2"/>
    <x v="0"/>
    <s v="I observed a damaged regulator installed on a compressed gas cylinder in Workshop 2. I immediately took the cylinder out of service, replaced the regulator with a new one, and conducted a refresher training session for the cylinder operator regarding the inspection process for compressed gas cylinders."/>
    <x v="0"/>
    <s v="I immediately took the cylinder out of service, replaced the regulator with a new one, and conducted a refresher training session for the cylinder operator regarding the inspection process for compressed gas cylinders."/>
    <m/>
    <m/>
    <m/>
    <m/>
    <s v="Invalid"/>
    <x v="0"/>
    <m/>
  </r>
  <r>
    <n v="173"/>
    <x v="20"/>
    <s v="Elhussein Yahia"/>
    <x v="2"/>
    <s v="HSE "/>
    <x v="1"/>
    <x v="4"/>
    <x v="5"/>
    <s v="I observed a grinder in Workshop 3 fixing the workpiece on the ground using his leg while proceeding with the cutting operation"/>
    <x v="1"/>
    <s v="I immediately intervened and instructed him to use a vice to secure the workpiece, and I recorded a violation for him."/>
    <m/>
    <m/>
    <m/>
    <m/>
    <s v="Invalid"/>
    <x v="0"/>
    <m/>
  </r>
  <r>
    <n v="174"/>
    <x v="21"/>
    <s v="Elhussein Yahia"/>
    <x v="2"/>
    <s v="HSE "/>
    <x v="0"/>
    <x v="1"/>
    <x v="5"/>
    <s v="I observed that a butane compressed gas cylinder was larger than the cart used for its operation and transportation, and it was not secured with a chain due to the size discrepancy"/>
    <x v="0"/>
    <s v="I immediately replaced the cart with an appropriate one and coached the fitter regarding the requirements for transporting compressed gas cylinders and the purpose of securing them with a chain"/>
    <m/>
    <m/>
    <m/>
    <m/>
    <s v="Invalid"/>
    <x v="0"/>
    <m/>
  </r>
  <r>
    <n v="175"/>
    <x v="21"/>
    <s v="Elhussein Yahia"/>
    <x v="2"/>
    <s v="HSE "/>
    <x v="0"/>
    <x v="1"/>
    <x v="1"/>
    <s v="It has been observed in Area One that there is a scaffold platform underneath _x000a_the double welded frame without proper access and egress. The scaffold is incomplete as there is no guardrail system. "/>
    <x v="3"/>
    <s v="I immediately stopped work in this area until the scaffold is completed with a guardrail system or dismantled and replaced with a portable scaffold structure"/>
    <m/>
    <m/>
    <m/>
    <m/>
    <s v="Invalid"/>
    <x v="0"/>
    <m/>
  </r>
  <r>
    <n v="176"/>
    <x v="20"/>
    <s v="Elhussein Yahia"/>
    <x v="2"/>
    <s v="HSE "/>
    <x v="1"/>
    <x v="4"/>
    <x v="1"/>
    <s v="I observed a grinder working with a cutting tool while positioned above a structure without standing on a scaffold or having a guardrail system in place. "/>
    <x v="3"/>
    <s v="I intervened and stopped the work. A stand-down was conducted with all the grinders in the workshop, and a violation was recorded for the bindividual  involved."/>
    <m/>
    <m/>
    <m/>
    <m/>
    <s v="Invalid"/>
    <x v="0"/>
    <m/>
  </r>
  <r>
    <n v="177"/>
    <x v="19"/>
    <s v="Elhussein Yahia"/>
    <x v="2"/>
    <s v="HSE "/>
    <x v="0"/>
    <x v="0"/>
    <x v="3"/>
    <s v="There was poor housekeeping and inadequate cable management at a welding shelter in AreOpen Area 1"/>
    <x v="3"/>
    <s v="I stopped the work in the area until it was maintained to be clean, safe, and tidy, allowing the activity to continue"/>
    <m/>
    <m/>
    <m/>
    <m/>
    <s v="Invalid"/>
    <x v="0"/>
    <m/>
  </r>
  <r>
    <n v="178"/>
    <x v="20"/>
    <s v="Elhussein Yahia"/>
    <x v="2"/>
    <s v="HSE "/>
    <x v="0"/>
    <x v="11"/>
    <x v="3"/>
    <s v="There is poor housekeeping in the storage warehouse for pipes, in addition to damaged pallets that need to be replaced."/>
    <x v="0"/>
    <s v="Reported to PTJ team"/>
    <m/>
    <m/>
    <m/>
    <m/>
    <s v="Invalid"/>
    <x v="0"/>
    <m/>
  </r>
  <r>
    <n v="179"/>
    <x v="22"/>
    <s v="Elhussein Yahia"/>
    <x v="2"/>
    <s v="HSE "/>
    <x v="0"/>
    <x v="3"/>
    <x v="3"/>
    <s v="In Area Three, a new shaded area with corrugated sheets has been installed without proper access and egress. There is poor housekeeping, with welding _x000a_screens in poor condition and deteriorated. The ground is not leveled, and there are no walkways around the structure. The entrance to the area is _x000a_blocked with stored corrugated sheets, and there is no HSE coverage"/>
    <x v="3"/>
    <s v="I immediately stopped work in this area, and housekeeping has started to maintain the area in a clean, safe, and tidy condition."/>
    <m/>
    <m/>
    <m/>
    <m/>
    <s v="Invalid"/>
    <x v="0"/>
    <m/>
  </r>
  <r>
    <n v="180"/>
    <x v="20"/>
    <s v="Elhussein Yahia"/>
    <x v="2"/>
    <s v="HSE "/>
    <x v="0"/>
    <x v="2"/>
    <x v="4"/>
    <s v="The covers of electrical manholes in Workshop 2 are protruding from the ground, which may pose a tripping hazard"/>
    <x v="2"/>
    <s v="I recommend painting them with a caution color to alert individuals when entering or exiting the workshop."/>
    <m/>
    <m/>
    <m/>
    <m/>
    <s v="Invalid"/>
    <x v="0"/>
    <m/>
  </r>
  <r>
    <n v="181"/>
    <x v="20"/>
    <s v="Elhussein Yahia"/>
    <x v="2"/>
    <s v="HSE "/>
    <x v="0"/>
    <x v="8"/>
    <x v="3"/>
    <s v="I observed poor stacking of small metal pieces in Workshop 4, which posed a potential dropped object hazard"/>
    <x v="0"/>
    <s v="I immediately reported this to the workshop supervisor, who then restacked the material properly."/>
    <m/>
    <m/>
    <m/>
    <m/>
    <s v="Invalid"/>
    <x v="0"/>
    <m/>
  </r>
  <r>
    <n v="182"/>
    <x v="20"/>
    <s v="Elhussein Yahia"/>
    <x v="2"/>
    <s v="HSE "/>
    <x v="0"/>
    <x v="4"/>
    <x v="0"/>
    <s v="I observed a butane cylinder on a cart in Workshop 3 that was not secured with a chain"/>
    <x v="0"/>
    <s v="I immediately secured the cylinder with a chain and provided on-the-spot coaching for the welders"/>
    <m/>
    <m/>
    <m/>
    <m/>
    <s v="Invalid"/>
    <x v="0"/>
    <m/>
  </r>
  <r>
    <n v="183"/>
    <x v="21"/>
    <s v="Elhussein Yahia"/>
    <x v="2"/>
    <s v="HSE "/>
    <x v="1"/>
    <x v="1"/>
    <x v="2"/>
    <s v="I observed a fitter working with damaged/deteriorated gloves. "/>
    <x v="1"/>
    <s v="I immediately stopped him from continuing the activity and instructed him to obtain proper PPE."/>
    <m/>
    <m/>
    <m/>
    <m/>
    <s v="Invalid"/>
    <x v="0"/>
    <m/>
  </r>
  <r>
    <n v="184"/>
    <x v="19"/>
    <s v="Elhussein Yahia"/>
    <x v="2"/>
    <s v="HSE "/>
    <x v="1"/>
    <x v="0"/>
    <x v="1"/>
    <s v="I observed a grinder operating above the frame instead of using a scaffold platform (step) to access the frame or having any guardrail system to protect against falls."/>
    <x v="1"/>
    <s v="I intervened and conducted a Toolbox Talk (TBT) with him regarding LSR 09 related to working at height."/>
    <m/>
    <m/>
    <m/>
    <m/>
    <s v="Invalid"/>
    <x v="0"/>
    <m/>
  </r>
  <r>
    <n v="185"/>
    <x v="20"/>
    <s v="Hany Elashkar"/>
    <x v="2"/>
    <s v="HSE "/>
    <x v="1"/>
    <x v="0"/>
    <x v="5"/>
    <s v="Observed a grinder was cutting a pipe over the ground without being fixed on a suitable workstation "/>
    <x v="1"/>
    <m/>
    <m/>
    <m/>
    <m/>
    <m/>
    <s v="Invalid"/>
    <x v="0"/>
    <m/>
  </r>
  <r>
    <n v="186"/>
    <x v="20"/>
    <s v="Hany Elashkar"/>
    <x v="2"/>
    <s v="HSE "/>
    <x v="0"/>
    <x v="2"/>
    <x v="3"/>
    <s v="Observed metal scraps thrown over the ground in front of Workshop 2"/>
    <x v="0"/>
    <m/>
    <m/>
    <m/>
    <m/>
    <m/>
    <s v="Invalid"/>
    <x v="0"/>
    <m/>
  </r>
  <r>
    <n v="187"/>
    <x v="23"/>
    <s v="Hany Elashkar"/>
    <x v="2"/>
    <s v="HSE "/>
    <x v="0"/>
    <x v="0"/>
    <x v="4"/>
    <s v="Observed a corner of a frame stands over unstable side of a horse support which is carrying anther frame"/>
    <x v="0"/>
    <m/>
    <m/>
    <m/>
    <m/>
    <m/>
    <s v="Invalid"/>
    <x v="0"/>
    <m/>
  </r>
  <r>
    <n v="188"/>
    <x v="23"/>
    <s v="Hany Elashkar"/>
    <x v="2"/>
    <s v="HSE "/>
    <x v="1"/>
    <x v="1"/>
    <x v="2"/>
    <s v="Observed two workers (grinders) at open areOpen Area 1 not using additional PPE for grinding activities (aprons – sleeves - over shoes protection"/>
    <x v="1"/>
    <m/>
    <m/>
    <m/>
    <m/>
    <m/>
    <s v="Invalid"/>
    <x v="0"/>
    <m/>
  </r>
  <r>
    <n v="189"/>
    <x v="23"/>
    <s v="Hany Elashkar"/>
    <x v="2"/>
    <s v="HSE "/>
    <x v="0"/>
    <x v="7"/>
    <x v="0"/>
    <s v="Observed two piping at Open Area 1 without suitable fixing stoppers"/>
    <x v="0"/>
    <m/>
    <m/>
    <m/>
    <m/>
    <m/>
    <s v="Invalid"/>
    <x v="0"/>
    <m/>
  </r>
  <r>
    <n v="190"/>
    <x v="23"/>
    <s v="Hany Elashkar"/>
    <x v="2"/>
    <s v="HSE "/>
    <x v="0"/>
    <x v="3"/>
    <x v="3"/>
    <s v="Observed unauthorized corner inside Open Area 1 containing food wastes &amp; cigarettes butts"/>
    <x v="0"/>
    <m/>
    <m/>
    <m/>
    <m/>
    <m/>
    <s v="Invalid"/>
    <x v="0"/>
    <m/>
  </r>
  <r>
    <n v="191"/>
    <x v="24"/>
    <s v="Tarek ElRafey"/>
    <x v="2"/>
    <s v="HSE "/>
    <x v="0"/>
    <x v="1"/>
    <x v="0"/>
    <s v="Observed a compressed gas cylinder while it is on the trolley without being guarded with a chain."/>
    <x v="0"/>
    <s v="The area supervisor was informed and fixed the chain to the cylinder."/>
    <m/>
    <m/>
    <m/>
    <m/>
    <s v="Invalid"/>
    <x v="0"/>
    <m/>
  </r>
  <r>
    <n v="192"/>
    <x v="24"/>
    <s v="Tarek ElRafey"/>
    <x v="2"/>
    <s v="HSE "/>
    <x v="0"/>
    <x v="0"/>
    <x v="0"/>
    <s v="The earthing system for the CNC machine has been damaged due to the cutting splatters."/>
    <x v="3"/>
    <s v="The CNC machine operator suspended the work and provided a guard for the earthing system. "/>
    <m/>
    <m/>
    <m/>
    <m/>
    <s v="Invalid"/>
    <x v="0"/>
    <m/>
  </r>
  <r>
    <n v="193"/>
    <x v="23"/>
    <s v="Hany Elashkar"/>
    <x v="2"/>
    <s v="HSE "/>
    <x v="0"/>
    <x v="1"/>
    <x v="0"/>
    <s v="Observed acetylene leak from an empty acetylene cylinder (gauge reading 0bar) while being disconnected from the cutting kit"/>
    <x v="0"/>
    <m/>
    <m/>
    <m/>
    <m/>
    <m/>
    <s v="Invalid"/>
    <x v="0"/>
    <m/>
  </r>
  <r>
    <n v="194"/>
    <x v="22"/>
    <s v="Elhussein Yahia"/>
    <x v="2"/>
    <s v="HSE "/>
    <x v="0"/>
    <x v="3"/>
    <x v="3"/>
    <s v="In Area Three, a new shaded area with corrugated sheets has been installedwithout proper access and egress. There is poor housekeeping, with welding_x000a_screens in poor condition and deteriorated. The ground is not leveled, andthere are no walkways around the structure. The entrance to the area isblocked with stored corrugated sheets, and there is no HSE coverage."/>
    <x v="3"/>
    <s v="I immediately stopped work in this area, and housekeeping has started tomaintain the area in a clean, safe, and tidy condition."/>
    <m/>
    <m/>
    <m/>
    <m/>
    <s v="Invalid"/>
    <x v="0"/>
    <m/>
  </r>
  <r>
    <n v="195"/>
    <x v="24"/>
    <s v="Tarek ElRafey"/>
    <x v="2"/>
    <s v="HSE "/>
    <x v="1"/>
    <x v="1"/>
    <x v="1"/>
    <s v="Observed a worker standing on two unfixed wooden planks of a scaffold."/>
    <x v="1"/>
    <s v="The worker was instructed that he is not allowed to stand on the wooden planksbefore it is well fixed.The scaffold team provided the needed clamps to fix the planks."/>
    <m/>
    <m/>
    <m/>
    <m/>
    <s v="Invalid"/>
    <x v="0"/>
    <m/>
  </r>
  <r>
    <n v="196"/>
    <x v="22"/>
    <s v="Mohamed Fekry"/>
    <x v="0"/>
    <m/>
    <x v="0"/>
    <x v="1"/>
    <x v="3"/>
    <s v="observed  welding rods on scaffold platform "/>
    <x v="0"/>
    <s v="housekeeping was done "/>
    <m/>
    <m/>
    <m/>
    <m/>
    <s v="Invalid"/>
    <x v="0"/>
    <m/>
  </r>
  <r>
    <n v="197"/>
    <x v="22"/>
    <s v="Hassan Ali "/>
    <x v="0"/>
    <m/>
    <x v="0"/>
    <x v="4"/>
    <x v="4"/>
    <s v="there wasnot barricades around Scaffold Dismantling area "/>
    <x v="0"/>
    <s v="barricades has been done to identify the line of fire area"/>
    <m/>
    <m/>
    <m/>
    <m/>
    <s v="Invalid"/>
    <x v="0"/>
    <m/>
  </r>
  <r>
    <n v="198"/>
    <x v="20"/>
    <s v="Adel Abdelhady"/>
    <x v="0"/>
    <m/>
    <x v="0"/>
    <x v="0"/>
    <x v="3"/>
    <s v="welding remains to be removed to improve housekeeping"/>
    <x v="0"/>
    <s v="instructed welders to use buckets to collect all remains -housekeeping was done"/>
    <m/>
    <m/>
    <m/>
    <m/>
    <s v="Invalid"/>
    <x v="0"/>
    <m/>
  </r>
  <r>
    <n v="199"/>
    <x v="23"/>
    <s v="Mohamed Salem"/>
    <x v="0"/>
    <m/>
    <x v="1"/>
    <x v="7"/>
    <x v="2"/>
    <s v="pipe fitter was wearing welding faceshield "/>
    <x v="1"/>
    <s v="Stopped him to wear clear face shield "/>
    <m/>
    <m/>
    <m/>
    <m/>
    <s v="Invalid"/>
    <x v="0"/>
    <m/>
  </r>
  <r>
    <n v="200"/>
    <x v="25"/>
    <s v="Ashraf Abdelmonem"/>
    <x v="0"/>
    <m/>
    <x v="0"/>
    <x v="7"/>
    <x v="0"/>
    <s v="observed Acytelene cylinder without cap "/>
    <x v="0"/>
    <s v="the cylinder was secured by protection cap"/>
    <m/>
    <m/>
    <m/>
    <m/>
    <s v="Invalid"/>
    <x v="0"/>
    <m/>
  </r>
  <r>
    <n v="201"/>
    <x v="25"/>
    <s v="Adel Abdelhalim"/>
    <x v="0"/>
    <m/>
    <x v="0"/>
    <x v="7"/>
    <x v="4"/>
    <s v="sharp edges need to  be cut "/>
    <x v="0"/>
    <s v="Some of sharp edges were cut and residual protected by traffic cones to avoid contact with sharp edges"/>
    <m/>
    <m/>
    <m/>
    <m/>
    <s v="Invalid"/>
    <x v="0"/>
    <m/>
  </r>
  <r>
    <n v="202"/>
    <x v="25"/>
    <s v="Samir Omar"/>
    <x v="0"/>
    <m/>
    <x v="0"/>
    <x v="1"/>
    <x v="0"/>
    <s v="observed welding cable in bad condition lead to electrical hazard "/>
    <x v="0"/>
    <s v="Stooped the welder and asked electrician to fix it "/>
    <m/>
    <m/>
    <m/>
    <m/>
    <s v="Invalid"/>
    <x v="0"/>
    <m/>
  </r>
  <r>
    <n v="203"/>
    <x v="25"/>
    <s v="Samir Mohamed"/>
    <x v="0"/>
    <m/>
    <x v="0"/>
    <x v="1"/>
    <x v="8"/>
    <s v="Observed chain block hook without safety latch"/>
    <x v="0"/>
    <s v="Removed it from the area , marked it with red color code "/>
    <m/>
    <m/>
    <m/>
    <m/>
    <s v="Invalid"/>
    <x v="0"/>
    <m/>
  </r>
  <r>
    <n v="204"/>
    <x v="20"/>
    <s v="Ramadan Elshahat"/>
    <x v="0"/>
    <m/>
    <x v="0"/>
    <x v="4"/>
    <x v="8"/>
    <s v="Webbing slings were left unattended in the direct sun shine"/>
    <x v="0"/>
    <s v="Webbing slings were removed to a safe storage area"/>
    <m/>
    <m/>
    <m/>
    <m/>
    <s v="Invalid"/>
    <x v="0"/>
    <m/>
  </r>
  <r>
    <n v="205"/>
    <x v="12"/>
    <s v="Mohamed Elzegheby"/>
    <x v="0"/>
    <m/>
    <x v="1"/>
    <x v="8"/>
    <x v="2"/>
    <s v="Observed 2 workers without safety glassess"/>
    <x v="1"/>
    <s v="Stopped them to wear their safety glassess, the issue was highlighted in the next TBT "/>
    <m/>
    <m/>
    <m/>
    <m/>
    <s v="Invalid"/>
    <x v="0"/>
    <m/>
  </r>
  <r>
    <n v="206"/>
    <x v="12"/>
    <s v="Eslam Adawy"/>
    <x v="0"/>
    <m/>
    <x v="0"/>
    <x v="7"/>
    <x v="8"/>
    <s v="Observed a weebing sling not color coded "/>
    <x v="0"/>
    <s v="Informed rigging sup to reinspect the weebing sling and put the color code , "/>
    <m/>
    <m/>
    <m/>
    <m/>
    <s v="Invalid"/>
    <x v="0"/>
    <m/>
  </r>
  <r>
    <n v="207"/>
    <x v="12"/>
    <s v="Eslam Kadry"/>
    <x v="0"/>
    <m/>
    <x v="0"/>
    <x v="0"/>
    <x v="3"/>
    <s v="Scarp need to be removed for safe access way causing tripping hazard "/>
    <x v="0"/>
    <s v="Instructed riggers to remove scrap , immediatley scarp was removed "/>
    <m/>
    <m/>
    <m/>
    <m/>
    <s v="Invalid"/>
    <x v="0"/>
    <m/>
  </r>
  <r>
    <n v="208"/>
    <x v="23"/>
    <s v="Rabee Mostafa"/>
    <x v="0"/>
    <m/>
    <x v="0"/>
    <x v="1"/>
    <x v="1"/>
    <s v="There was a handrill on a structure with a ladder for the safe access all without inspection card"/>
    <x v="0"/>
    <s v="It was secured by a tape not to access it until the scaffold inspector inspected it and put a scaff tag"/>
    <m/>
    <m/>
    <m/>
    <m/>
    <s v="Invalid"/>
    <x v="0"/>
    <m/>
  </r>
  <r>
    <n v="209"/>
    <x v="25"/>
    <s v="Rabee Mostafa"/>
    <x v="0"/>
    <m/>
    <x v="0"/>
    <x v="7"/>
    <x v="13"/>
    <s v="Empty eyewash, need to be refilled."/>
    <x v="0"/>
    <s v="eye wash station has been refilled "/>
    <m/>
    <m/>
    <m/>
    <m/>
    <s v="Invalid"/>
    <x v="0"/>
    <m/>
  </r>
  <r>
    <n v="210"/>
    <x v="23"/>
    <s v="Mahmoud Fathy"/>
    <x v="0"/>
    <m/>
    <x v="1"/>
    <x v="4"/>
    <x v="14"/>
    <s v="Fork lift driver Using cellular phone during driving "/>
    <x v="3"/>
    <s v="Stopped the operation and spoke to the fork lift driver to not use cellular phone while he's driving "/>
    <m/>
    <m/>
    <m/>
    <m/>
    <s v="Invalid"/>
    <x v="0"/>
    <m/>
  </r>
  <r>
    <n v="211"/>
    <x v="25"/>
    <s v="Mohamed Hassan"/>
    <x v="0"/>
    <m/>
    <x v="0"/>
    <x v="0"/>
    <x v="3"/>
    <s v="Observed scattered welding electrodes residue under the Assembled pile."/>
    <x v="0"/>
    <s v="Housekeeping has been done Immediately."/>
    <m/>
    <m/>
    <m/>
    <m/>
    <s v="Invalid"/>
    <x v="0"/>
    <m/>
  </r>
  <r>
    <n v="212"/>
    <x v="26"/>
    <s v="Mohamed Rezk"/>
    <x v="0"/>
    <m/>
    <x v="0"/>
    <x v="2"/>
    <x v="0"/>
    <s v="Observed that one of roller pile can on the ground was not secured by stopper."/>
    <x v="0"/>
    <s v="Rigger secured it by wedges immediately."/>
    <m/>
    <m/>
    <m/>
    <m/>
    <s v="Invalid"/>
    <x v="0"/>
    <m/>
  </r>
  <r>
    <n v="213"/>
    <x v="26"/>
    <s v="Ibrahim Mohamed"/>
    <x v="0"/>
    <m/>
    <x v="3"/>
    <x v="1"/>
    <x v="0"/>
    <s v=" site electrician tested GFCI and found it works well._x000a_Electric panels are inspected periodically and provided with electrical hazard signs."/>
    <x v="5"/>
    <s v="Recognized the Good job."/>
    <m/>
    <m/>
    <m/>
    <m/>
    <s v="Invalid"/>
    <x v="1"/>
    <m/>
  </r>
  <r>
    <n v="214"/>
    <x v="26"/>
    <s v="Badr Ragab"/>
    <x v="0"/>
    <m/>
    <x v="0"/>
    <x v="4"/>
    <x v="5"/>
    <s v="Improper welding cables"/>
    <x v="0"/>
    <s v="Replaced it by new welding cables "/>
    <m/>
    <m/>
    <m/>
    <m/>
    <s v="Invalid"/>
    <x v="0"/>
    <m/>
  </r>
  <r>
    <n v="215"/>
    <x v="26"/>
    <s v="Mohamed nor"/>
    <x v="0"/>
    <m/>
    <x v="0"/>
    <x v="8"/>
    <x v="0"/>
    <s v="Observed leak in Oxygen hose "/>
    <x v="0"/>
    <s v="Closed the cylinder valve , informed fitting sup to replace the hose and dviced him to provide bubble bottle for preuse leakage test"/>
    <m/>
    <m/>
    <m/>
    <m/>
    <s v="Invalid"/>
    <x v="0"/>
    <m/>
  </r>
  <r>
    <n v="216"/>
    <x v="26"/>
    <s v="Salem Saied"/>
    <x v="0"/>
    <m/>
    <x v="2"/>
    <x v="1"/>
    <x v="0"/>
    <s v="Electrical Panels are Periodically inspected as required"/>
    <x v="5"/>
    <s v="Recognize the safe work"/>
    <m/>
    <m/>
    <m/>
    <m/>
    <s v="Invalid"/>
    <x v="1"/>
    <m/>
  </r>
  <r>
    <n v="217"/>
    <x v="27"/>
    <s v="Ezz eldawla Abdelaleem"/>
    <x v="0"/>
    <m/>
    <x v="0"/>
    <x v="7"/>
    <x v="8"/>
    <s v="forklift operator was moved without banks men "/>
    <x v="0"/>
    <s v="Stopped him to provide banksman "/>
    <m/>
    <m/>
    <m/>
    <m/>
    <s v="Invalid"/>
    <x v="0"/>
    <m/>
  </r>
  <r>
    <n v="218"/>
    <x v="27"/>
    <s v="Saad Abdelwahab"/>
    <x v="0"/>
    <m/>
    <x v="0"/>
    <x v="2"/>
    <x v="3"/>
    <s v="some cables arein the access ot  scaffold ladder "/>
    <x v="0"/>
    <s v="Cable management was done and the access to scaffold ladder was clear"/>
    <m/>
    <m/>
    <m/>
    <m/>
    <s v="Invalid"/>
    <x v="0"/>
    <m/>
  </r>
  <r>
    <n v="219"/>
    <x v="27"/>
    <s v="Ibrahim Khalil"/>
    <x v="0"/>
    <m/>
    <x v="0"/>
    <x v="0"/>
    <x v="8"/>
    <s v="one of shakles without color code and another one without serial number "/>
    <x v="0"/>
    <s v="Sup was informed the color code was placed on shackle and the other was excluded and sent to quarantine box"/>
    <m/>
    <m/>
    <m/>
    <m/>
    <s v="Invalid"/>
    <x v="0"/>
    <m/>
  </r>
  <r>
    <n v="220"/>
    <x v="27"/>
    <s v="Khaled Darwesh"/>
    <x v="0"/>
    <m/>
    <x v="1"/>
    <x v="8"/>
    <x v="2"/>
    <s v="one of welders working without face shield "/>
    <x v="0"/>
    <s v="told the worker to wear his PPE all the time in the working site "/>
    <m/>
    <m/>
    <m/>
    <m/>
    <s v="Invalid"/>
    <x v="0"/>
    <m/>
  </r>
  <r>
    <n v="221"/>
    <x v="27"/>
    <s v="Khaled Abdelrahman"/>
    <x v="0"/>
    <m/>
    <x v="0"/>
    <x v="7"/>
    <x v="0"/>
    <s v="Observed unused defective cables that need to be removed out of the site."/>
    <x v="1"/>
    <s v="Asked the supervisor and they have been removed."/>
    <m/>
    <m/>
    <m/>
    <m/>
    <s v="Invalid"/>
    <x v="0"/>
    <m/>
  </r>
  <r>
    <n v="222"/>
    <x v="27"/>
    <s v="Gamal Salama"/>
    <x v="0"/>
    <m/>
    <x v="2"/>
    <x v="1"/>
    <x v="8"/>
    <s v="observed good control of lifting operations (lifting area was evacuated- lifting gears&amp;equipment are inspected with valid calibration certificates- good use of tag lines-load drop object check was done prior the operation)"/>
    <x v="5"/>
    <s v="Thanked the teaml for the positive behaviours ,"/>
    <m/>
    <m/>
    <m/>
    <m/>
    <s v="Invalid"/>
    <x v="1"/>
    <m/>
  </r>
  <r>
    <n v="223"/>
    <x v="27"/>
    <s v="Ibrahim Abdelmohsen"/>
    <x v="0"/>
    <m/>
    <x v="2"/>
    <x v="7"/>
    <x v="5"/>
    <s v="Observed that welding operation   is carried out safely and full PPE and leather apron are inplace as required, "/>
    <x v="5"/>
    <s v="Thanked the welders and reinforced their  positive behaviors"/>
    <m/>
    <m/>
    <m/>
    <m/>
    <s v="Invalid"/>
    <x v="1"/>
    <m/>
  </r>
  <r>
    <n v="224"/>
    <x v="28"/>
    <s v="Mohamed Sameh"/>
    <x v="0"/>
    <m/>
    <x v="0"/>
    <x v="8"/>
    <x v="10"/>
    <s v="Observed a hand tool with metal hand."/>
    <x v="0"/>
    <s v="Informed the fitter and it was excluded from site immediately."/>
    <m/>
    <m/>
    <m/>
    <m/>
    <s v="Invalid"/>
    <x v="0"/>
    <m/>
  </r>
  <r>
    <n v="225"/>
    <x v="28"/>
    <s v="Ibrahim Atef"/>
    <x v="0"/>
    <m/>
    <x v="0"/>
    <x v="1"/>
    <x v="0"/>
    <s v="gas cylinder in basket without protection cap "/>
    <x v="0"/>
    <s v="told Welding Sup and he put cap on it "/>
    <m/>
    <m/>
    <m/>
    <m/>
    <s v="Invalid"/>
    <x v="0"/>
    <m/>
  </r>
  <r>
    <n v="226"/>
    <x v="28"/>
    <s v="Badr Ragab"/>
    <x v="0"/>
    <m/>
    <x v="0"/>
    <x v="5"/>
    <x v="3"/>
    <s v="observed presence of a metal object in front of the scaffold's ladder inhibits movement"/>
    <x v="0"/>
    <s v="spoke to Sup to do re-arrangement of objects and clear access ways to the scaffolds "/>
    <m/>
    <m/>
    <m/>
    <m/>
    <s v="Invalid"/>
    <x v="0"/>
    <m/>
  </r>
  <r>
    <n v="227"/>
    <x v="28"/>
    <s v="Mohamed Abdallah"/>
    <x v="0"/>
    <m/>
    <x v="3"/>
    <x v="7"/>
    <x v="0"/>
    <s v="A worker moved the gas cylinder to a safe distance before starting the welding activity as instructed before."/>
    <x v="5"/>
    <s v="Appreciated the good work"/>
    <m/>
    <m/>
    <m/>
    <m/>
    <s v="Invalid"/>
    <x v="1"/>
    <m/>
  </r>
  <r>
    <n v="228"/>
    <x v="28"/>
    <s v="Abdelsalam Elsafy"/>
    <x v="0"/>
    <m/>
    <x v="2"/>
    <x v="1"/>
    <x v="5"/>
    <s v="Good distribution of firefighting equipment on site ."/>
    <x v="5"/>
    <s v="Encouraged the him for their commitment"/>
    <m/>
    <m/>
    <m/>
    <m/>
    <s v="Invalid"/>
    <x v="1"/>
    <m/>
  </r>
  <r>
    <n v="229"/>
    <x v="28"/>
    <s v="Ahmed Khaled"/>
    <x v="0"/>
    <m/>
    <x v="0"/>
    <x v="1"/>
    <x v="0"/>
    <s v="observed grinding spark was towards gas cylinder "/>
    <x v="3"/>
    <s v="stopped him to remove cylinder away  from grinding operation area , advised him to focus on the direction of sparks all the time "/>
    <m/>
    <m/>
    <m/>
    <m/>
    <s v="Invalid"/>
    <x v="0"/>
    <m/>
  </r>
  <r>
    <n v="230"/>
    <x v="28"/>
    <s v="Abdelsalam Shola"/>
    <x v="0"/>
    <m/>
    <x v="0"/>
    <x v="8"/>
    <x v="3"/>
    <s v="un used Scaffolding material Scattered in the work area "/>
    <x v="0"/>
    <s v="Instructed the scaffolders to remove all material . To be stored in the dedicated storage area "/>
    <m/>
    <m/>
    <m/>
    <m/>
    <s v="Invalid"/>
    <x v="0"/>
    <m/>
  </r>
  <r>
    <n v="231"/>
    <x v="28"/>
    <s v="Gamal Elzgheby"/>
    <x v="0"/>
    <m/>
    <x v="0"/>
    <x v="3"/>
    <x v="8"/>
    <s v="Observed  a crane hook without colorcode."/>
    <x v="0"/>
    <s v="Asked the supervisor to put the required colorcode based on the hook condition and certificate."/>
    <m/>
    <m/>
    <m/>
    <m/>
    <s v="Invalid"/>
    <x v="0"/>
    <m/>
  </r>
  <r>
    <n v="232"/>
    <x v="28"/>
    <s v="Ibrahim Abdelmohsen"/>
    <x v="0"/>
    <m/>
    <x v="3"/>
    <x v="1"/>
    <x v="8"/>
    <s v="good control for the load during lifting operation, good use of tag lines by the riggers . Banks man with high visible vest"/>
    <x v="5"/>
    <s v="Appreciated the good work"/>
    <m/>
    <m/>
    <m/>
    <m/>
    <s v="Invalid"/>
    <x v="1"/>
    <m/>
  </r>
  <r>
    <n v="233"/>
    <x v="26"/>
    <s v="Sameh Ragab"/>
    <x v="0"/>
    <m/>
    <x v="0"/>
    <x v="7"/>
    <x v="0"/>
    <s v="Welding cable connector rubber coverwas missing,"/>
    <x v="0"/>
    <s v="Pointed to electrician at site and he_x000a_installed the rubber cover as required."/>
    <m/>
    <m/>
    <m/>
    <m/>
    <s v="Invalid"/>
    <x v="0"/>
    <m/>
  </r>
  <r>
    <n v="234"/>
    <x v="26"/>
    <s v="Mohamed Eslam"/>
    <x v="0"/>
    <m/>
    <x v="0"/>
    <x v="0"/>
    <x v="0"/>
    <s v="gas cylinder with empty bubble test bottle "/>
    <x v="0"/>
    <s v="Informed worker he filled it and advised him to check leakage before using "/>
    <m/>
    <m/>
    <m/>
    <m/>
    <s v="Invalid"/>
    <x v="0"/>
    <m/>
  </r>
  <r>
    <n v="235"/>
    <x v="26"/>
    <s v="Omar Elmokhtar"/>
    <x v="0"/>
    <m/>
    <x v="2"/>
    <x v="2"/>
    <x v="0"/>
    <s v="Flash back arrestors in site are installed as_x000a_required,"/>
    <x v="5"/>
    <s v="Encouraged the team for their commitment"/>
    <m/>
    <m/>
    <m/>
    <m/>
    <s v="Invalid"/>
    <x v="1"/>
    <m/>
  </r>
  <r>
    <n v="236"/>
    <x v="26"/>
    <s v="Shaaban Hussein"/>
    <x v="0"/>
    <m/>
    <x v="1"/>
    <x v="8"/>
    <x v="8"/>
    <s v="Observed some fitters were guiding the crane operator during the lifting operation."/>
    <x v="1"/>
    <s v="Stop them and inform them that the banksman should only guide the crane operator,This issue has been highlighted in the collective TBT."/>
    <m/>
    <m/>
    <m/>
    <m/>
    <s v="Invalid"/>
    <x v="0"/>
    <m/>
  </r>
  <r>
    <n v="237"/>
    <x v="26"/>
    <s v="Ibrahim Abdelmohsen"/>
    <x v="0"/>
    <m/>
    <x v="2"/>
    <x v="7"/>
    <x v="10"/>
    <s v="Eye wash station (Saline Solution) was changed and checklist is updated as required"/>
    <x v="5"/>
    <s v="Appreciated the good work"/>
    <m/>
    <m/>
    <m/>
    <m/>
    <s v="Invalid"/>
    <x v="1"/>
    <m/>
  </r>
  <r>
    <n v="238"/>
    <x v="26"/>
    <s v="Ameen Allam"/>
    <x v="0"/>
    <m/>
    <x v="1"/>
    <x v="1"/>
    <x v="2"/>
    <s v="observed grinder was working without ear plugs "/>
    <x v="1"/>
    <s v="stopped him to wear ear plug "/>
    <m/>
    <m/>
    <m/>
    <m/>
    <s v="Invalid"/>
    <x v="0"/>
    <m/>
  </r>
  <r>
    <n v="239"/>
    <x v="26"/>
    <s v="Rabee Mostafa"/>
    <x v="0"/>
    <m/>
    <x v="0"/>
    <x v="1"/>
    <x v="3"/>
    <s v="Observed scattered welding electrodes residue on top of scaffolds and under pile "/>
    <x v="0"/>
    <s v="Buckets were provided to welders to maintain good housekeeping"/>
    <m/>
    <m/>
    <m/>
    <m/>
    <s v="Invalid"/>
    <x v="0"/>
    <m/>
  </r>
  <r>
    <n v="240"/>
    <x v="23"/>
    <s v="Lance Pretorius"/>
    <x v="1"/>
    <m/>
    <x v="0"/>
    <x v="3"/>
    <x v="3"/>
    <s v=" Housekeeping found very bad in Open Area #3 – where the Yolks are being stored – a lot of empty plastic bottles"/>
    <x v="2"/>
    <s v="Addressed the untidy situation with the PTJ Area Safet Officer to apply immediate Housekeeping"/>
    <m/>
    <m/>
    <m/>
    <m/>
    <s v="Invalid"/>
    <x v="0"/>
    <m/>
  </r>
  <r>
    <n v="241"/>
    <x v="23"/>
    <s v="Lance Pretorius"/>
    <x v="1"/>
    <m/>
    <x v="3"/>
    <x v="9"/>
    <x v="2"/>
    <s v="Grinding worker observed using fully compliant PPE"/>
    <x v="5"/>
    <s v="Congratulated the worker on his excellent attitude towards working safely."/>
    <m/>
    <m/>
    <m/>
    <m/>
    <s v="Invalid"/>
    <x v="1"/>
    <m/>
  </r>
  <r>
    <n v="242"/>
    <x v="29"/>
    <s v="Ahmed Salem"/>
    <x v="0"/>
    <m/>
    <x v="0"/>
    <x v="7"/>
    <x v="3"/>
    <s v="Housekeeping need some improvement."/>
    <x v="0"/>
    <s v="Inform the workers to clean the area, Housekeeping has been done. "/>
    <m/>
    <m/>
    <m/>
    <m/>
    <s v="Invalid"/>
    <x v="0"/>
    <m/>
  </r>
  <r>
    <n v="243"/>
    <x v="30"/>
    <s v="Ibrahim Abdelmohsen"/>
    <x v="0"/>
    <m/>
    <x v="1"/>
    <x v="7"/>
    <x v="4"/>
    <s v="The banksman was standing in a position where he is not clear to the crane operator."/>
    <x v="3"/>
    <s v="Stop work and advising him to relocate his position and to confirm with the crane operator that he can fully see him."/>
    <m/>
    <m/>
    <m/>
    <m/>
    <s v="Invalid"/>
    <x v="0"/>
    <m/>
  </r>
  <r>
    <n v="244"/>
    <x v="31"/>
    <s v="Sameh Ragab"/>
    <x v="0"/>
    <m/>
    <x v="1"/>
    <x v="1"/>
    <x v="0"/>
    <s v="A worker did not release the gas from the hoses of the gas cylinder after use."/>
    <x v="1"/>
    <s v="Inform the worker to release the gas from the hose, the issue communicated in the TBT "/>
    <m/>
    <m/>
    <m/>
    <m/>
    <s v="Invalid"/>
    <x v="0"/>
    <m/>
  </r>
  <r>
    <n v="245"/>
    <x v="31"/>
    <s v="Mohamed Shaaban"/>
    <x v="0"/>
    <m/>
    <x v="0"/>
    <x v="7"/>
    <x v="1"/>
    <s v=" scaffold access needs more Fixation "/>
    <x v="0"/>
    <s v="Scaffolder Fixed it immediately "/>
    <m/>
    <m/>
    <m/>
    <m/>
    <s v="Invalid"/>
    <x v="0"/>
    <m/>
  </r>
  <r>
    <n v="246"/>
    <x v="32"/>
    <s v="Ibrahim Atef"/>
    <x v="0"/>
    <m/>
    <x v="0"/>
    <x v="1"/>
    <x v="5"/>
    <s v="using wooden support in grinding operation"/>
    <x v="0"/>
    <s v="Wooden supports were removed and replaced "/>
    <m/>
    <m/>
    <m/>
    <m/>
    <s v="Invalid"/>
    <x v="0"/>
    <m/>
  </r>
  <r>
    <n v="247"/>
    <x v="31"/>
    <s v="Mohamed Abdellnor"/>
    <x v="0"/>
    <m/>
    <x v="0"/>
    <x v="7"/>
    <x v="0"/>
    <s v="Electric cables were running through a scaffolding structure."/>
    <x v="2"/>
    <s v="Inform PTJ HSE Officer and he inform the welders to remove the cables away."/>
    <m/>
    <m/>
    <m/>
    <m/>
    <s v="Invalid"/>
    <x v="0"/>
    <m/>
  </r>
  <r>
    <n v="248"/>
    <x v="31"/>
    <s v="Rabee Allam"/>
    <x v="0"/>
    <m/>
    <x v="0"/>
    <x v="8"/>
    <x v="0"/>
    <s v="One of the welding cable gland was broken and needs to be replaced."/>
    <x v="0"/>
    <s v="Informed project electrician and he changed the cable gland immediately."/>
    <m/>
    <m/>
    <m/>
    <m/>
    <s v="Invalid"/>
    <x v="0"/>
    <m/>
  </r>
  <r>
    <n v="249"/>
    <x v="33"/>
    <s v="Mahmoud Fathy"/>
    <x v="0"/>
    <m/>
    <x v="1"/>
    <x v="2"/>
    <x v="2"/>
    <s v="There was a rigger without safety glasses"/>
    <x v="3"/>
    <s v="He was stopped from work ,warning letter was issued "/>
    <m/>
    <m/>
    <m/>
    <m/>
    <s v="Invalid"/>
    <x v="0"/>
    <m/>
  </r>
  <r>
    <n v="250"/>
    <x v="34"/>
    <s v="Yasser Abohelw"/>
    <x v="0"/>
    <s v="HSE "/>
    <x v="0"/>
    <x v="7"/>
    <x v="3"/>
    <s v="Housekeeping need improvement in area 2 especially on scaffold plat form."/>
    <x v="0"/>
    <s v="Housekeeping was done"/>
    <m/>
    <m/>
    <m/>
    <m/>
    <s v="Invalid"/>
    <x v="0"/>
    <m/>
  </r>
  <r>
    <n v="251"/>
    <x v="34"/>
    <s v="Mohamed Hussein"/>
    <x v="0"/>
    <m/>
    <x v="0"/>
    <x v="2"/>
    <x v="0"/>
    <s v="Mentioned   electrical cable to be cover by covered internal protection sections cable bumps-trays.                                   -electrical cables to be protected against heavy equipment manoeuvring and sharp edges  housekeeping to be carried out. "/>
    <x v="0"/>
    <s v="Cables have been managed properly and coverd by cable Humps. "/>
    <m/>
    <m/>
    <m/>
    <m/>
    <s v="Invalid"/>
    <x v="0"/>
    <m/>
  </r>
  <r>
    <n v="252"/>
    <x v="35"/>
    <s v="Rabee Allam"/>
    <x v="0"/>
    <m/>
    <x v="1"/>
    <x v="7"/>
    <x v="14"/>
    <s v="Fork lift driver Using cellular phone during driving "/>
    <x v="3"/>
    <s v="Stopped the operation and spoke to the fork lift driver to not use cellular phone while he's driving "/>
    <m/>
    <m/>
    <m/>
    <m/>
    <s v="Invalid"/>
    <x v="0"/>
    <m/>
  </r>
  <r>
    <n v="253"/>
    <x v="35"/>
    <s v="Mohamed Fekry"/>
    <x v="0"/>
    <m/>
    <x v="0"/>
    <x v="1"/>
    <x v="5"/>
    <s v="Observed improper joint in welding cables "/>
    <x v="0"/>
    <s v="texas connection was installed"/>
    <m/>
    <m/>
    <m/>
    <m/>
    <s v="Invalid"/>
    <x v="0"/>
    <m/>
  </r>
  <r>
    <n v="254"/>
    <x v="36"/>
    <s v="Hassan Ali "/>
    <x v="0"/>
    <m/>
    <x v="1"/>
    <x v="4"/>
    <x v="2"/>
    <s v="One of the workers working without wearing glasses"/>
    <x v="1"/>
    <s v=" glasses worn Immediately."/>
    <m/>
    <m/>
    <m/>
    <m/>
    <s v="Invalid"/>
    <x v="0"/>
    <m/>
  </r>
  <r>
    <n v="255"/>
    <x v="36"/>
    <s v="Adel Abdelhady"/>
    <x v="0"/>
    <m/>
    <x v="1"/>
    <x v="0"/>
    <x v="2"/>
    <s v="Worker was using grinding motor without any face protection "/>
    <x v="1"/>
    <s v="Stopped him to wear full ppe"/>
    <m/>
    <m/>
    <m/>
    <m/>
    <s v="Invalid"/>
    <x v="0"/>
    <m/>
  </r>
  <r>
    <n v="256"/>
    <x v="36"/>
    <s v="Mohamed Salem"/>
    <x v="0"/>
    <m/>
    <x v="0"/>
    <x v="7"/>
    <x v="3"/>
    <s v="some scaffold material scattered in the area "/>
    <x v="0"/>
    <s v="Transferred scaffold material from the area to the temporary storage area for scaffold material out side the work area as agreed"/>
    <m/>
    <m/>
    <m/>
    <m/>
    <s v="Invalid"/>
    <x v="0"/>
    <m/>
  </r>
  <r>
    <n v="257"/>
    <x v="37"/>
    <s v="Ashraf Abdelmonem"/>
    <x v="0"/>
    <m/>
    <x v="0"/>
    <x v="7"/>
    <x v="4"/>
    <s v="Incomplete hard barricade for the work area "/>
    <x v="0"/>
    <s v="Informed Scaffold Sup to complete the hard barricade "/>
    <m/>
    <m/>
    <m/>
    <m/>
    <s v="Invalid"/>
    <x v="0"/>
    <m/>
  </r>
  <r>
    <n v="258"/>
    <x v="38"/>
    <s v="Adel Abdelhalim"/>
    <x v="0"/>
    <m/>
    <x v="0"/>
    <x v="7"/>
    <x v="3"/>
    <s v="The electrical panel cable needs to be managed "/>
    <x v="0"/>
    <s v="Cable management was done "/>
    <m/>
    <m/>
    <m/>
    <m/>
    <s v="Invalid"/>
    <x v="0"/>
    <m/>
  </r>
  <r>
    <n v="259"/>
    <x v="38"/>
    <s v="Samir Omar"/>
    <x v="0"/>
    <m/>
    <x v="0"/>
    <x v="1"/>
    <x v="5"/>
    <s v="Welders need wooden step"/>
    <x v="0"/>
    <s v="Informed Scaffold Sup to make scaffold steps"/>
    <m/>
    <m/>
    <m/>
    <m/>
    <s v="Invalid"/>
    <x v="0"/>
    <m/>
  </r>
  <r>
    <n v="260"/>
    <x v="39"/>
    <s v="Samir Mohamed"/>
    <x v="0"/>
    <m/>
    <x v="0"/>
    <x v="1"/>
    <x v="3"/>
    <s v="Scaffold clip in scaffold surface"/>
    <x v="0"/>
    <s v="clip was removed"/>
    <m/>
    <m/>
    <m/>
    <m/>
    <s v="Invalid"/>
    <x v="0"/>
    <m/>
  </r>
  <r>
    <n v="261"/>
    <x v="40"/>
    <s v="Ramadan Elshahat"/>
    <x v="0"/>
    <m/>
    <x v="0"/>
    <x v="4"/>
    <x v="4"/>
    <s v="Incomplete hard barricade for the work area "/>
    <x v="0"/>
    <s v="Informed Scaffold Sup to complete the hard barricade "/>
    <m/>
    <m/>
    <m/>
    <m/>
    <s v="Invalid"/>
    <x v="0"/>
    <m/>
  </r>
  <r>
    <n v="262"/>
    <x v="40"/>
    <s v="Mohamed Elzegheby"/>
    <x v="0"/>
    <m/>
    <x v="0"/>
    <x v="8"/>
    <x v="3"/>
    <s v="Housekeeping need improvement  especially on scaffold plat form."/>
    <x v="0"/>
    <s v="Housekeeping was done"/>
    <m/>
    <m/>
    <m/>
    <m/>
    <s v="Invalid"/>
    <x v="0"/>
    <m/>
  </r>
  <r>
    <n v="263"/>
    <x v="41"/>
    <s v="Eslam Adawy"/>
    <x v="0"/>
    <m/>
    <x v="1"/>
    <x v="7"/>
    <x v="8"/>
    <s v="Observed some fitters were guiding the crane operator during the lifting operation."/>
    <x v="3"/>
    <s v="Stop them and inform them that the banksman should only guide the crane operator,"/>
    <s v="Cascade LSR 07 SML in the massive TBT  and empohasize that only the competent banks man is allowed to escort / signal the crane operator"/>
    <s v="High"/>
    <s v="High"/>
    <s v="PTJ HSE"/>
    <d v="2025-02-22T00:00:00"/>
    <x v="0"/>
    <m/>
  </r>
  <r>
    <n v="264"/>
    <x v="41"/>
    <s v="Eslam Kadry"/>
    <x v="0"/>
    <m/>
    <x v="1"/>
    <x v="0"/>
    <x v="8"/>
    <s v="During a lifting operation, a rigger was using his cell phone wihile holding the tagline."/>
    <x v="3"/>
    <s v="Immediately stopped him and instruct him not to use his cell phone during operation."/>
    <m/>
    <m/>
    <m/>
    <m/>
    <s v="Invalid"/>
    <x v="0"/>
    <m/>
  </r>
  <r>
    <n v="265"/>
    <x v="41"/>
    <s v="Rabee Mostafa"/>
    <x v="0"/>
    <m/>
    <x v="0"/>
    <x v="1"/>
    <x v="1"/>
    <s v="observed The Scaffolding ladder was not fixed well"/>
    <x v="3"/>
    <s v="stopped work and inform the sup of area to fixed it and check all scaffold in the site work daily"/>
    <m/>
    <m/>
    <m/>
    <m/>
    <s v="Invalid"/>
    <x v="0"/>
    <m/>
  </r>
  <r>
    <n v="266"/>
    <x v="41"/>
    <s v="Rabee Mostafa"/>
    <x v="0"/>
    <m/>
    <x v="0"/>
    <x v="7"/>
    <x v="0"/>
    <s v="one of Electrical panel need inspection sign."/>
    <x v="0"/>
    <s v="Informed  supervisor that Electrical panel need inspection sign"/>
    <m/>
    <m/>
    <m/>
    <m/>
    <s v="Invalid"/>
    <x v="0"/>
    <m/>
  </r>
  <r>
    <n v="267"/>
    <x v="41"/>
    <s v="Mahmoud Fathy"/>
    <x v="0"/>
    <m/>
    <x v="1"/>
    <x v="4"/>
    <x v="2"/>
    <s v="observed a grinder was grinding a metal without face sheild"/>
    <x v="1"/>
    <s v="stopped him and inform him to must wear it"/>
    <m/>
    <m/>
    <m/>
    <m/>
    <s v="Invalid"/>
    <x v="0"/>
    <m/>
  </r>
  <r>
    <n v="268"/>
    <x v="41"/>
    <s v="Mohamed Hassan"/>
    <x v="0"/>
    <m/>
    <x v="0"/>
    <x v="0"/>
    <x v="5"/>
    <s v="obsrved 2 of fire extinguisher are empty "/>
    <x v="2"/>
    <s v="inform him to must check all fire extinguisher in area "/>
    <m/>
    <m/>
    <m/>
    <m/>
    <s v="Invalid"/>
    <x v="0"/>
    <m/>
  </r>
  <r>
    <n v="269"/>
    <x v="42"/>
    <s v="Mohamed Rezk"/>
    <x v="0"/>
    <m/>
    <x v="1"/>
    <x v="2"/>
    <x v="2"/>
    <s v="found worker was not wearing his safety glassess "/>
    <x v="1"/>
    <s v="stop him and inform him to wear a safety glassess and comply with site PPE "/>
    <m/>
    <m/>
    <m/>
    <m/>
    <s v="Invalid"/>
    <x v="0"/>
    <m/>
  </r>
  <r>
    <n v="270"/>
    <x v="42"/>
    <s v="Ibrahim Mohamed"/>
    <x v="0"/>
    <m/>
    <x v="1"/>
    <x v="1"/>
    <x v="5"/>
    <s v="A grinder was working with the resulting spark was directed to a gas cylinder."/>
    <x v="3"/>
    <s v="Stop him and inform him to remove the gas cylinder from the area."/>
    <m/>
    <m/>
    <m/>
    <m/>
    <s v="Invalid"/>
    <x v="0"/>
    <m/>
  </r>
  <r>
    <n v="271"/>
    <x v="42"/>
    <s v="Badr Ragab"/>
    <x v="0"/>
    <m/>
    <x v="1"/>
    <x v="4"/>
    <x v="10"/>
    <s v=" observed that  wrong  replacing method of  grinding disk."/>
    <x v="3"/>
    <s v=" Instructed the Grinders to use dedicaded tool  for changing grinding disks"/>
    <s v="Conduct Stand-down with the grinders to recap the safe meethod/tool of disk replacement"/>
    <s v="Medium"/>
    <s v="Medium"/>
    <s v="PTJ HSE/SV"/>
    <d v="2025-03-01T00:00:00"/>
    <x v="0"/>
    <m/>
  </r>
  <r>
    <n v="272"/>
    <x v="42"/>
    <s v="Mohamed nor"/>
    <x v="0"/>
    <m/>
    <x v="0"/>
    <x v="8"/>
    <x v="0"/>
    <s v="gas cylinder without protection cap "/>
    <x v="0"/>
    <s v="told Welding Sup and he put cap on it "/>
    <m/>
    <m/>
    <m/>
    <m/>
    <s v="Invalid"/>
    <x v="0"/>
    <m/>
  </r>
  <r>
    <n v="273"/>
    <x v="42"/>
    <s v="Salem Saied"/>
    <x v="0"/>
    <m/>
    <x v="0"/>
    <x v="1"/>
    <x v="1"/>
    <s v="Incomplete hand rail of work step"/>
    <x v="0"/>
    <s v="Informed Scaffold Sup to complete the work step, and Scaffold Sup complete it"/>
    <m/>
    <m/>
    <m/>
    <m/>
    <s v="Invalid"/>
    <x v="0"/>
    <m/>
  </r>
  <r>
    <n v="274"/>
    <x v="43"/>
    <s v="Ezz eldawla Abdelaleem"/>
    <x v="0"/>
    <m/>
    <x v="1"/>
    <x v="7"/>
    <x v="5"/>
    <s v="one of the grinder using wooden plate as support which may cause fire "/>
    <x v="3"/>
    <s v="Stooped him to remove the wooden plate , advised him not to use combustible material near hot work area "/>
    <m/>
    <m/>
    <m/>
    <m/>
    <s v="Invalid"/>
    <x v="0"/>
    <m/>
  </r>
  <r>
    <n v="275"/>
    <x v="43"/>
    <s v="Saad Abdelwahab"/>
    <x v="0"/>
    <m/>
    <x v="1"/>
    <x v="2"/>
    <x v="2"/>
    <s v="Worker was using grinding motor without any face protection "/>
    <x v="1"/>
    <s v="Stopped him to wear full ppe"/>
    <m/>
    <m/>
    <m/>
    <m/>
    <s v="Invalid"/>
    <x v="0"/>
    <m/>
  </r>
  <r>
    <n v="276"/>
    <x v="43"/>
    <s v="Ibrahim Khalil"/>
    <x v="0"/>
    <m/>
    <x v="0"/>
    <x v="0"/>
    <x v="0"/>
    <s v="gas cylinder with empty bubble test bottle "/>
    <x v="0"/>
    <s v="Informed worker he filled it and advised him to check leakage before using "/>
    <m/>
    <m/>
    <m/>
    <m/>
    <s v="Invalid"/>
    <x v="0"/>
    <m/>
  </r>
  <r>
    <n v="277"/>
    <x v="43"/>
    <s v="Khaled Darwesh"/>
    <x v="0"/>
    <m/>
    <x v="0"/>
    <x v="8"/>
    <x v="5"/>
    <s v="observed grinding spark was towards gas cylinder "/>
    <x v="3"/>
    <s v="stopped him to remove cylinder away  from grinding operation area , advised him to focus on the direction of sparks all the time "/>
    <m/>
    <m/>
    <m/>
    <m/>
    <s v="Invalid"/>
    <x v="0"/>
    <m/>
  </r>
  <r>
    <n v="278"/>
    <x v="43"/>
    <s v="Khaled Abdelrahman"/>
    <x v="0"/>
    <m/>
    <x v="0"/>
    <x v="7"/>
    <x v="0"/>
    <s v="Propane gauge wasnot working well "/>
    <x v="0"/>
    <s v="Informmed worker and sup to replace it , They  replaced it "/>
    <s v="Conduct a survey among the site to check the condition of the whole cylinder gauages"/>
    <s v="Medium"/>
    <s v="High"/>
    <s v="PTJ SV"/>
    <d v="2025-02-27T00:00:00"/>
    <x v="0"/>
    <m/>
  </r>
  <r>
    <n v="279"/>
    <x v="43"/>
    <s v="Gamal Salama"/>
    <x v="0"/>
    <m/>
    <x v="1"/>
    <x v="1"/>
    <x v="2"/>
    <s v="observed grinder was working without ear plugs "/>
    <x v="1"/>
    <s v="stopped him , advised him  to wear ear plugs and he did  "/>
    <m/>
    <m/>
    <m/>
    <m/>
    <s v="Invalid"/>
    <x v="0"/>
    <m/>
  </r>
  <r>
    <n v="280"/>
    <x v="43"/>
    <s v="Ibrahim Abdelmohsen"/>
    <x v="0"/>
    <m/>
    <x v="1"/>
    <x v="7"/>
    <x v="2"/>
    <s v="observed grinder was working without ear plugs "/>
    <x v="1"/>
    <s v="stopped him , advised him  to wear ear plugs and he did  "/>
    <m/>
    <m/>
    <m/>
    <m/>
    <s v="Invalid"/>
    <x v="0"/>
    <m/>
  </r>
  <r>
    <n v="281"/>
    <x v="43"/>
    <s v="Mohamed Sameh"/>
    <x v="0"/>
    <m/>
    <x v="0"/>
    <x v="8"/>
    <x v="3"/>
    <s v="observed scaffolding material scattered on the working area without arrangement "/>
    <x v="0"/>
    <s v="materials has been arranged  "/>
    <m/>
    <m/>
    <m/>
    <m/>
    <s v="Invalid"/>
    <x v="0"/>
    <m/>
  </r>
  <r>
    <n v="282"/>
    <x v="43"/>
    <s v="Ibrahim Atef"/>
    <x v="0"/>
    <m/>
    <x v="0"/>
    <x v="1"/>
    <x v="3"/>
    <s v="Observed poor House keeping and improper material arrangement "/>
    <x v="0"/>
    <s v="materials has been arranged  "/>
    <m/>
    <m/>
    <m/>
    <m/>
    <s v="Invalid"/>
    <x v="0"/>
    <m/>
  </r>
  <r>
    <n v="283"/>
    <x v="43"/>
    <s v="Badr Ragab"/>
    <x v="0"/>
    <m/>
    <x v="1"/>
    <x v="5"/>
    <x v="2"/>
    <s v="Observed some workers not wearing safety glasses."/>
    <x v="1"/>
    <s v="Awareness held to all workers on the same day about use of PPE."/>
    <m/>
    <m/>
    <m/>
    <m/>
    <s v="Invalid"/>
    <x v="0"/>
    <m/>
  </r>
  <r>
    <n v="284"/>
    <x v="44"/>
    <s v="Mohamed Abdallah"/>
    <x v="0"/>
    <m/>
    <x v="0"/>
    <x v="7"/>
    <x v="1"/>
    <s v="Some scaffold plates on scaffold need to be propely installed and fixed "/>
    <x v="0"/>
    <s v="Scaffolders installed and fixed the wooden plates "/>
    <m/>
    <m/>
    <m/>
    <m/>
    <s v="Invalid"/>
    <x v="0"/>
    <m/>
  </r>
  <r>
    <n v="285"/>
    <x v="44"/>
    <s v="Abdelsalam Elsafy"/>
    <x v="0"/>
    <m/>
    <x v="0"/>
    <x v="1"/>
    <x v="3"/>
    <s v="observed  welding rods on scaffold platform "/>
    <x v="0"/>
    <s v="housekeeping was done "/>
    <m/>
    <m/>
    <m/>
    <m/>
    <s v="Invalid"/>
    <x v="0"/>
    <m/>
  </r>
  <r>
    <n v="286"/>
    <x v="44"/>
    <s v="Ahmed Khaled"/>
    <x v="0"/>
    <m/>
    <x v="0"/>
    <x v="1"/>
    <x v="4"/>
    <s v="there wasnot barricades around Scaffold Dismantling area "/>
    <x v="0"/>
    <s v="barricades has been done "/>
    <m/>
    <m/>
    <m/>
    <m/>
    <s v="Invalid"/>
    <x v="0"/>
    <m/>
  </r>
  <r>
    <n v="287"/>
    <x v="44"/>
    <s v="Abdelsalam Shola"/>
    <x v="0"/>
    <m/>
    <x v="1"/>
    <x v="8"/>
    <x v="2"/>
    <s v="Worker was using grinding motor without any face protection "/>
    <x v="1"/>
    <s v="Stopped him to wear full ppe"/>
    <m/>
    <m/>
    <m/>
    <m/>
    <s v="Invalid"/>
    <x v="0"/>
    <m/>
  </r>
  <r>
    <n v="288"/>
    <x v="44"/>
    <s v="Gamal Elzgheby"/>
    <x v="0"/>
    <m/>
    <x v="0"/>
    <x v="3"/>
    <x v="5"/>
    <s v="Observed that top scaffold blanks are not installed properly "/>
    <x v="0"/>
    <s v="Instructed scaffold team to install the scaffold  blanks properly  "/>
    <m/>
    <m/>
    <m/>
    <m/>
    <s v="Invalid"/>
    <x v="0"/>
    <m/>
  </r>
  <r>
    <n v="289"/>
    <x v="44"/>
    <s v="Ibrahim Abdelmohsen"/>
    <x v="0"/>
    <m/>
    <x v="0"/>
    <x v="1"/>
    <x v="3"/>
    <s v="Some cables present a trip hazard; also, there are some used electrodes and grinding discs on the ground."/>
    <x v="0"/>
    <s v="Housekeeping has been done "/>
    <m/>
    <m/>
    <m/>
    <m/>
    <s v="Invalid"/>
    <x v="0"/>
    <m/>
  </r>
  <r>
    <n v="290"/>
    <x v="44"/>
    <s v="Sameh Ragab"/>
    <x v="0"/>
    <m/>
    <x v="0"/>
    <x v="7"/>
    <x v="0"/>
    <s v="Found some electrical wires on sharp edges."/>
    <x v="0"/>
    <s v="Remove and allocating the wires away from the sharp edges."/>
    <m/>
    <m/>
    <m/>
    <m/>
    <s v="Invalid"/>
    <x v="0"/>
    <m/>
  </r>
  <r>
    <n v="291"/>
    <x v="44"/>
    <s v="Gamal Salama"/>
    <x v="0"/>
    <m/>
    <x v="2"/>
    <x v="1"/>
    <x v="8"/>
    <s v="observed good control of lifting operations (lifting area was evacuated- lifting gears&amp;equipment are inspected with valid calibration certificates- good use of tag lines-load drop object check was done prior the operation)"/>
    <x v="5"/>
    <m/>
    <m/>
    <m/>
    <m/>
    <m/>
    <s v="Invalid"/>
    <x v="1"/>
    <m/>
  </r>
  <r>
    <n v="292"/>
    <x v="44"/>
    <s v="Ibrahim Abdelmohsen"/>
    <x v="0"/>
    <m/>
    <x v="2"/>
    <x v="7"/>
    <x v="5"/>
    <s v="Observed that welding operation   is carried out safely and full PPE and leather apron are inplace as required, "/>
    <x v="5"/>
    <m/>
    <m/>
    <m/>
    <m/>
    <m/>
    <s v="Invalid"/>
    <x v="1"/>
    <m/>
  </r>
  <r>
    <n v="293"/>
    <x v="44"/>
    <s v="Mohamed Abdallah"/>
    <x v="0"/>
    <m/>
    <x v="3"/>
    <x v="7"/>
    <x v="0"/>
    <s v="A worker moved the gas cylinder to a safe distance before starting the welding activity as instructed before."/>
    <x v="5"/>
    <m/>
    <m/>
    <m/>
    <m/>
    <m/>
    <s v="Invalid"/>
    <x v="1"/>
    <m/>
  </r>
  <r>
    <n v="294"/>
    <x v="44"/>
    <s v="Abdelsalam Elsafy"/>
    <x v="0"/>
    <m/>
    <x v="2"/>
    <x v="1"/>
    <x v="5"/>
    <s v="Good distribution of firefighting equipment on site ."/>
    <x v="5"/>
    <m/>
    <m/>
    <m/>
    <m/>
    <m/>
    <s v="Invalid"/>
    <x v="1"/>
    <m/>
  </r>
  <r>
    <n v="295"/>
    <x v="44"/>
    <s v="Ibrahim Abdelmohsen"/>
    <x v="0"/>
    <m/>
    <x v="2"/>
    <x v="1"/>
    <x v="8"/>
    <s v="good control for the load during lifting operation, good use of tag lines by the riggers . Banks man with high visible vest"/>
    <x v="5"/>
    <m/>
    <m/>
    <m/>
    <m/>
    <m/>
    <s v="Invalid"/>
    <x v="1"/>
    <m/>
  </r>
  <r>
    <n v="296"/>
    <x v="44"/>
    <s v="Omar Elmokhtar"/>
    <x v="0"/>
    <s v="Fitter"/>
    <x v="2"/>
    <x v="2"/>
    <x v="5"/>
    <s v="Flash back arrestors in site are installed as required,"/>
    <x v="5"/>
    <m/>
    <m/>
    <m/>
    <m/>
    <m/>
    <s v="Invalid"/>
    <x v="1"/>
    <m/>
  </r>
  <r>
    <n v="297"/>
    <x v="44"/>
    <s v="Ibrahim Abdelmohsen"/>
    <x v="0"/>
    <m/>
    <x v="2"/>
    <x v="7"/>
    <x v="10"/>
    <s v="Eye wash station (Saline Solution) was changed and checklist is updated as required"/>
    <x v="5"/>
    <m/>
    <m/>
    <m/>
    <m/>
    <m/>
    <s v="Invalid"/>
    <x v="1"/>
    <m/>
  </r>
  <r>
    <n v="298"/>
    <x v="40"/>
    <s v="Malcolm Garrington"/>
    <x v="1"/>
    <s v="Project Manager"/>
    <x v="2"/>
    <x v="5"/>
    <x v="5"/>
    <s v="CPY noted That several welding/grinding screens are actively and positively being _x000a_utilised. However, PTJ to provide more protection screens within workshops (all)."/>
    <x v="5"/>
    <m/>
    <m/>
    <m/>
    <m/>
    <m/>
    <s v="Invalid"/>
    <x v="1"/>
    <m/>
  </r>
  <r>
    <n v="299"/>
    <x v="40"/>
    <s v="Malcolm Garrington"/>
    <x v="1"/>
    <s v="Project Manager"/>
    <x v="1"/>
    <x v="5"/>
    <x v="2"/>
    <s v="CPY noted during this week (Wk-08) that several workers withinside high risk areas (hotworks) are not wearing their eye protection"/>
    <x v="2"/>
    <s v="Instruct Yard based HSE and Supervision to actively intervene when observed."/>
    <m/>
    <m/>
    <m/>
    <m/>
    <s v="Invalid"/>
    <x v="0"/>
    <m/>
  </r>
  <r>
    <n v="300"/>
    <x v="45"/>
    <s v="Mohamed Kamal"/>
    <x v="1"/>
    <s v="QC"/>
    <x v="1"/>
    <x v="5"/>
    <x v="10"/>
    <s v="TFMC HSE representative did not attend night shift TBT."/>
    <x v="2"/>
    <m/>
    <m/>
    <m/>
    <m/>
    <m/>
    <s v="Invalid"/>
    <x v="0"/>
    <m/>
  </r>
  <r>
    <n v="301"/>
    <x v="40"/>
    <s v="Reda Zaghloul"/>
    <x v="1"/>
    <s v="QC"/>
    <x v="1"/>
    <x v="5"/>
    <x v="5"/>
    <s v="Crane Operator was noticed smoking inside crane cabin while the crane is in lifting operation"/>
    <x v="1"/>
    <s v="I spoke to him and his supervisor about this unsafe act , This unsafe act was brought to the attention of PTJ area HSE officer."/>
    <m/>
    <m/>
    <m/>
    <m/>
    <m/>
    <x v="0"/>
    <m/>
  </r>
  <r>
    <n v="302"/>
    <x v="45"/>
    <s v="Johan Kruger"/>
    <x v="1"/>
    <s v="HSE "/>
    <x v="1"/>
    <x v="2"/>
    <x v="2"/>
    <s v="CPY observed a grinding operator using a pencil grinder without wearing handgloves."/>
    <x v="1"/>
    <s v="Approached the operative and informed him of the risks of not wearing gloves to protect his hands"/>
    <m/>
    <m/>
    <m/>
    <m/>
    <s v="Invalid"/>
    <x v="0"/>
    <m/>
  </r>
  <r>
    <n v="303"/>
    <x v="45"/>
    <s v="Johan Kruger"/>
    <x v="1"/>
    <s v="HSE "/>
    <x v="1"/>
    <x v="2"/>
    <x v="5"/>
    <s v="CPY observed a grinding operator using a grinder standing in an upright position and not slightly bending his knees and positioning his feet shoulder width apart, whilst the grinding material is lying on the ground."/>
    <x v="1"/>
    <s v="Approached the grinding operator and informed him to bend his knees and position his feet shoulder width apart, whilst he is grinding This posture helps absorb vibration and reduces fatigue allowing for better control over his tool."/>
    <m/>
    <m/>
    <m/>
    <m/>
    <s v="Invalid"/>
    <x v="0"/>
    <m/>
  </r>
  <r>
    <n v="304"/>
    <x v="38"/>
    <s v="Gamal Abdelgawad"/>
    <x v="1"/>
    <s v="Fabrication"/>
    <x v="0"/>
    <x v="5"/>
    <x v="8"/>
    <s v="CPY observed several pieces of unit weights being manufactured on site. Pieces of scrap metal is being placed within the drums. Thereafter welded shut and _x000a_without determining the weight being lifted onto structures to prevent distortion of the frames being welded"/>
    <x v="3"/>
    <s v="The units are to be condemned from being used on site, Unit weight SWL and eye bolts rate shall be detrmined prior any lifting"/>
    <m/>
    <m/>
    <m/>
    <m/>
    <s v="Invalid"/>
    <x v="0"/>
    <m/>
  </r>
  <r>
    <n v="305"/>
    <x v="46"/>
    <s v="Gamal Abdelgawad"/>
    <x v="1"/>
    <s v="Fabrication"/>
    <x v="0"/>
    <x v="5"/>
    <x v="12"/>
    <s v="CPY observed that, there is a lack of controlled access in the SIMOPS area while lifting is ongoing, this required to be addressed to prevent safety breaches"/>
    <x v="2"/>
    <s v="Ensure this topic will be re-highlighted during TBT, to encourage PTJ workers to follow HSE procedure and being aware by LSRs"/>
    <m/>
    <m/>
    <m/>
    <m/>
    <s v="Invalid"/>
    <x v="0"/>
    <m/>
  </r>
  <r>
    <n v="306"/>
    <x v="45"/>
    <s v="Gamal Abdelgawad"/>
    <x v="1"/>
    <s v="Fabrication"/>
    <x v="0"/>
    <x v="5"/>
    <x v="0"/>
    <s v="CPY observed that, manufacturers' standard cables on grinding disk in use have been replaced with extended in-house cables (more than 20m length), posing trip and electrical hazards. Knots are being found in grinder cables."/>
    <x v="2"/>
    <s v="CPY approached TFMC / PTJ HSE, to reinforce compliance with project electrical equipment HSE Procedures"/>
    <s v="Replace the cable of the grinder with a vcable of length 1.5 m and ensure there is a connection to extend electrical lead , this to facilitate the power isolation when its unattededf"/>
    <s v="Medium"/>
    <s v="Medium"/>
    <s v="PTJ Project Manager"/>
    <d v="2025-02-23T00:00:00"/>
    <x v="0"/>
    <m/>
  </r>
  <r>
    <n v="307"/>
    <x v="45"/>
    <s v="Gamal Abdelgawad"/>
    <x v="1"/>
    <s v="Fabrication"/>
    <x v="0"/>
    <x v="5"/>
    <x v="4"/>
    <s v="CPY observed that. Materials in workshop 1&amp;2 and areas 1,2 &amp;4 require proper dunnage support to ensure stability and safet"/>
    <x v="2"/>
    <s v="Rprovide the required dunnage and ensure arrangment and maintain houskeepingat the area"/>
    <m/>
    <m/>
    <m/>
    <m/>
    <s v="Invalid"/>
    <x v="0"/>
    <m/>
  </r>
  <r>
    <n v="308"/>
    <x v="45"/>
    <s v="Gamal Abdelgawad"/>
    <x v="1"/>
    <s v="Fabrication"/>
    <x v="0"/>
    <x v="0"/>
    <x v="4"/>
    <s v="CPY observed that Protruding nails from storage boxes pose an injury risk and needs to be addressed. Materials placed near walkways need to be barricaded or materials need to be shifted beneath the structure being worked on."/>
    <x v="2"/>
    <s v="Ensure that all crew who involved in the activities inside this area are fully aware and acknowledge thathousekeeping is a daily routine activity to be done by end of each shift. "/>
    <m/>
    <m/>
    <m/>
    <m/>
    <s v="Invalid"/>
    <x v="0"/>
    <m/>
  </r>
  <r>
    <n v="309"/>
    <x v="45"/>
    <s v="Mohamed Farouk Elbeshlawy"/>
    <x v="1"/>
    <s v="QC"/>
    <x v="1"/>
    <x v="0"/>
    <x v="2"/>
    <s v=" During monitoring and surveillance inside WK.,I observed one welder working  without earplugs."/>
    <x v="1"/>
    <m/>
    <m/>
    <m/>
    <m/>
    <m/>
    <s v="Invalid"/>
    <x v="0"/>
    <m/>
  </r>
  <r>
    <n v="310"/>
    <x v="47"/>
    <s v="Amgad Abu Hashem"/>
    <x v="1"/>
    <s v="QC"/>
    <x v="0"/>
    <x v="6"/>
    <x v="13"/>
    <s v="PTJ introduced that 3 safety alarms are in ZB yard, but it was clear that no safety alarms are covering the proposed blasting and painting WS and areas."/>
    <x v="2"/>
    <m/>
    <s v="Assess that the siren can be heared at the area  "/>
    <s v="Medium"/>
    <s v="High"/>
    <s v="PTJ HSE"/>
    <d v="2025-02-23T00:00:00"/>
    <x v="0"/>
    <m/>
  </r>
  <r>
    <n v="311"/>
    <x v="47"/>
    <s v="Amgad Abu Hashem"/>
    <x v="1"/>
    <s v="QC"/>
    <x v="1"/>
    <x v="1"/>
    <x v="2"/>
    <s v="During the routine site surveillance inspection, it was noted that some workers are on duty wearing damaged safety shoes."/>
    <x v="1"/>
    <m/>
    <m/>
    <m/>
    <m/>
    <m/>
    <s v="Invalid"/>
    <x v="0"/>
    <m/>
  </r>
  <r>
    <n v="312"/>
    <x v="47"/>
    <s v="Ehab Ibrahim Hassan"/>
    <x v="1"/>
    <s v="Coating Inspector"/>
    <x v="1"/>
    <x v="0"/>
    <x v="16"/>
    <s v="During site walkthrough, it was noticed that a technician was using his mobile phone."/>
    <x v="1"/>
    <s v="Advised him not to use the mobile phone inside the workshop"/>
    <m/>
    <m/>
    <m/>
    <m/>
    <s v="Invalid"/>
    <x v="0"/>
    <m/>
  </r>
  <r>
    <n v="313"/>
    <x v="40"/>
    <s v="Ehab Ibrahim Hassan"/>
    <x v="1"/>
    <s v="Coating Inspector"/>
    <x v="1"/>
    <x v="2"/>
    <x v="2"/>
    <s v="During site walkthrough, it was noticed that a technician was not using his earplugs."/>
    <x v="1"/>
    <s v="Advised him to use his earplugs in the noisy environment inside the workshop"/>
    <m/>
    <m/>
    <m/>
    <m/>
    <s v="Invalid"/>
    <x v="0"/>
    <m/>
  </r>
  <r>
    <n v="314"/>
    <x v="40"/>
    <s v="Malcolm Garrington"/>
    <x v="1"/>
    <s v="Project Manager"/>
    <x v="0"/>
    <x v="5"/>
    <x v="3"/>
    <s v="CPY have noted on several occasion the poor housekeeping around the back of workshop 4 (in-between) blasting and coating storage area"/>
    <x v="2"/>
    <s v="Discussed within Weekly HSE meeting to be addressed and provided solutions to _x000a_enhance, including frequent waste management plan."/>
    <m/>
    <m/>
    <m/>
    <m/>
    <s v="Invalid"/>
    <x v="0"/>
    <m/>
  </r>
  <r>
    <n v="315"/>
    <x v="40"/>
    <s v="Malcolm Garrington"/>
    <x v="1"/>
    <s v="Project Manager"/>
    <x v="0"/>
    <x v="5"/>
    <x v="8"/>
    <s v="CPY noted during lifting operations the incorrect level of barriers and warning signs are insufficient._x000a_The level of barriers being placed leaves open areas whereas workers can enter and become in the line of fire._x000a_Rigging / lifting supervisor / lead / banksman need to evaluate the correct barrier placement to prevent non-essential personnel from entering the hazard zone."/>
    <x v="2"/>
    <m/>
    <s v="Cascade instructions to the lifting team that barriers are mandatory to prevent any unauthorised personnel from entry. Inaddition to conduct a self verification on the lifting operation  to ensure compliance"/>
    <s v="Medium"/>
    <s v="High"/>
    <s v="PTJ/TFMC HSE"/>
    <d v="2025-02-22T00:00:00"/>
    <x v="0"/>
    <m/>
  </r>
  <r>
    <n v="316"/>
    <x v="47"/>
    <s v="Abdelhady Ghalwash"/>
    <x v="2"/>
    <s v="HSE "/>
    <x v="0"/>
    <x v="7"/>
    <x v="3"/>
    <s v="It Has been observed poor cable management at area2"/>
    <x v="0"/>
    <s v="The electrical supervisor has been contacted to relocate the sub-electrical panel and arrange the cables"/>
    <m/>
    <m/>
    <m/>
    <m/>
    <s v="Invalid"/>
    <x v="0"/>
    <m/>
  </r>
  <r>
    <n v="317"/>
    <x v="40"/>
    <s v="Abdelhady Ghalwash"/>
    <x v="2"/>
    <s v="HSE "/>
    <x v="0"/>
    <x v="1"/>
    <x v="0"/>
    <s v="It has been observed a cutting in the electrical cable of a welding machine."/>
    <x v="3"/>
    <s v="The work has been stopped until providing another cable"/>
    <m/>
    <m/>
    <m/>
    <m/>
    <s v="Invalid"/>
    <x v="0"/>
    <m/>
  </r>
  <r>
    <n v="318"/>
    <x v="40"/>
    <s v="Abdelhady Ghalwash"/>
    <x v="2"/>
    <s v="HSE "/>
    <x v="0"/>
    <x v="7"/>
    <x v="4"/>
    <s v="I have observed a forklift operating with materials that were not secured on the forks"/>
    <x v="0"/>
    <s v="I intervened and lowered the forks until the loads were secured."/>
    <m/>
    <m/>
    <m/>
    <m/>
    <s v="Invalid"/>
    <x v="0"/>
    <m/>
  </r>
  <r>
    <n v="319"/>
    <x v="47"/>
    <s v="Abdelhady Ghalwash"/>
    <x v="2"/>
    <s v="HSE "/>
    <x v="2"/>
    <x v="1"/>
    <x v="3"/>
    <s v="It has been observed good housekeeping, clear access and cable management at area 1"/>
    <x v="5"/>
    <m/>
    <m/>
    <m/>
    <m/>
    <m/>
    <s v="Invalid"/>
    <x v="1"/>
    <m/>
  </r>
  <r>
    <n v="320"/>
    <x v="40"/>
    <s v="Mahmoud Samir"/>
    <x v="2"/>
    <s v="HSE "/>
    <x v="2"/>
    <x v="0"/>
    <x v="3"/>
    <s v="It has been observed good housekeeping, clear access and cable management at area 1"/>
    <x v="5"/>
    <m/>
    <m/>
    <m/>
    <m/>
    <m/>
    <s v="Invalid"/>
    <x v="1"/>
    <m/>
  </r>
  <r>
    <n v="321"/>
    <x v="46"/>
    <s v="Mahmoud Elshahat"/>
    <x v="2"/>
    <s v="HSE "/>
    <x v="0"/>
    <x v="2"/>
    <x v="3"/>
    <s v="Observed poor housekeeping / poor arrangement of stacked materials inside the workshops and restrict the suitable access to the emergency walkways"/>
    <x v="3"/>
    <s v="Stopped the activities till providing proper housekeeping"/>
    <m/>
    <m/>
    <m/>
    <m/>
    <s v="Invalid"/>
    <x v="0"/>
    <m/>
  </r>
  <r>
    <n v="322"/>
    <x v="46"/>
    <s v="Mahmoud Elshahat"/>
    <x v="2"/>
    <s v="HSE "/>
    <x v="0"/>
    <x v="2"/>
    <x v="5"/>
    <s v="Observed the control handle of the heating torch is not operated properly"/>
    <x v="3"/>
    <s v="To check all heating torches and replace any defected ones"/>
    <m/>
    <m/>
    <m/>
    <m/>
    <s v="Invalid"/>
    <x v="0"/>
    <m/>
  </r>
  <r>
    <n v="323"/>
    <x v="38"/>
    <s v="Mahmoud Elshahat"/>
    <x v="2"/>
    <s v="HSE "/>
    <x v="0"/>
    <x v="8"/>
    <x v="0"/>
    <s v="Observed most of electrical equipment still connected to power supply during brake time (EI)"/>
    <x v="0"/>
    <s v="Provided TBT to all workers regarding the importance of energy isolation and LOTO"/>
    <m/>
    <m/>
    <m/>
    <m/>
    <s v="Invalid"/>
    <x v="0"/>
    <m/>
  </r>
  <r>
    <n v="324"/>
    <x v="39"/>
    <s v="Mahmoud Elshahat"/>
    <x v="2"/>
    <s v="HSE "/>
    <x v="0"/>
    <x v="0"/>
    <x v="4"/>
    <s v="Observed the operator of overhead crane directed the suspended load near to underneath workers"/>
    <x v="3"/>
    <s v="Stopped the lifting activity, Identify the line of fire area then the area being cleared from workers "/>
    <m/>
    <m/>
    <m/>
    <m/>
    <s v="Invalid"/>
    <x v="0"/>
    <m/>
  </r>
  <r>
    <n v="325"/>
    <x v="40"/>
    <s v="Mahmoud Elshahat"/>
    <x v="2"/>
    <s v="HSE "/>
    <x v="1"/>
    <x v="0"/>
    <x v="2"/>
    <s v="Observed the operator of new CNC plasma cutting machine is not wear proper PPE (burning goggles)"/>
    <x v="1"/>
    <s v="The mentioned operator was advised immediately about the importance of using the proper PPE"/>
    <m/>
    <m/>
    <m/>
    <m/>
    <s v="Invalid"/>
    <x v="0"/>
    <m/>
  </r>
  <r>
    <n v="326"/>
    <x v="47"/>
    <s v="Mahmoud Samir"/>
    <x v="2"/>
    <s v="HSE "/>
    <x v="1"/>
    <x v="4"/>
    <x v="5"/>
    <s v="It has observed one from welding team take a position for welding activity was unsafe, standing on a metal Frame with opening, as a step working platform."/>
    <x v="1"/>
    <s v="Informed the welder responsible SV and HSE PTJ to change that condition and more supervision and mandatory to provide a safe platform to all."/>
    <m/>
    <m/>
    <m/>
    <m/>
    <s v="Invalid"/>
    <x v="0"/>
    <m/>
  </r>
  <r>
    <n v="327"/>
    <x v="47"/>
    <s v="Mahmoud Elshahat"/>
    <x v="2"/>
    <s v="HSE "/>
    <x v="1"/>
    <x v="3"/>
    <x v="1"/>
    <s v="Observed one welder working over a frame (WAH) without suitable working platform"/>
    <x v="3"/>
    <s v="Suitable platform is provided "/>
    <m/>
    <m/>
    <m/>
    <m/>
    <s v="Invalid"/>
    <x v="0"/>
    <m/>
  </r>
  <r>
    <n v="328"/>
    <x v="38"/>
    <s v="Hany Elashkar"/>
    <x v="2"/>
    <s v="HSE "/>
    <x v="2"/>
    <x v="7"/>
    <x v="5"/>
    <s v="Observed cutting torch set attached with fixed handle with chains to facilitate opening and closing of acetylene cylinder valve specially in case of emergency"/>
    <x v="5"/>
    <m/>
    <m/>
    <m/>
    <m/>
    <m/>
    <s v="Invalid"/>
    <x v="1"/>
    <m/>
  </r>
  <r>
    <n v="329"/>
    <x v="39"/>
    <s v="Mahmoud Elshahat"/>
    <x v="2"/>
    <s v="HSE "/>
    <x v="2"/>
    <x v="2"/>
    <x v="4"/>
    <s v="Observed suitable side walkways (clean and clear from any obstructions)"/>
    <x v="5"/>
    <m/>
    <m/>
    <m/>
    <m/>
    <m/>
    <s v="Invalid"/>
    <x v="1"/>
    <m/>
  </r>
  <r>
    <n v="330"/>
    <x v="40"/>
    <s v="Mahmoud Samir"/>
    <x v="2"/>
    <s v="HSE "/>
    <x v="3"/>
    <x v="0"/>
    <x v="5"/>
    <s v="It has observed a good supervision from welding supervisor during night shift also working for implement all hot work precautions."/>
    <x v="5"/>
    <m/>
    <m/>
    <m/>
    <m/>
    <m/>
    <s v="Invalid"/>
    <x v="1"/>
    <m/>
  </r>
  <r>
    <n v="331"/>
    <x v="38"/>
    <s v="Hany Elashkar"/>
    <x v="2"/>
    <s v="HSE "/>
    <x v="2"/>
    <x v="7"/>
    <x v="0"/>
    <s v="Observed cutting torch set attached with fixed handle with chains to facilitate opening and closing of acetylene cylinder valve specially in case of emergency"/>
    <x v="5"/>
    <m/>
    <m/>
    <m/>
    <m/>
    <m/>
    <s v="Invalid"/>
    <x v="1"/>
    <m/>
  </r>
  <r>
    <n v="332"/>
    <x v="47"/>
    <s v="Abdelhady Ghalwash"/>
    <x v="2"/>
    <s v="HSE "/>
    <x v="2"/>
    <x v="1"/>
    <x v="3"/>
    <s v="It has been observed good housekeeping, clear access and cable management at area 1"/>
    <x v="5"/>
    <m/>
    <m/>
    <m/>
    <m/>
    <m/>
    <s v="Invalid"/>
    <x v="1"/>
    <m/>
  </r>
  <r>
    <n v="333"/>
    <x v="39"/>
    <s v="Mahmoud Elshahat"/>
    <x v="2"/>
    <s v="HSE "/>
    <x v="2"/>
    <x v="2"/>
    <x v="3"/>
    <s v="Observed suitable side walkways (clean and clear from any obstructions)"/>
    <x v="5"/>
    <m/>
    <m/>
    <m/>
    <m/>
    <m/>
    <s v="Invalid"/>
    <x v="1"/>
    <m/>
  </r>
  <r>
    <n v="334"/>
    <x v="39"/>
    <s v="Mahmoud Nasr"/>
    <x v="2"/>
    <s v="HSE "/>
    <x v="1"/>
    <x v="9"/>
    <x v="4"/>
    <s v="I have observed the welder set on unstable part also plastic material "/>
    <x v="3"/>
    <s v="I stop him immediately then the supervisor provide the accepted chair for working  "/>
    <s v="The HSE responsible for this area will make TBT about PPE and safe work condition and "/>
    <s v="Medium"/>
    <s v="Low"/>
    <s v="PTJ HSE"/>
    <d v="2025-03-05T00:00:00"/>
    <x v="0"/>
    <m/>
  </r>
  <r>
    <n v="335"/>
    <x v="45"/>
    <s v="Mahmoud Elshahat"/>
    <x v="2"/>
    <s v="HSE "/>
    <x v="0"/>
    <x v="2"/>
    <x v="8"/>
    <s v="Observed the telescopic crane performing lifting operations without identifying the line of fire around the crane"/>
    <x v="3"/>
    <s v="Identified the line of fire and installed soft barricades immediately , Provided safety stand down to the riggers regarding safe mechanical lifting"/>
    <m/>
    <m/>
    <m/>
    <m/>
    <s v="Invalid"/>
    <x v="0"/>
    <m/>
  </r>
  <r>
    <n v="336"/>
    <x v="39"/>
    <s v="Mahmoud Nasr"/>
    <x v="2"/>
    <s v="HSE "/>
    <x v="2"/>
    <x v="9"/>
    <x v="7"/>
    <s v="I have observed supports without safe working load and serial number."/>
    <x v="5"/>
    <s v="I stop the work immediately and I inform the supervisor to connect with QC to inspect this support./ Any support must be inspected from the QC team and print the SWL and serial number before any work start on any support."/>
    <m/>
    <m/>
    <m/>
    <m/>
    <s v="Invalid"/>
    <x v="1"/>
    <m/>
  </r>
  <r>
    <n v="337"/>
    <x v="40"/>
    <s v="Mahmoud Samir"/>
    <x v="2"/>
    <s v="HSE "/>
    <x v="0"/>
    <x v="9"/>
    <x v="3"/>
    <s v="It has been observed during night shift, storage metal materials on walk way at area 1."/>
    <x v="0"/>
    <s v="I have intervened and report to PTJ HSE team to remove it and check all walk ways also I have informed all of HSE team make site survey before start activities "/>
    <m/>
    <m/>
    <m/>
    <m/>
    <s v="Invalid"/>
    <x v="0"/>
    <m/>
  </r>
  <r>
    <n v="338"/>
    <x v="39"/>
    <s v="Mahmoud Nasr"/>
    <x v="2"/>
    <s v="HSE "/>
    <x v="0"/>
    <x v="9"/>
    <x v="5"/>
    <s v="I have observed two eroded welding holder"/>
    <x v="0"/>
    <s v="Alert for the supervisor with this issue then he replace the two holder"/>
    <m/>
    <m/>
    <m/>
    <m/>
    <s v="Invalid"/>
    <x v="0"/>
    <m/>
  </r>
  <r>
    <n v="339"/>
    <x v="48"/>
    <s v="Gamal Abdelgawad"/>
    <x v="1"/>
    <s v="Fabrication"/>
    <x v="0"/>
    <x v="5"/>
    <x v="4"/>
    <s v="CPY observed several pieces of unit weights being manufactured on site. Pieces of scrap metal is being placed within the drums. Thereafter welded shut and without determining the weight being lifted onto structures to prevent distortion of the frames being welded"/>
    <x v="3"/>
    <s v="The weight of these units is not determined, testing has not been carried out as to the strength of the welds of the lifting eyes._x000a_The units are to be condemned from being used on site"/>
    <m/>
    <m/>
    <m/>
    <m/>
    <s v="Invalid"/>
    <x v="0"/>
    <m/>
  </r>
  <r>
    <n v="340"/>
    <x v="48"/>
    <s v="Gamal Abdelgawad"/>
    <x v="1"/>
    <s v="Fabrication"/>
    <x v="2"/>
    <x v="8"/>
    <x v="3"/>
    <s v="CPY observed a proper Housekeeping for fabrication activities included prefabrication and welding/NDE, have been carried out properly, inside fabrication workshop#4."/>
    <x v="5"/>
    <m/>
    <m/>
    <m/>
    <m/>
    <m/>
    <s v="Invalid"/>
    <x v="1"/>
    <m/>
  </r>
  <r>
    <n v="341"/>
    <x v="41"/>
    <s v="Mohamed Nasr"/>
    <x v="1"/>
    <s v="HSE "/>
    <x v="0"/>
    <x v="4"/>
    <x v="3"/>
    <s v="During walkabout CPY Fabrication Manager &amp; Deputy Fabrication Manager that both WS required housekeeping."/>
    <x v="2"/>
    <s v="Advised TFMC HSE to pass the observation to day shift to take action. until PTJ provide housekeepers for this shift."/>
    <m/>
    <m/>
    <m/>
    <m/>
    <s v="Invalid"/>
    <x v="0"/>
    <m/>
  </r>
  <r>
    <n v="342"/>
    <x v="41"/>
    <s v="Mohamed Nasr"/>
    <x v="1"/>
    <s v="HSE "/>
    <x v="0"/>
    <x v="8"/>
    <x v="8"/>
    <s v="During inspection the welding of stiffener Plate piping support require that replacing position between the one on stand and one on ground using_x000a_overhead crane."/>
    <x v="2"/>
    <s v="Any lifting operation should be done by approved &amp; certified operator._x000a_Trained riggers to be on site._x000a_Lifting PTW and RA to be provided."/>
    <m/>
    <m/>
    <m/>
    <m/>
    <s v="Invalid"/>
    <x v="0"/>
    <m/>
  </r>
  <r>
    <n v="343"/>
    <x v="46"/>
    <s v="Mohamed Nasr"/>
    <x v="1"/>
    <s v="HSE "/>
    <x v="0"/>
    <x v="0"/>
    <x v="4"/>
    <s v="During inspection it was noticed that wooden boxes used for stacking material having nails coming out of it that can cause harm to worker while leaning on it or getting material out."/>
    <x v="2"/>
    <s v="All wooden boxes or wood used for stacking should be free of nails"/>
    <m/>
    <m/>
    <m/>
    <m/>
    <s v="Invalid"/>
    <x v="0"/>
    <m/>
  </r>
  <r>
    <n v="344"/>
    <x v="44"/>
    <s v="Mohamed Farouk Elbeshlawy"/>
    <x v="1"/>
    <s v="QC"/>
    <x v="0"/>
    <x v="2"/>
    <x v="0"/>
    <s v="During monitoring and surveillance inside WK.,I smell gas came from one of the gas cylinder due to hose damage"/>
    <x v="3"/>
    <s v="Stopped the welder and instructed him to close the cylinder and change the hose by new one"/>
    <m/>
    <m/>
    <m/>
    <m/>
    <s v="Invalid"/>
    <x v="0"/>
    <m/>
  </r>
  <r>
    <n v="345"/>
    <x v="49"/>
    <s v="Mohamed Farouk Elbeshlawy"/>
    <x v="1"/>
    <s v="QC"/>
    <x v="0"/>
    <x v="2"/>
    <x v="3"/>
    <s v="During monitoring and surveillance inside WK., observed poor handling of cable"/>
    <x v="3"/>
    <s v="Stopped the welders and instructed them to handle cable before start welding."/>
    <m/>
    <m/>
    <m/>
    <m/>
    <s v="Invalid"/>
    <x v="0"/>
    <m/>
  </r>
  <r>
    <n v="346"/>
    <x v="44"/>
    <s v="Gamal Abdelgawad"/>
    <x v="1"/>
    <s v="Fabrication"/>
    <x v="0"/>
    <x v="2"/>
    <x v="2"/>
    <s v="Lack of wearing basic / mandatory PPE safety burning goggles, while using flame cutting machine."/>
    <x v="2"/>
    <s v="CPY recommended to reiterate this topic during the TBT to encourage the new team for wearing proper PPE inside workshop."/>
    <m/>
    <m/>
    <m/>
    <m/>
    <s v="Invalid"/>
    <x v="0"/>
    <m/>
  </r>
  <r>
    <n v="347"/>
    <x v="38"/>
    <s v="Mohamed Nasr"/>
    <x v="1"/>
    <s v="HSE "/>
    <x v="0"/>
    <x v="6"/>
    <x v="8"/>
    <s v="During inspection it was noticed that the crane was working at painting and blasting open area shifting the concrete blocks when I went there the following was observed,_x000a_-No PTW_x000a_-No PTJ HSE_x000a_-No supervision_x000a_-Bad lifting arrangement"/>
    <x v="3"/>
    <s v="Generic lifting plan should be In place_x000a_HSE should be present during lifting_x000a_PTW should be available at site"/>
    <m/>
    <m/>
    <m/>
    <m/>
    <s v="Invalid"/>
    <x v="0"/>
    <m/>
  </r>
  <r>
    <n v="348"/>
    <x v="49"/>
    <s v="Gamal Abdelgawad"/>
    <x v="1"/>
    <s v="Fabrication"/>
    <x v="0"/>
    <x v="1"/>
    <x v="8"/>
    <s v="CPY observed that, there is a risk of fallen objects where the free end of the ring during the grinding the inner diameter and not fully clamped onto the table used to support during the grinding operation."/>
    <x v="2"/>
    <s v="CPY recommended to ensure that items which are subject to grinded to be fully clamped onto the table used to support the drilling equipment / machine."/>
    <m/>
    <m/>
    <m/>
    <m/>
    <s v="Invalid"/>
    <x v="0"/>
    <m/>
  </r>
  <r>
    <n v="349"/>
    <x v="49"/>
    <s v="Gamal Abdelgawad"/>
    <x v="1"/>
    <s v="Fabrication"/>
    <x v="0"/>
    <x v="5"/>
    <x v="3"/>
    <s v="CPY observed that several cables were found on the ground without any arrangement / cable management through cable management platform."/>
    <x v="2"/>
    <s v="Ensure that all crew who involved in the activities inside this area are fully aware and acknowledge that housekeeping is a daily routine activity to be done by end of each shift."/>
    <m/>
    <m/>
    <m/>
    <m/>
    <s v="Invalid"/>
    <x v="0"/>
    <m/>
  </r>
  <r>
    <n v="350"/>
    <x v="43"/>
    <s v="Mohamed Nasr"/>
    <x v="1"/>
    <s v="HSE "/>
    <x v="0"/>
    <x v="2"/>
    <x v="4"/>
    <s v="During inspection one of the wooden pallets used for stacking small material parts have nail coming out of it and during manual handling it can easily pinch someone hand."/>
    <x v="2"/>
    <s v="Any wooden pallet should be free from nail._x000a_Any storge box should be free from nails."/>
    <m/>
    <m/>
    <m/>
    <m/>
    <s v="Invalid"/>
    <x v="0"/>
    <m/>
  </r>
  <r>
    <n v="351"/>
    <x v="48"/>
    <s v="Mohamed Nasr"/>
    <x v="1"/>
    <s v="HSE "/>
    <x v="0"/>
    <x v="4"/>
    <x v="0"/>
    <s v="During inspection it was observed the following,_x000a_One grinding machine with cable isolation cutted inside mud-mat frame"/>
    <x v="2"/>
    <s v="All equipment’s should be inspected before starting the job._x000a_All defected equipment’s should be removed from site._x000a_All equipment’s should be stored properly after completing the task."/>
    <m/>
    <m/>
    <m/>
    <m/>
    <s v="Invalid"/>
    <x v="0"/>
    <m/>
  </r>
  <r>
    <n v="352"/>
    <x v="48"/>
    <s v="Mohamed Nasr"/>
    <x v="1"/>
    <s v="HSE "/>
    <x v="0"/>
    <x v="4"/>
    <x v="8"/>
    <s v="During inspection it was observed the following,_x000a_One webbing sling with indication of abrasion."/>
    <x v="0"/>
    <s v="All lifting devises shall be inspected and certified by component person._x000a_TFMC Has to monitor all lifting devises and ensure color code, condition_x000a_and certificate are in place."/>
    <m/>
    <m/>
    <m/>
    <m/>
    <s v="Invalid"/>
    <x v="0"/>
    <m/>
  </r>
  <r>
    <n v="353"/>
    <x v="48"/>
    <s v="Mohamed Nasr"/>
    <x v="1"/>
    <s v="HSE "/>
    <x v="0"/>
    <x v="7"/>
    <x v="3"/>
    <s v="During inspection it was observed, Garbage bag inside welding area that could catch fire._x000a_At open area – 2, 10” PLET type 3, 112T – well side one piece of wood used as scaffolding platform not secured &amp; scaffolding tube not connected with coupler and loose from one end."/>
    <x v="2"/>
    <s v="Area housekeeping should be done at end of shift._x000a_Scaffolding tubes should be connected properly and secured by coupler._x000a_Scaffolder to ensure all scaffolding platform secured and safe."/>
    <m/>
    <m/>
    <m/>
    <m/>
    <s v="Invalid"/>
    <x v="0"/>
    <m/>
  </r>
  <r>
    <n v="354"/>
    <x v="43"/>
    <s v="Mohamed Nasr"/>
    <x v="1"/>
    <s v="HSE "/>
    <x v="0"/>
    <x v="2"/>
    <x v="0"/>
    <s v="During inspection of equipment’s before shift started it was observed,_x000a_-One electrode holder was damaged._x000a_-One electrode holder cable completely damaged."/>
    <x v="1"/>
    <s v="Advised the welder to replace electrode holder and the cable.Informed shift supervisor."/>
    <s v="All equipment’s should be inspected before starting the job._x000a_All defected equipment’s should be removed from site._x000a_All equipment’s should be stored properly after completing the task."/>
    <s v="Medium"/>
    <s v="Low"/>
    <s v="PTJ"/>
    <d v="2025-03-11T00:00:00"/>
    <x v="0"/>
    <m/>
  </r>
  <r>
    <n v="355"/>
    <x v="43"/>
    <s v="Mohamed Nasr"/>
    <x v="1"/>
    <s v="HSE "/>
    <x v="0"/>
    <x v="0"/>
    <x v="5"/>
    <s v="During inspection one grinder was using the grinding machine and sparks was heading to gas cylinder nearby."/>
    <x v="1"/>
    <s v="Grinders and welders to remove any flammable material._x000a_Area should be free from any cylinders._x000a_Grinder should check the direction of sparks and ensure it doesn’t affect anyone."/>
    <m/>
    <m/>
    <m/>
    <m/>
    <s v="Invalid"/>
    <x v="0"/>
    <m/>
  </r>
  <r>
    <n v="356"/>
    <x v="42"/>
    <s v="Mohamed Nasr"/>
    <x v="1"/>
    <s v="HSE "/>
    <x v="0"/>
    <x v="0"/>
    <x v="2"/>
    <s v="During inspection it was observed that they will be welding inside pile sleeve and the welder jumped inside"/>
    <x v="2"/>
    <s v="All personal should use approved methods while working._x000a_No jumping or standing on structure without scaffolding steps._x000a_Worker shouldn’t rush and to prepare there working area"/>
    <m/>
    <m/>
    <m/>
    <m/>
    <s v="Invalid"/>
    <x v="0"/>
    <m/>
  </r>
  <r>
    <n v="357"/>
    <x v="48"/>
    <s v="Mohamed Nasr"/>
    <x v="1"/>
    <s v="HSE "/>
    <x v="0"/>
    <x v="0"/>
    <x v="6"/>
    <s v="During inspection three welders one standing on the tube of scaffolding step and two standing on welding chair on Mud-mat frame_x000a_PTJ scaffolder was standing on top of the yoke ladder to adjust tarpaulin."/>
    <x v="3"/>
    <s v="Immediately I asked them to come down and to provide secure scaffolding step to stand on._x000a_Advised TFMC that dayshift while handover the task and they knew they have to go up to prepare the area with safety measures applicable on site."/>
    <m/>
    <m/>
    <m/>
    <m/>
    <s v="Invalid"/>
    <x v="0"/>
    <m/>
  </r>
  <r>
    <n v="358"/>
    <x v="42"/>
    <s v="Mohamed Nasr"/>
    <x v="1"/>
    <s v="HSE "/>
    <x v="0"/>
    <x v="2"/>
    <x v="3"/>
    <s v="During inspection it was observed that cable management is very bad and trip hazard increased due to day shift handover."/>
    <x v="1"/>
    <s v="During inspection it was observed that cable management is very bad and trip hazard increased due to day shift handover."/>
    <m/>
    <m/>
    <m/>
    <m/>
    <s v="Invalid"/>
    <x v="0"/>
    <m/>
  </r>
  <r>
    <n v="359"/>
    <x v="42"/>
    <s v="Mohamed Nasr"/>
    <x v="1"/>
    <s v="HSE "/>
    <x v="0"/>
    <x v="2"/>
    <x v="5"/>
    <s v="During inspection of equipment’s before shift started the following was observed,_x000a_-One grinding machine socket pin damaged._x000a_-One electrode holder was damaged."/>
    <x v="1"/>
    <s v="Advised the grinder to go to the electrician of the shift to replace socket._x000a_Advised the welder to replace electrode holder._x000a_Informed shift supervisor._x000a_Advised TFMC HSE to monitor."/>
    <m/>
    <m/>
    <m/>
    <m/>
    <s v="Invalid"/>
    <x v="0"/>
    <m/>
  </r>
  <r>
    <n v="360"/>
    <x v="41"/>
    <s v="Mohamed Nasr"/>
    <x v="1"/>
    <s v="HSE "/>
    <x v="0"/>
    <x v="0"/>
    <x v="3"/>
    <s v="During inspection it was observed that cable management is very bad and trip_x000a_hazard increased."/>
    <x v="2"/>
    <s v="Cable management should be carried out before start working._x000a_Message to be addressed during TBT._x000a_Dayshift should organize their cables before leaving._x000a_Access and walkway should be free from cables."/>
    <m/>
    <m/>
    <m/>
    <m/>
    <s v="Invalid"/>
    <x v="0"/>
    <m/>
  </r>
  <r>
    <n v="361"/>
    <x v="43"/>
    <s v="Mohamed Nasr"/>
    <x v="1"/>
    <s v="HSE "/>
    <x v="0"/>
    <x v="0"/>
    <x v="6"/>
    <s v="During inspection it was observed welding on yoke ladder in WS – 2 sea side and due to adding more tarpaulin because of wind speed the light was insufficient inside."/>
    <x v="1"/>
    <s v="Always have sufficient light in working area._x000a_Workers should ask if they think light is not sufficient."/>
    <m/>
    <m/>
    <m/>
    <m/>
    <s v="Invalid"/>
    <x v="0"/>
    <m/>
  </r>
  <r>
    <n v="362"/>
    <x v="41"/>
    <s v="Mohamed Nasr"/>
    <x v="1"/>
    <s v="HSE "/>
    <x v="1"/>
    <x v="2"/>
    <x v="5"/>
    <s v="During inspection one grinder was using the grinding machine and sparks was heading to gas cylinder nearby"/>
    <x v="3"/>
    <s v="Grinders and welders to remove any flammable material._x000a_Area should be free from any cylinders._x000a_Grinder should check the direction of sparks and ensure it doesn’t affect anyone."/>
    <m/>
    <m/>
    <m/>
    <m/>
    <s v="Invalid"/>
    <x v="0"/>
    <m/>
  </r>
  <r>
    <n v="363"/>
    <x v="50"/>
    <s v="Chris Eaton"/>
    <x v="1"/>
    <s v="QC"/>
    <x v="1"/>
    <x v="0"/>
    <x v="2"/>
    <s v="During visit to workshop 2 TFMC inspector found not using minimum ear protection."/>
    <x v="2"/>
    <s v="Had a conversation on the importance of using hearing protection, inspector agreed that he should be using ear protection and he ensured me he will not forget in future."/>
    <m/>
    <m/>
    <m/>
    <m/>
    <s v="Invalid"/>
    <x v="0"/>
    <m/>
  </r>
  <r>
    <n v="364"/>
    <x v="44"/>
    <s v="Mohamed Nasr"/>
    <x v="1"/>
    <s v="HSE "/>
    <x v="0"/>
    <x v="2"/>
    <x v="10"/>
    <s v="During inspection it was observed that emergency numbers posted need to be updated for dayshift because some personal in the list shifted to site moreover to cover nightshift."/>
    <x v="2"/>
    <s v="Emergency contact numbers should be checked &amp; updated frequently. _x000a_Nightshift to be covered in the list."/>
    <m/>
    <m/>
    <m/>
    <m/>
    <s v="Invalid"/>
    <x v="0"/>
    <m/>
  </r>
  <r>
    <n v="365"/>
    <x v="49"/>
    <s v="Mohamed Nasr"/>
    <x v="1"/>
    <s v="HSE "/>
    <x v="1"/>
    <x v="0"/>
    <x v="0"/>
    <s v="During inspection it was observed PTJ worker was using the main electrical panel in WS."/>
    <x v="3"/>
    <s v="Only authorized personal should use main panel._x000a_Main electrical should have lock to prevent unauthorized people from using it._x000a_Safety signs to be posted."/>
    <m/>
    <m/>
    <m/>
    <m/>
    <s v="Invalid"/>
    <x v="0"/>
    <m/>
  </r>
  <r>
    <n v="366"/>
    <x v="49"/>
    <s v="Mohamed Nasr"/>
    <x v="1"/>
    <s v="HSE "/>
    <x v="1"/>
    <x v="2"/>
    <x v="6"/>
    <s v="During inspection it was observed P Welder sitting on wood and surrounded by wood"/>
    <x v="1"/>
    <s v="Welders needs steel chair to sit on._x000a_Any flammable material should be removed from hot work activities._x000a_Housekeeping to be carried frequently."/>
    <m/>
    <m/>
    <m/>
    <m/>
    <s v="Invalid"/>
    <x v="0"/>
    <m/>
  </r>
  <r>
    <n v="367"/>
    <x v="49"/>
    <s v="Mohamed Nasr"/>
    <x v="1"/>
    <s v="HSE "/>
    <x v="0"/>
    <x v="2"/>
    <x v="3"/>
    <s v="Before shift started and during inspection of equipment’s and cylinders the following was observed,_x000a_One gas cylinder found blocking the access way."/>
    <x v="2"/>
    <s v="Access ways should always be clear._x000a_Worker needs to understand the important of free walkway._x000a_Walkway are for emergency also so any obstructions will cause problem._x000a_ERP sold be addressed"/>
    <m/>
    <m/>
    <m/>
    <m/>
    <s v="Invalid"/>
    <x v="0"/>
    <m/>
  </r>
  <r>
    <n v="368"/>
    <x v="49"/>
    <s v="Mohamed Nasr"/>
    <x v="1"/>
    <s v="HSE "/>
    <x v="0"/>
    <x v="2"/>
    <x v="4"/>
    <s v="During inspection it was observed pipe needs stopper to be secured."/>
    <x v="2"/>
    <s v="Advised TFMC to pass concern to dayshift to be followed._x000a_All material should be stacked properly._x000a_Pipes to be secured by stopper."/>
    <m/>
    <m/>
    <m/>
    <m/>
    <s v="Invalid"/>
    <x v="0"/>
    <m/>
  </r>
  <r>
    <n v="369"/>
    <x v="50"/>
    <s v="Chris Eaton"/>
    <x v="1"/>
    <s v="QC"/>
    <x v="3"/>
    <x v="2"/>
    <x v="2"/>
    <s v="During visit to workshop 2 operator of partially mechanized flame cutting equipment found to be wearing minimum PPE and task specific burning eye protection."/>
    <x v="5"/>
    <m/>
    <m/>
    <m/>
    <m/>
    <m/>
    <s v="Invalid"/>
    <x v="1"/>
    <m/>
  </r>
  <r>
    <n v="370"/>
    <x v="44"/>
    <s v="Mohamed Nasr"/>
    <x v="1"/>
    <s v="HSE "/>
    <x v="0"/>
    <x v="0"/>
    <x v="5"/>
    <s v="During inspection it was observed water kettle inside WS connected and tea glasses, moreover there was a lot of water on ground near electrical connection."/>
    <x v="3"/>
    <s v="Standdown will be conduct to address the issue"/>
    <m/>
    <m/>
    <m/>
    <m/>
    <s v="Invalid"/>
    <x v="0"/>
    <m/>
  </r>
  <r>
    <n v="371"/>
    <x v="44"/>
    <s v="Mohamed Nasr"/>
    <x v="1"/>
    <s v="HSE "/>
    <x v="0"/>
    <x v="2"/>
    <x v="3"/>
    <s v="During inspection it was observed that cable management is very bad and trip hazard increased due to day shift handover."/>
    <x v="2"/>
    <s v="Nightshift should handover area clear from cables._x000a_Nightshift to organize cables from the start of shift."/>
    <m/>
    <m/>
    <m/>
    <m/>
    <s v="Invalid"/>
    <x v="0"/>
    <m/>
  </r>
  <r>
    <n v="372"/>
    <x v="42"/>
    <s v="Mahmoud Samir"/>
    <x v="2"/>
    <s v="HSE "/>
    <x v="0"/>
    <x v="3"/>
    <x v="2"/>
    <s v="During lifting activities, it has observed the rigging supervisor weren’t wear reflection vest and using damage safety gloves"/>
    <x v="1"/>
    <s v="I was made provide awareness with rigging team to following the lifting procedure and mandatory to HSE PTJ follow up the lifting activities and implement safety lifting precaution before start activity."/>
    <m/>
    <m/>
    <m/>
    <m/>
    <s v="Invalid"/>
    <x v="0"/>
    <m/>
  </r>
  <r>
    <n v="373"/>
    <x v="44"/>
    <s v="Abdelhady Ghalwash"/>
    <x v="2"/>
    <s v="HSE "/>
    <x v="0"/>
    <x v="1"/>
    <x v="5"/>
    <s v="It has been observed poor storage of gas cylinders (unsecured)"/>
    <x v="1"/>
    <s v="The gas cylinder has been secured"/>
    <m/>
    <m/>
    <m/>
    <m/>
    <s v="Invalid"/>
    <x v="0"/>
    <m/>
  </r>
  <r>
    <n v="374"/>
    <x v="42"/>
    <s v="Abdelhady Ghalwash"/>
    <x v="2"/>
    <s v="HSE "/>
    <x v="0"/>
    <x v="1"/>
    <x v="3"/>
    <s v="It has been observed poor storage of materials at area 1"/>
    <x v="1"/>
    <s v="I have contacted the supervisor to arrange and organize the area (Closed)"/>
    <m/>
    <m/>
    <m/>
    <m/>
    <s v="Invalid"/>
    <x v="0"/>
    <m/>
  </r>
  <r>
    <n v="375"/>
    <x v="42"/>
    <s v="Mahmoud Samir"/>
    <x v="2"/>
    <s v="HSE "/>
    <x v="0"/>
    <x v="9"/>
    <x v="0"/>
    <s v="It has been observed during welding activities using damage earthing cable."/>
    <x v="1"/>
    <s v="I have intervened and inform the welding SV replace the welding machine by another one with good cables"/>
    <m/>
    <m/>
    <m/>
    <m/>
    <s v="Invalid"/>
    <x v="0"/>
    <m/>
  </r>
  <r>
    <n v="376"/>
    <x v="44"/>
    <s v="Mahmoud Nasr"/>
    <x v="2"/>
    <s v="HSE "/>
    <x v="0"/>
    <x v="2"/>
    <x v="0"/>
    <s v="I have observed while we testing cylinders before starting the night shift _x000a_that two gas cylinder have leakage from the regulator and one hose without hose clips "/>
    <x v="1"/>
    <s v="I close the cylinder then inform the supervisor to take them out and inform the morning shift to change the regulator also I put don’t use card "/>
    <m/>
    <m/>
    <m/>
    <m/>
    <s v="Invalid"/>
    <x v="0"/>
    <m/>
  </r>
  <r>
    <n v="377"/>
    <x v="44"/>
    <s v="Mahmoud Nasr"/>
    <x v="2"/>
    <s v="HSE "/>
    <x v="0"/>
    <x v="0"/>
    <x v="0"/>
    <s v="I have observed two electrical panel not inspected this month . "/>
    <x v="1"/>
    <s v="We contact with electric supervisor and he come and inspect the two panel ."/>
    <m/>
    <m/>
    <m/>
    <m/>
    <s v="Invalid"/>
    <x v="0"/>
    <m/>
  </r>
  <r>
    <n v="378"/>
    <x v="44"/>
    <s v="Mahmoud Nasr"/>
    <x v="2"/>
    <s v="HSE "/>
    <x v="0"/>
    <x v="0"/>
    <x v="8"/>
    <s v="I have observed  defected lifting tools. "/>
    <x v="2"/>
    <s v="I inform HSE PTJ to take it out work place."/>
    <m/>
    <m/>
    <m/>
    <m/>
    <s v="Invalid"/>
    <x v="0"/>
    <m/>
  </r>
  <r>
    <n v="379"/>
    <x v="44"/>
    <s v="Mahmoud Nasr"/>
    <x v="2"/>
    <s v="HSE "/>
    <x v="0"/>
    <x v="2"/>
    <x v="5"/>
    <s v="I have observed using flammable material (wood) beside welding activity also using the wood as site "/>
    <x v="1"/>
    <s v="Warning the worker and remove all woods "/>
    <m/>
    <m/>
    <m/>
    <m/>
    <s v="Invalid"/>
    <x v="0"/>
    <m/>
  </r>
  <r>
    <n v="380"/>
    <x v="49"/>
    <s v="Mahmoud Nasr"/>
    <x v="2"/>
    <s v="HSE "/>
    <x v="0"/>
    <x v="2"/>
    <x v="3"/>
    <s v="I have observed poor cable management also the accessway not clear "/>
    <x v="1"/>
    <s v="I inform the supervisor and immediately start managing the cable and the accessway be clear  "/>
    <m/>
    <m/>
    <m/>
    <m/>
    <s v="Invalid"/>
    <x v="0"/>
    <m/>
  </r>
  <r>
    <n v="381"/>
    <x v="42"/>
    <s v="Mahmoud Elshahat"/>
    <x v="2"/>
    <s v="HSE "/>
    <x v="0"/>
    <x v="0"/>
    <x v="0"/>
    <s v="Observed the earth leakage is defected at one of the electric panels"/>
    <x v="1"/>
    <s v="the responsible area electrician immediately replaced the earth leakage circuit breaker"/>
    <m/>
    <m/>
    <m/>
    <m/>
    <s v="Invalid"/>
    <x v="0"/>
    <m/>
  </r>
  <r>
    <n v="382"/>
    <x v="49"/>
    <s v="Mahmoud Nasr"/>
    <x v="2"/>
    <s v="HSE "/>
    <x v="0"/>
    <x v="0"/>
    <x v="4"/>
    <s v="I have observed pip without secure and close the access way to the electrical panel but we don’t have rigger on the night shift  "/>
    <x v="2"/>
    <s v="I inform the supervisor and secure the pipe and put cone for warning worker from obstruction "/>
    <m/>
    <m/>
    <m/>
    <m/>
    <s v="Invalid"/>
    <x v="0"/>
    <m/>
  </r>
  <r>
    <n v="383"/>
    <x v="43"/>
    <s v="Mahmoud Elshahat"/>
    <x v="2"/>
    <s v="HSE "/>
    <x v="0"/>
    <x v="1"/>
    <x v="11"/>
    <s v="Observed that one of the supports does not have swl marked on it."/>
    <x v="1"/>
    <s v="the responsible WS immediately Stop working on the supports_x000a_the supports were checked and the swl was clarified.L118"/>
    <m/>
    <m/>
    <m/>
    <m/>
    <s v="Invalid"/>
    <x v="0"/>
    <m/>
  </r>
  <r>
    <n v="384"/>
    <x v="50"/>
    <s v="Mahmoud Nasr"/>
    <x v="2"/>
    <s v="HSE "/>
    <x v="0"/>
    <x v="2"/>
    <x v="0"/>
    <s v="I have observed cable for grinder not isolated  _x000a_"/>
    <x v="1"/>
    <s v="I inform the supervisor to replace it and I put don’t use card until fix it  "/>
    <m/>
    <m/>
    <m/>
    <m/>
    <s v="Invalid"/>
    <x v="0"/>
    <m/>
  </r>
  <r>
    <n v="385"/>
    <x v="44"/>
    <s v="Mahmoud Nasr"/>
    <x v="2"/>
    <s v="HSE "/>
    <x v="0"/>
    <x v="9"/>
    <x v="6"/>
    <s v="I have observed supports without safe working load and serial number."/>
    <x v="3"/>
    <s v="Any support must be inspected from the QC team and print the SWL and serial number before any work start on any support."/>
    <m/>
    <m/>
    <m/>
    <m/>
    <s v="Invalid"/>
    <x v="0"/>
    <m/>
  </r>
  <r>
    <n v="386"/>
    <x v="51"/>
    <s v="Mahmoud Nasr"/>
    <x v="2"/>
    <s v="HSE "/>
    <x v="0"/>
    <x v="9"/>
    <x v="0"/>
    <s v="I have observed the cables on metal hook without isolation "/>
    <x v="2"/>
    <s v="I inform the HSE to provide isolated hook  "/>
    <m/>
    <m/>
    <m/>
    <m/>
    <s v="Invalid"/>
    <x v="0"/>
    <m/>
  </r>
  <r>
    <n v="387"/>
    <x v="42"/>
    <s v="Mahmoud Nasr"/>
    <x v="2"/>
    <s v="HSE "/>
    <x v="0"/>
    <x v="3"/>
    <x v="0"/>
    <s v="I have observed different cable connected together using tape "/>
    <x v="2"/>
    <s v="I inform the supervisor to change this cable   "/>
    <m/>
    <m/>
    <m/>
    <m/>
    <s v="Invalid"/>
    <x v="0"/>
    <m/>
  </r>
  <r>
    <n v="388"/>
    <x v="42"/>
    <s v="Mahmoud Nasr"/>
    <x v="2"/>
    <s v="HSE "/>
    <x v="0"/>
    <x v="0"/>
    <x v="5"/>
    <s v="I have observed leakage on acetylene cylinder while checking cylinders before starting the night shift and it have defected handle which causing the leakage "/>
    <x v="1"/>
    <s v="I inform the supervisor to take it out and make the test to find the leakage position and I put sign don’t use "/>
    <m/>
    <m/>
    <m/>
    <m/>
    <s v="Invalid"/>
    <x v="0"/>
    <m/>
  </r>
  <r>
    <n v="389"/>
    <x v="42"/>
    <s v="Mahmoud Nasr"/>
    <x v="2"/>
    <s v="HSE "/>
    <x v="0"/>
    <x v="0"/>
    <x v="0"/>
    <s v="I have observed that most of the grinders have direct cable connected with the electrical panel "/>
    <x v="1"/>
    <s v="I inform the supervisor to connect with the morning shift to change all of this cables because we don’t have electrical workshop at night only one technician  for emergence "/>
    <m/>
    <m/>
    <m/>
    <m/>
    <s v="Invalid"/>
    <x v="0"/>
    <m/>
  </r>
  <r>
    <n v="390"/>
    <x v="41"/>
    <s v="Ahmed Wahba Mohamed"/>
    <x v="0"/>
    <s v="HSE "/>
    <x v="0"/>
    <x v="4"/>
    <x v="8"/>
    <s v="I have observed a cut in a sling "/>
    <x v="3"/>
    <s v="Immediately I stop the job anf got the sling out of service, conduct a survey for nall rigging accessories among the area"/>
    <m/>
    <m/>
    <m/>
    <m/>
    <s v="Invalid"/>
    <x v="0"/>
    <m/>
  </r>
  <r>
    <n v="391"/>
    <x v="36"/>
    <s v="Yasser Abohelw"/>
    <x v="0"/>
    <s v="HSE "/>
    <x v="1"/>
    <x v="1"/>
    <x v="2"/>
    <s v="It has been observed a grinder without weaing the face shield"/>
    <x v="1"/>
    <s v="A violation have been recorded for the employee , "/>
    <m/>
    <m/>
    <m/>
    <m/>
    <s v="Invalid"/>
    <x v="0"/>
    <m/>
  </r>
  <r>
    <n v="392"/>
    <x v="42"/>
    <s v="Mohamed Abdelkader Abdlmawgood"/>
    <x v="0"/>
    <s v="HSE "/>
    <x v="0"/>
    <x v="3"/>
    <x v="3"/>
    <s v="it hass been observed poor cable management at the area"/>
    <x v="3"/>
    <s v="Maintain the cable management at the area by installing scaffold supports among the area to hang the cables on"/>
    <m/>
    <m/>
    <m/>
    <m/>
    <s v="Invalid"/>
    <x v="0"/>
    <m/>
  </r>
  <r>
    <n v="393"/>
    <x v="44"/>
    <s v="Omar Ahmed Omar"/>
    <x v="0"/>
    <s v="HSE "/>
    <x v="0"/>
    <x v="0"/>
    <x v="0"/>
    <s v="It has been observed a leak from a butane compressed gas cylinder "/>
    <x v="0"/>
    <s v="Got the the cylinder out of service , tagged in the quarantine area and conduct a TBT with the team  regarding CGC inspection ."/>
    <m/>
    <m/>
    <m/>
    <m/>
    <s v="Invalid"/>
    <x v="0"/>
    <m/>
  </r>
  <r>
    <n v="394"/>
    <x v="35"/>
    <s v="Omar Ahmed Omar"/>
    <x v="0"/>
    <s v="HSE "/>
    <x v="0"/>
    <x v="5"/>
    <x v="3"/>
    <s v="it has been observed poor houskeeping at the area , the grinding disc are left on the area"/>
    <x v="0"/>
    <s v="instruct the workforce team to maintain the housekeeping at the area"/>
    <m/>
    <m/>
    <m/>
    <m/>
    <s v="Invalid"/>
    <x v="0"/>
    <m/>
  </r>
  <r>
    <n v="395"/>
    <x v="47"/>
    <s v="Ahmed Maher"/>
    <x v="0"/>
    <s v="HSE "/>
    <x v="1"/>
    <x v="0"/>
    <x v="6"/>
    <s v="it has been observed a rigger use the lever hoist with improper technique that block the safety latch didn’t close properly"/>
    <x v="1"/>
    <s v="report to yher rigging supervisor and conduct a TBT with the rigging team "/>
    <m/>
    <m/>
    <m/>
    <m/>
    <s v="Invalid"/>
    <x v="0"/>
    <m/>
  </r>
  <r>
    <n v="396"/>
    <x v="47"/>
    <s v="Hussein Shehata"/>
    <x v="0"/>
    <s v="HSE "/>
    <x v="0"/>
    <x v="5"/>
    <x v="5"/>
    <s v="It has been observed that the team through trash inside the suppor cups which bmay be a potential fire if a hot work carried nearby"/>
    <x v="0"/>
    <s v="Report to the supervisor Conduct a TBT with the team "/>
    <m/>
    <m/>
    <m/>
    <m/>
    <s v="Invalid"/>
    <x v="0"/>
    <m/>
  </r>
  <r>
    <n v="397"/>
    <x v="51"/>
    <s v="Hisham Abdelhameed "/>
    <x v="0"/>
    <s v="HSE "/>
    <x v="0"/>
    <x v="5"/>
    <x v="6"/>
    <s v="it has been observed an angle grinde without the secondary hand"/>
    <x v="0"/>
    <s v="Get the angle grinder out of service and report to the supervisor"/>
    <m/>
    <m/>
    <m/>
    <m/>
    <s v="Invalid"/>
    <x v="0"/>
    <m/>
  </r>
  <r>
    <n v="398"/>
    <x v="31"/>
    <s v="Ehab Sabry Elsayed"/>
    <x v="0"/>
    <s v="HSE "/>
    <x v="0"/>
    <x v="0"/>
    <x v="3"/>
    <s v="it has been observed poor cable management for the welding activity"/>
    <x v="3"/>
    <s v="stop the jop till the team maintain the cable management "/>
    <m/>
    <m/>
    <m/>
    <m/>
    <s v="Invalid"/>
    <x v="0"/>
    <m/>
  </r>
  <r>
    <n v="399"/>
    <x v="44"/>
    <s v="Ahmed Sobhy Elsayed"/>
    <x v="0"/>
    <s v="HSE "/>
    <x v="0"/>
    <x v="0"/>
    <x v="0"/>
    <s v="It has been a leak from the valve of the butane CGC"/>
    <x v="0"/>
    <s v="Get it out of service and tag it then conduct a survey among the area foer the rest CGC and conduct a TBT with the workforce team"/>
    <m/>
    <m/>
    <m/>
    <m/>
    <s v="Invalid"/>
    <x v="0"/>
    <m/>
  </r>
  <r>
    <n v="400"/>
    <x v="52"/>
    <s v="Mohamed Farouk Elbeshlawy"/>
    <x v="1"/>
    <s v="QC"/>
    <x v="0"/>
    <x v="2"/>
    <x v="10"/>
    <s v="TFMC QC and HSE not attended TBT at last two days 1,2-3-2025."/>
    <x v="2"/>
    <s v="Contacted with them and advised to attend TBT next time."/>
    <m/>
    <m/>
    <m/>
    <m/>
    <s v="Invalid"/>
    <x v="0"/>
    <m/>
  </r>
  <r>
    <n v="401"/>
    <x v="53"/>
    <s v="Gamal Abdelgawad "/>
    <x v="1"/>
    <s v="Fabrication"/>
    <x v="3"/>
    <x v="9"/>
    <x v="3"/>
    <s v="CPY observed a proper Housekeeping during preparation of fabrication activities included prefabrication and welding, have been carried out properly, within outside fabrication area#4."/>
    <x v="5"/>
    <s v="CPY approach TFMC / PTJ HSE representative, to encourage the whole team have been involved in the lifting operation, for their commitment to HSE rules and requirements."/>
    <m/>
    <m/>
    <m/>
    <m/>
    <s v="Invalid"/>
    <x v="1"/>
    <m/>
  </r>
  <r>
    <n v="402"/>
    <x v="53"/>
    <s v="Gamal Abdelgawad "/>
    <x v="1"/>
    <s v="Fabrication"/>
    <x v="1"/>
    <x v="2"/>
    <x v="2"/>
    <s v="mproper PPE (Dark Glass) been worn by PTJ HSE officer, inside all fabrication workshop#2."/>
    <x v="1"/>
    <s v="Discussed the point in person with PTJ HSE officer, then informed TFMC HSE, to provide a clear glass to the new team."/>
    <s v="Reiterate this topic (PPE) during the TBT to encourage the new team for wearing proper PPE inside workshops."/>
    <s v="Medium"/>
    <s v="Medium"/>
    <s v="HSE"/>
    <d v="2025-03-17T00:00:00"/>
    <x v="0"/>
    <m/>
  </r>
  <r>
    <n v="403"/>
    <x v="53"/>
    <s v="Gamal Abdelgawad "/>
    <x v="1"/>
    <s v="Fabrication"/>
    <x v="0"/>
    <x v="5"/>
    <x v="10"/>
    <s v="CPY observed that, TFMC have got lack of HSE supervisors for covering all activities which are happening at the same time at several working areas"/>
    <x v="2"/>
    <s v="CPY approached TFMC HSE Manager, to take all necessary actions for this concern to ensure that PTJ supervisions are covering all areas."/>
    <m/>
    <m/>
    <m/>
    <m/>
    <s v="Invalid"/>
    <x v="0"/>
    <m/>
  </r>
  <r>
    <n v="404"/>
    <x v="53"/>
    <s v="Mohamed Farouk Elbeshlawy"/>
    <x v="1"/>
    <s v="QC"/>
    <x v="1"/>
    <x v="2"/>
    <x v="1"/>
    <s v="One welder set on chair of steel above scaffolding during welding ."/>
    <x v="1"/>
    <s v=" informed the welder to come down and bring scaffolding step."/>
    <m/>
    <m/>
    <m/>
    <m/>
    <s v="Invalid"/>
    <x v="0"/>
    <m/>
  </r>
  <r>
    <n v="405"/>
    <x v="53"/>
    <s v="Mohamed Farouk Elbeshlawy"/>
    <x v="1"/>
    <s v="QC"/>
    <x v="0"/>
    <x v="5"/>
    <x v="10"/>
    <s v="Nursing and ambulance not available during night shift. "/>
    <x v="2"/>
    <s v="Informed PTJ and TFMC HSE to take the corrective action."/>
    <m/>
    <m/>
    <m/>
    <m/>
    <s v="Invalid"/>
    <x v="0"/>
    <m/>
  </r>
  <r>
    <n v="406"/>
    <x v="54"/>
    <s v="Mohamed Nasr"/>
    <x v="1"/>
    <s v="HSE "/>
    <x v="1"/>
    <x v="4"/>
    <x v="1"/>
    <s v="During inspection it was observed PTJ welder in unsafe position."/>
    <x v="3"/>
    <s v="Immediately I stopped him and informed him to bring scaffolding step to stand secured."/>
    <m/>
    <m/>
    <m/>
    <m/>
    <s v="Invalid"/>
    <x v="0"/>
    <m/>
  </r>
  <r>
    <n v="407"/>
    <x v="55"/>
    <s v="Mohamed Nasr"/>
    <x v="1"/>
    <s v="HSE "/>
    <x v="3"/>
    <x v="2"/>
    <x v="3"/>
    <s v="During inspection it was observed very good cable management during and at the end of shift"/>
    <x v="5"/>
    <s v="Thanked the works during TBT for job well done._x000a_Thanked the area supervisor and informed him to continue the good work."/>
    <m/>
    <m/>
    <m/>
    <m/>
    <s v="Invalid"/>
    <x v="1"/>
    <m/>
  </r>
  <r>
    <n v="408"/>
    <x v="56"/>
    <s v="Mohamed Nasr"/>
    <x v="1"/>
    <s v="HSE "/>
    <x v="0"/>
    <x v="2"/>
    <x v="0"/>
    <s v="During inspection before starting shift while equipment’s inspection two of the gas cylinders was leaking one from the flash back arrestor and leaking from the connection coming out of control valve connect to hose, the other leaking from _x000a_the connection coming out of control valve connected to hose, WS – 2 because of nut or the clamps."/>
    <x v="0"/>
    <s v="Informed PTJ area supervisor to take action and replace the clamps, flash back arrestor and tightened the nuts_x000a_1.All gas cylinders must be inspected before starting any task._x000a_2- Leak test to be conducted on all connections_x000a_3- Any defect equipment should be removed from site._x000a_4- After completing the task pressure must be released.)"/>
    <m/>
    <m/>
    <m/>
    <m/>
    <s v="Invalid"/>
    <x v="0"/>
    <m/>
  </r>
  <r>
    <n v="409"/>
    <x v="56"/>
    <s v="Mohamed Nasr"/>
    <x v="1"/>
    <s v="HSE "/>
    <x v="0"/>
    <x v="0"/>
    <x v="0"/>
    <s v="During inspection it was observed Gas cylinder leaking from the cylinder main valve."/>
    <x v="0"/>
    <s v="Informed the area supervisor not to use it until tightened the nuts and re tested or remove it from WS _x000a_1. All gas cylinders must be inspected before starting any task._x000a_2- Leak test to be conducted on all connections_x000a_3- Any defect equipment should be removed from site._x000a_4- After completing the task pressure must be released"/>
    <m/>
    <m/>
    <m/>
    <m/>
    <s v="Invalid"/>
    <x v="0"/>
    <m/>
  </r>
  <r>
    <n v="410"/>
    <x v="56"/>
    <s v="Mohamed Nasr"/>
    <x v="1"/>
    <s v="HSE "/>
    <x v="0"/>
    <x v="8"/>
    <x v="5"/>
    <s v="During inspection immediately after TBT it was observed sheet under the overhead crane with oil spill and PTJ was going to start hot work activities, also it was noticed at the end of WS seaside that there was oil spill and covered by _x000a_sand"/>
    <x v="3"/>
    <s v="Immediately I stopped any hot work until removing the sheet and cover any additional oil spill by sand, moreover any lifting was suspended until we know was done during dayshift was it break down, maintenance.I called TFMC HSE once I stopped the activity to come and see TFMC HSEdayshift did not handover this, same for PTJ nobody had clue of what has been done during dayshift"/>
    <m/>
    <m/>
    <m/>
    <m/>
    <s v="Invalid"/>
    <x v="0"/>
    <m/>
  </r>
  <r>
    <n v="411"/>
    <x v="57"/>
    <s v="Mohamed Nasr"/>
    <x v="1"/>
    <s v="HSE "/>
    <x v="1"/>
    <x v="0"/>
    <x v="1"/>
    <s v="While coming out of WS -3 it was observed senior PTJ Eng. On top of scaffolding to photos for WS – 1 &amp; 2 the scaffolding is not inspected with no green tag red tagged, there is no handrail only mid-rail and no toe board it was PTJ project manager waiting down Said Abu elmaged who asked the Eng. To go up to take photos."/>
    <x v="3"/>
    <s v="I approach PTJ project manager and informed him it’s not acceptable and the PTJ senior Eng. Came down immediately. I informed TFMC HSE to ensurescaffolding used is inspected and any unsafe act / condition must be dalliedwith"/>
    <m/>
    <m/>
    <m/>
    <m/>
    <s v="Invalid"/>
    <x v="0"/>
    <m/>
  </r>
  <r>
    <n v="412"/>
    <x v="57"/>
    <s v="Mohamed Nasr"/>
    <x v="1"/>
    <s v="HSE "/>
    <x v="2"/>
    <x v="2"/>
    <x v="5"/>
    <s v="During inspection it was observed the usage of screen between workers to keep each other clear from line of fire and the usage of proper scaffolding steps in WS"/>
    <x v="5"/>
    <m/>
    <m/>
    <m/>
    <m/>
    <m/>
    <s v="Invalid"/>
    <x v="1"/>
    <m/>
  </r>
  <r>
    <n v="413"/>
    <x v="53"/>
    <s v="Malcolm Garrington"/>
    <x v="1"/>
    <s v="Project Manager"/>
    <x v="1"/>
    <x v="5"/>
    <x v="16"/>
    <s v="CPY noted that majority of PTJ workers are constantly engaged on their mobile phones and not fully focused on their work environment."/>
    <x v="2"/>
    <s v="Requested PTJ and TFMC HSE advisors and supervisors intervene and prevent any potential incidents."/>
    <s v="PTJ senior management to seriously intervene and put a stop to this unsafe _x000a_behavior (using mobile phones at the work area)"/>
    <s v="Medium"/>
    <s v="Medium"/>
    <s v="PTJ"/>
    <d v="2025-03-17T00:00:00"/>
    <x v="0"/>
    <m/>
  </r>
  <r>
    <n v="414"/>
    <x v="53"/>
    <s v="Malcolm Garrington"/>
    <x v="1"/>
    <s v="Project Manager"/>
    <x v="0"/>
    <x v="4"/>
    <x v="1"/>
    <s v="CPY noted that several scaffolded portable hop-ups are not safe to work on (stand-on) due to being unbalanced. CPY physically watched 2 PTJ workers stand ion these hop-ups and the scaffold hop-up “tilted” off the ground which nearly _x000a_off-balanced the workers."/>
    <x v="2"/>
    <s v="Requested PTJ workers to position the hop-ups in a way that could prevent from toppling over and having an incident."/>
    <s v="PTJ construction team to remove all not safe scaffolded hop-ups and replace with more fit for use (sturdy) made scaffolds to ensure workers can work safely on them"/>
    <s v="Medium"/>
    <s v="Medium"/>
    <s v="PTJ"/>
    <d v="2025-03-17T00:00:00"/>
    <x v="0"/>
    <m/>
  </r>
  <r>
    <n v="415"/>
    <x v="56"/>
    <s v="Mohamed El Sawah"/>
    <x v="1"/>
    <s v="QC"/>
    <x v="0"/>
    <x v="2"/>
    <x v="5"/>
    <s v="During site inspection, CPY noticed that one of the shields that used to block sparks while welding or grinding activities is damaged and needs to be fixed."/>
    <x v="0"/>
    <s v="I notified PTJ safety officer and he took the necessary action."/>
    <m/>
    <m/>
    <m/>
    <m/>
    <s v="Invalid"/>
    <x v="0"/>
    <m/>
  </r>
  <r>
    <n v="416"/>
    <x v="56"/>
    <s v="Mohamed El Sawah"/>
    <x v="1"/>
    <s v="QC"/>
    <x v="0"/>
    <x v="2"/>
    <x v="5"/>
    <s v="During site inspection, CPY noticed that the semi-automatic oxyfuel cutting machine was putted on the top of the gas cylinder."/>
    <x v="0"/>
    <s v="I notified PTJ safety officer and he took the necessary action."/>
    <m/>
    <m/>
    <m/>
    <m/>
    <s v="Invalid"/>
    <x v="0"/>
    <m/>
  </r>
  <r>
    <n v="417"/>
    <x v="53"/>
    <s v="Lance Pretorius"/>
    <x v="1"/>
    <s v="HSE "/>
    <x v="2"/>
    <x v="1"/>
    <x v="1"/>
    <s v="Good progress being made on scaffolding handrails being fitted onto Mudmatsections around site"/>
    <x v="5"/>
    <m/>
    <m/>
    <m/>
    <m/>
    <m/>
    <s v="Invalid"/>
    <x v="1"/>
    <m/>
  </r>
  <r>
    <n v="418"/>
    <x v="53"/>
    <s v="Lance Pretorius"/>
    <x v="1"/>
    <s v="HSE "/>
    <x v="2"/>
    <x v="0"/>
    <x v="4"/>
    <s v="Good progress being made on the installation of sharp edge protections and sanger tape for unsafe identifications"/>
    <x v="5"/>
    <m/>
    <m/>
    <m/>
    <m/>
    <m/>
    <s v="Invalid"/>
    <x v="1"/>
    <m/>
  </r>
  <r>
    <n v="419"/>
    <x v="53"/>
    <s v="Lance Pretorius"/>
    <x v="1"/>
    <s v="HSE "/>
    <x v="1"/>
    <x v="0"/>
    <x v="16"/>
    <s v="Excessive number of workforce/HSE/Supervision observes on mobile phones Whilst within activity areas."/>
    <x v="1"/>
    <s v="Interacted with the area HSE Teams and Fab Supervision to ensure mobile phones are used to minimum at all times."/>
    <m/>
    <m/>
    <m/>
    <m/>
    <s v="Invalid"/>
    <x v="0"/>
    <m/>
  </r>
  <r>
    <n v="420"/>
    <x v="57"/>
    <s v="Lance Pretorius"/>
    <x v="1"/>
    <s v="HSE "/>
    <x v="0"/>
    <x v="5"/>
    <x v="2"/>
    <s v="There is still an abundance of workforce wearing dark safety glasses inside the Workshop Areas"/>
    <x v="0"/>
    <s v="Tutored the personnel on the correct wearing of PPE inside workshops ,  Interacted with the area PTJ HSE to ensure PPE requirements are fully adhered to at all times"/>
    <m/>
    <m/>
    <m/>
    <m/>
    <s v="Invalid"/>
    <x v="0"/>
    <m/>
  </r>
  <r>
    <n v="421"/>
    <x v="53"/>
    <s v="Lance Pretorius"/>
    <x v="1"/>
    <s v="HSE "/>
    <x v="0"/>
    <x v="0"/>
    <x v="3"/>
    <s v="Excessive number of cables observed in one area – overloading of the cable scaffold cable bridge and extremely untidy at floor level."/>
    <x v="0"/>
    <s v="_x000a_Area HSE TFMC/PTJ/Fabrication Supervisor requested to ensure immediate cleaning and cable management of the affected area"/>
    <m/>
    <m/>
    <m/>
    <m/>
    <s v="Invalid"/>
    <x v="0"/>
    <m/>
  </r>
  <r>
    <n v="422"/>
    <x v="52"/>
    <s v="Mohamed Farouk Elbeshlawy"/>
    <x v="1"/>
    <s v="QC"/>
    <x v="0"/>
    <x v="2"/>
    <x v="10"/>
    <s v="TFMC QC and HSE not attended TBT at last two days 1,2-3-2025."/>
    <x v="0"/>
    <s v="Contacted with them and advised to attend TBT next time."/>
    <m/>
    <m/>
    <m/>
    <m/>
    <s v="Invalid"/>
    <x v="0"/>
    <m/>
  </r>
  <r>
    <n v="423"/>
    <x v="50"/>
    <s v="Mohamed Nasr "/>
    <x v="1"/>
    <s v="HSE "/>
    <x v="0"/>
    <x v="2"/>
    <x v="8"/>
    <s v="During inspection it was observed that webbing sling with signs of abrasion and serial number tag cut so we can’t check its certificate."/>
    <x v="2"/>
    <s v="Informed TFMC and had PTJ HSE removed from site."/>
    <s v="All lifting devises shall be inspected and certified by component person."/>
    <s v="Medium"/>
    <s v="High"/>
    <s v="TFMC HSE"/>
    <d v="2025-03-02T00:00:00"/>
    <x v="0"/>
    <m/>
  </r>
  <r>
    <n v="424"/>
    <x v="50"/>
    <s v="Mohamed Nasr "/>
    <x v="1"/>
    <s v="HSE "/>
    <x v="0"/>
    <x v="2"/>
    <x v="5"/>
    <s v="During inspection it was observed the welder welding while gas hose for heating is under him and gas cylinder is pressurized."/>
    <x v="0"/>
    <s v="Stopped the welder and asked him to put the hose on the cylinder and release pressure and shifted away."/>
    <m/>
    <m/>
    <m/>
    <m/>
    <s v="Invalid"/>
    <x v="0"/>
    <m/>
  </r>
  <r>
    <n v="425"/>
    <x v="0"/>
    <s v="Mohamed Nasr "/>
    <x v="1"/>
    <s v="HSE "/>
    <x v="0"/>
    <x v="4"/>
    <x v="10"/>
    <s v="it was observed lifting a piece of mud-mat steel structure to_x000a_welded on frame without PTW._x000a_Moreover, while inspection of webbing sling it was found defected and no safety pins on shackles."/>
    <x v="0"/>
    <s v="Immediately the operation was stopped, advised TFMC to have PTJ open lifting PTW with all attachment crane certificate, lifting gear certificates, lifting RA, etc."/>
    <s v="PTW for any lifting operation should be opened before starting._x000a_All related documentation to be attached to PTW, (RA, lifting gear_x000a_certificate, crane certificate."/>
    <s v="Medium"/>
    <s v="High"/>
    <s v="TFMC HSE"/>
    <d v="2025-01-06T00:00:00"/>
    <x v="0"/>
    <m/>
  </r>
  <r>
    <n v="426"/>
    <x v="0"/>
    <s v="Mohamed Nasr "/>
    <x v="1"/>
    <s v="HSE "/>
    <x v="0"/>
    <x v="8"/>
    <x v="3"/>
    <s v="it was observed that WS require serios housekeeping and still_x000a_no housekeeper during the shift,"/>
    <x v="2"/>
    <s v="Advised TFMC to pass concern to dayshift and either PTJ provide one for the shift or handover the WS done."/>
    <s v="Housekeeping to be carried out frequently. PTJ should provide housekeeper during night shift."/>
    <s v="Medium"/>
    <s v="Medium"/>
    <s v="TFMC HSE"/>
    <d v="2025-01-10T00:00:00"/>
    <x v="0"/>
    <m/>
  </r>
  <r>
    <n v="427"/>
    <x v="58"/>
    <s v="Gamal Abdelgawad"/>
    <x v="1"/>
    <s v="Fabrication"/>
    <x v="0"/>
    <x v="0"/>
    <x v="8"/>
    <s v="CPY observed several pieces of unit weights being manufactured on site. Pieces_x000a_of scrap metal is being placed within the drums. Thereafter welded shut and_x000a_without determining the weight or showing any base design report."/>
    <x v="2"/>
    <s v="CPY approached TFMC / PTJ HSE, to take an immediate action to ensure that all safety requirements are in place to prevent such a risk."/>
    <s v="CPY recommended to ensure that items which are subject to lifted to be fullyinspected and released based on official design report and QC report."/>
    <s v="Medium"/>
    <s v="Medium"/>
    <s v="TFMC HSE"/>
    <d v="2025-03-10T00:00:00"/>
    <x v="0"/>
    <m/>
  </r>
  <r>
    <n v="428"/>
    <x v="59"/>
    <s v="Gamal Abdelgawad"/>
    <x v="1"/>
    <s v="Fabrication"/>
    <x v="0"/>
    <x v="8"/>
    <x v="2"/>
    <s v="Lack of wearing basic / mandatory PPE safety burning goggles, while using flame cutting machine."/>
    <x v="2"/>
    <s v="Discussed the point in person with the team, then informed PTJ/ TFMC HSE, to provide a basic / mandatory PPE to the team."/>
    <s v="CPY recommended to reiterate this topic during the TBT to encourage the newteam for wearing proper PPE inside workshop."/>
    <s v="Medium"/>
    <s v="Medium"/>
    <s v="TFMC HSE"/>
    <d v="2025-03-11T00:00:00"/>
    <x v="0"/>
    <m/>
  </r>
  <r>
    <n v="429"/>
    <x v="60"/>
    <s v="Gamal Abdelgawad"/>
    <x v="1"/>
    <s v="Fabrication"/>
    <x v="0"/>
    <x v="9"/>
    <x v="3"/>
    <s v="CPY observed that several cables were found on the ground without any arrangement / cable management through cable management platform."/>
    <x v="2"/>
    <s v="Informed PTJ / TFMC HSE, to postpone the activities, to do all necessary for proper housekeeping all over the cable arrangement / cable management through cable management platform."/>
    <s v="Ensure that all crew who involved in the activities inside this area are fully aware and acknowledge that housekeeping is a daily routine activity to be done by end of each shift."/>
    <s v="Medium"/>
    <s v="Low"/>
    <s v="TFMC HSE"/>
    <d v="2025-03-20T00:00:00"/>
    <x v="0"/>
    <m/>
  </r>
  <r>
    <n v="430"/>
    <x v="59"/>
    <s v="Mohamed Farouk Elbeshlawy"/>
    <x v="1"/>
    <s v="QC "/>
    <x v="1"/>
    <x v="2"/>
    <x v="4"/>
    <s v="Two welders one standing on piece of steel and one on painting can."/>
    <x v="0"/>
    <s v="I informed the welders to come down and bring scaffolding step to stand on and tried to explain that their position and using chairs or cans is unsafe."/>
    <s v="Always use scaffolding steps or ask scaffolders to erect one."/>
    <s v="Medium"/>
    <s v="Medium"/>
    <s v="PTJ"/>
    <d v="2025-03-11T00:00:00"/>
    <x v="0"/>
    <m/>
  </r>
  <r>
    <n v="431"/>
    <x v="58"/>
    <s v="Ehab Ibrahim Hassan"/>
    <x v="1"/>
    <s v="Coating Inspector"/>
    <x v="1"/>
    <x v="6"/>
    <x v="2"/>
    <s v="While witnessing blasting operations, it was noticed that some technicians did not wear earplugs in the blasting yard."/>
    <x v="0"/>
    <s v="Advised them to always use the earplugs during blasting process./Subject to be highlighted during the weekly TBT."/>
    <m/>
    <m/>
    <m/>
    <m/>
    <s v="Invalid"/>
    <x v="0"/>
    <m/>
  </r>
  <r>
    <n v="432"/>
    <x v="59"/>
    <s v="Ehab Ibrahim Hassan"/>
    <x v="1"/>
    <s v="Coating Inspector"/>
    <x v="1"/>
    <x v="6"/>
    <x v="2"/>
    <s v="While painting steel structure with brushes for strip coat, it was noticed that some technician was doing the job without wearing the chemical mask."/>
    <x v="0"/>
    <s v="Advised him to use chemical mask during painting process to protect his lungs from inhaling any VOC(volatile organic compound)/Subject to be highlighted during the weekly TBT."/>
    <m/>
    <m/>
    <m/>
    <m/>
    <s v="Invalid"/>
    <x v="0"/>
    <m/>
  </r>
  <r>
    <n v="433"/>
    <x v="59"/>
    <s v="Ehab Ibrahim Hassan"/>
    <x v="1"/>
    <s v="Coating Inspector"/>
    <x v="1"/>
    <x v="6"/>
    <x v="2"/>
    <s v="During mechanical repairs for steel structure after blasting, it was noticed that some technician was using the grinding machine without gloves."/>
    <x v="0"/>
    <s v=".Advised him to use proper gloves to avoid any injury to his hands."/>
    <m/>
    <m/>
    <m/>
    <m/>
    <s v="Invalid"/>
    <x v="0"/>
    <m/>
  </r>
  <r>
    <n v="434"/>
    <x v="52"/>
    <s v="Mohamed Nasr"/>
    <x v="1"/>
    <s v="HSE "/>
    <x v="0"/>
    <x v="0"/>
    <x v="0"/>
    <s v="During inspection before starting shift while equipment’s inspection it was observed damaged welding cable."/>
    <x v="0"/>
    <s v="Advised area supervisor to have the electrician fix it before using."/>
    <m/>
    <m/>
    <m/>
    <m/>
    <s v="Invalid"/>
    <x v="0"/>
    <m/>
  </r>
  <r>
    <n v="435"/>
    <x v="52"/>
    <s v="Mohamed Nasr"/>
    <x v="1"/>
    <s v="HSE "/>
    <x v="1"/>
    <x v="9"/>
    <x v="1"/>
    <s v="During inspection it was observed that workers are working on mud-mat frame, there steel structure under them but if they stand on beam at edge they might fall."/>
    <x v="0"/>
    <s v="Advised PTJ scaffolder to put hand rail to ensure worker are more secured."/>
    <m/>
    <m/>
    <m/>
    <m/>
    <s v="Invalid"/>
    <x v="0"/>
    <m/>
  </r>
  <r>
    <n v="436"/>
    <x v="58"/>
    <s v="Mohamed Nasr"/>
    <x v="1"/>
    <s v="HSE "/>
    <x v="2"/>
    <x v="5"/>
    <x v="3"/>
    <s v="Good cable management after night shift ended."/>
    <x v="5"/>
    <s v="Thanked the worker for job well done._x000a_Enforced the continuity these positive actions."/>
    <m/>
    <m/>
    <m/>
    <m/>
    <s v="Invalid"/>
    <x v="1"/>
    <m/>
  </r>
  <r>
    <n v="437"/>
    <x v="59"/>
    <s v="Mohamed Nasr"/>
    <x v="1"/>
    <s v="HSE "/>
    <x v="0"/>
    <x v="5"/>
    <x v="2"/>
    <s v="During inspection it was observed that PTJ worker with worn up safety boats, some works didn’t have ear plugs and welders with worn up gloves."/>
    <x v="2"/>
    <s v="Advise TFMC HSE to tack action and inform PTJ HSE this concern must be close_x000a_ASAP, the welder with worn safety boats left WS, welder gloves changed."/>
    <m/>
    <m/>
    <m/>
    <m/>
    <s v="Invalid"/>
    <x v="0"/>
    <m/>
  </r>
  <r>
    <n v="438"/>
    <x v="59"/>
    <s v="Mohamed Nasr"/>
    <x v="1"/>
    <s v="HSE "/>
    <x v="0"/>
    <x v="4"/>
    <x v="1"/>
    <s v="During inspection it was observed welders working on the mud-mat frame after fitting without any handrails."/>
    <x v="0"/>
    <s v="Stopped the welder and asked them to come down until scaffolders come and erect handrail to them."/>
    <m/>
    <m/>
    <m/>
    <m/>
    <s v="Invalid"/>
    <x v="0"/>
    <m/>
  </r>
  <r>
    <n v="439"/>
    <x v="60"/>
    <s v="Mohamed Nasr"/>
    <x v="1"/>
    <s v="HSE "/>
    <x v="0"/>
    <x v="0"/>
    <x v="3"/>
    <s v="During inspection it was observed that housekeeping required in some areas in WS"/>
    <x v="2"/>
    <s v="Informed PTJ QC Eng. To take action. Informed TFMC to Follow up."/>
    <m/>
    <m/>
    <m/>
    <m/>
    <s v="Invalid"/>
    <x v="0"/>
    <m/>
  </r>
  <r>
    <n v="440"/>
    <x v="54"/>
    <s v="Mohamed Nasr"/>
    <x v="1"/>
    <s v="HSE "/>
    <x v="0"/>
    <x v="2"/>
    <x v="0"/>
    <s v="During inspection before starting shift while equipment’s inspection two gas_x000a_cylinders was leaking from the control valve."/>
    <x v="2"/>
    <s v="Informed PTJ area supervisors to remove this cylinder and bring another one"/>
    <m/>
    <m/>
    <m/>
    <m/>
    <s v="Invalid"/>
    <x v="0"/>
    <m/>
  </r>
  <r>
    <n v="441"/>
    <x v="59"/>
    <s v="Lance Pretorius"/>
    <x v="1"/>
    <s v="HSE "/>
    <x v="2"/>
    <x v="6"/>
    <x v="10"/>
    <s v="A good presence of safety information signs posted at the entry to the Open Area used for Blasting &amp; Painting"/>
    <x v="5"/>
    <s v="Commended the PTJ HSE Team on good safety sign practices"/>
    <m/>
    <m/>
    <m/>
    <m/>
    <s v="Invalid"/>
    <x v="1"/>
    <m/>
  </r>
  <r>
    <n v="442"/>
    <x v="54"/>
    <s v="Reda Zaghloul"/>
    <x v="1"/>
    <s v="QC "/>
    <x v="0"/>
    <x v="0"/>
    <x v="3"/>
    <s v="Poor housekeeping was observed in workshop 1"/>
    <x v="2"/>
    <s v="I highlighted the issue to area HSE."/>
    <m/>
    <m/>
    <m/>
    <m/>
    <m/>
    <x v="0"/>
    <m/>
  </r>
  <r>
    <n v="443"/>
    <x v="54"/>
    <s v="Reda Zaghloul"/>
    <x v="1"/>
    <s v="QC "/>
    <x v="0"/>
    <x v="0"/>
    <x v="3"/>
    <s v="Poor cables management was observed in workshop 1"/>
    <x v="2"/>
    <s v="I highlighted the issue to area HSE."/>
    <m/>
    <m/>
    <m/>
    <m/>
    <m/>
    <x v="0"/>
    <m/>
  </r>
  <r>
    <n v="444"/>
    <x v="60"/>
    <s v="Lance Pretorius"/>
    <x v="1"/>
    <s v="HSE "/>
    <x v="1"/>
    <x v="0"/>
    <x v="2"/>
    <s v="A worker was observed working without safety glasses and using a piece of offcut steel as a hammering tool to remove welding slag"/>
    <x v="2"/>
    <s v="Requested TFMC/PTJ HSE to ensure immediate controls regarding correct use of PPE and ensure stronger controls over the use of homemade tols"/>
    <s v="It was requested to TFMC/PTJ HSE that the worker is to attend a re-induction to ensure improved knowledge on the project HSE requirements"/>
    <s v="Medium"/>
    <s v="Medium"/>
    <s v="TFMC HSE"/>
    <d v="2025-03-12T00:00:00"/>
    <x v="0"/>
    <m/>
  </r>
  <r>
    <n v="445"/>
    <x v="59"/>
    <s v="Lance Pretorius"/>
    <x v="1"/>
    <s v="HSE "/>
    <x v="0"/>
    <x v="7"/>
    <x v="4"/>
    <s v="A HD steel work bench was incorrectly positioned into a safe walkway creating a blocked scenario"/>
    <x v="2"/>
    <s v="Requested PTJ HSE to ensure the workbench was moved out of the walkway bt almost 2m"/>
    <m/>
    <m/>
    <m/>
    <m/>
    <s v="Invalid"/>
    <x v="0"/>
    <m/>
  </r>
  <r>
    <n v="446"/>
    <x v="60"/>
    <s v="Lance Pretorius"/>
    <x v="1"/>
    <s v="HSE "/>
    <x v="0"/>
    <x v="7"/>
    <x v="3"/>
    <s v="Excessive waste observed outside the office directly in front of Warehouse #2"/>
    <x v="2"/>
    <s v="Requested TFMC HSE to ensure the excess waste was removed immediately – excessive waste removed immediately"/>
    <m/>
    <m/>
    <m/>
    <m/>
    <s v="Invalid"/>
    <x v="0"/>
    <m/>
  </r>
  <r>
    <n v="447"/>
    <x v="54"/>
    <s v="Mohamed Kamal"/>
    <x v="1"/>
    <s v="QC"/>
    <x v="1"/>
    <x v="1"/>
    <x v="1"/>
    <s v="During a site inspection in outside fabrication area #1, I observed one welder standing on unstable small iron chair during the welding process."/>
    <x v="0"/>
    <s v="Instantly, I took the corrective action by stopping the welder and informing him that it is unsafe to use small iron chair to stand on during his work. The welder confirmed and changed the chair with suitable scaffolding"/>
    <m/>
    <s v="Medium"/>
    <s v="High"/>
    <s v="PTJ HSE"/>
    <d v="2025-03-09T00:00:00"/>
    <x v="0"/>
    <m/>
  </r>
  <r>
    <n v="448"/>
    <x v="55"/>
    <s v="Mohamed Kamal"/>
    <x v="1"/>
    <s v="QC"/>
    <x v="0"/>
    <x v="13"/>
    <x v="3"/>
    <s v="During a site inspection of WH#1, which is Dedicated to ATV valves storage, I noticed a significant amount of sand inside the warehouse."/>
    <x v="2"/>
    <m/>
    <m/>
    <m/>
    <m/>
    <m/>
    <s v="Invalid"/>
    <x v="0"/>
    <m/>
  </r>
  <r>
    <n v="449"/>
    <x v="56"/>
    <s v="Chris Eaton"/>
    <x v="1"/>
    <s v="QC"/>
    <x v="1"/>
    <x v="0"/>
    <x v="2"/>
    <s v="During visit to workshop 1 PTJ fitter found not using minimum light eye protection whilst sitting in between structures on his phone whilst workers are performing hot works around him."/>
    <x v="0"/>
    <s v="Stopped the fitter and requested that he put his phone away and put on his light eye protection. possession."/>
    <m/>
    <m/>
    <m/>
    <m/>
    <s v="Invalid"/>
    <x v="0"/>
    <m/>
  </r>
  <r>
    <n v="450"/>
    <x v="54"/>
    <s v="Chris Eaton"/>
    <x v="1"/>
    <s v="QC"/>
    <x v="1"/>
    <x v="0"/>
    <x v="2"/>
    <s v="During visit to workshop 1 PTJ worker found not using minimum light eye protection whilst in conversation to his supervisor."/>
    <x v="0"/>
    <s v="Stopped the supervisor and requested he talk with the fitter."/>
    <m/>
    <m/>
    <m/>
    <m/>
    <s v="Invalid"/>
    <x v="0"/>
    <m/>
  </r>
  <r>
    <n v="451"/>
    <x v="61"/>
    <s v="Abdelhady Ghalwash"/>
    <x v="2"/>
    <s v="HSE "/>
    <x v="0"/>
    <x v="0"/>
    <x v="0"/>
    <s v="A gas cylinder leak has been observed at workshop 1"/>
    <x v="1"/>
    <s v="The gas cylinder valve has been closed and the gas cylinder has been removed _x000a_from the workshop"/>
    <m/>
    <m/>
    <m/>
    <m/>
    <s v="Invalid"/>
    <x v="0"/>
    <m/>
  </r>
  <r>
    <n v="452"/>
    <x v="61"/>
    <s v="Abdelhady Ghalwash"/>
    <x v="2"/>
    <s v="HSE "/>
    <x v="0"/>
    <x v="8"/>
    <x v="3"/>
    <s v="It has been observed poor housekeeping at workshop 4 "/>
    <x v="1"/>
    <s v="The workshop supervisor and safety supervisor has been contacted to provide a _x000a_group of housekeepers at the night shift"/>
    <m/>
    <m/>
    <m/>
    <m/>
    <s v="Invalid"/>
    <x v="0"/>
    <m/>
  </r>
  <r>
    <n v="453"/>
    <x v="52"/>
    <s v="Abdelhady Ghalwash"/>
    <x v="2"/>
    <s v="HSE "/>
    <x v="0"/>
    <x v="0"/>
    <x v="0"/>
    <s v="It has been observed damaged cables "/>
    <x v="1"/>
    <s v="The electrician supervisor has been contacted to fix the damaged cables. _x000a_the power angle grinders with damaged cables were excluded until the cables were fixed. "/>
    <m/>
    <m/>
    <m/>
    <m/>
    <s v="Invalid"/>
    <x v="0"/>
    <m/>
  </r>
  <r>
    <n v="454"/>
    <x v="52"/>
    <s v="Abdelhady Ghalwash"/>
    <x v="2"/>
    <s v="HSE "/>
    <x v="0"/>
    <x v="0"/>
    <x v="13"/>
    <s v="It has been observed the emergency numbers list is not updated"/>
    <x v="1"/>
    <s v="The safety supervisor has been contacted to update the Emergency numbers _x000a_list"/>
    <m/>
    <m/>
    <m/>
    <m/>
    <s v="Invalid"/>
    <x v="0"/>
    <m/>
  </r>
  <r>
    <n v="455"/>
    <x v="52"/>
    <s v="Abdelhady Ghalwash"/>
    <x v="2"/>
    <s v="HSE "/>
    <x v="0"/>
    <x v="0"/>
    <x v="4"/>
    <s v="It has been observed bad storage a welding machine in a main access"/>
    <x v="1"/>
    <s v="The work has been stopped until relocated the welding machine and _x000a_arrangement the cables"/>
    <m/>
    <m/>
    <m/>
    <m/>
    <s v="Invalid"/>
    <x v="0"/>
    <m/>
  </r>
  <r>
    <n v="456"/>
    <x v="52"/>
    <s v="Abdelhady Ghalwash"/>
    <x v="2"/>
    <s v="HSE "/>
    <x v="1"/>
    <x v="0"/>
    <x v="1"/>
    <s v="It has been observed a group of workers are working at height without any fall _x000a_protections"/>
    <x v="1"/>
    <s v="The work has been stopped until erecting a handrail"/>
    <m/>
    <m/>
    <m/>
    <m/>
    <s v="Invalid"/>
    <x v="0"/>
    <m/>
  </r>
  <r>
    <n v="457"/>
    <x v="59"/>
    <s v="Abdelhady Ghalwash"/>
    <x v="2"/>
    <s v="HSE "/>
    <x v="0"/>
    <x v="4"/>
    <x v="0"/>
    <s v="It has been observed a damage in electrical cable for a power angle grinder"/>
    <x v="1"/>
    <s v="it has been excluded from the workshop until it is fixed"/>
    <m/>
    <m/>
    <m/>
    <m/>
    <s v="Invalid"/>
    <x v="0"/>
    <m/>
  </r>
  <r>
    <n v="458"/>
    <x v="59"/>
    <s v="Abdelhady Ghalwash"/>
    <x v="2"/>
    <s v="HSE "/>
    <x v="0"/>
    <x v="4"/>
    <x v="2"/>
    <s v="It has been observed some workers are wearing damaged PPE’s"/>
    <x v="1"/>
    <s v="The safety supervisor has provided gloves, ear plug and clear glasses. _x000a_But there is no safety shoes in the stock"/>
    <m/>
    <m/>
    <m/>
    <m/>
    <s v="Invalid"/>
    <x v="0"/>
    <m/>
  </r>
  <r>
    <n v="459"/>
    <x v="59"/>
    <s v="Abdelhady Ghalwash"/>
    <x v="2"/>
    <s v="HSE "/>
    <x v="1"/>
    <x v="4"/>
    <x v="1"/>
    <s v="It has been observed a group of workers are working at height without any fall _x000a_protections"/>
    <x v="1"/>
    <s v="The work has been stopped until erecting a handrail "/>
    <m/>
    <m/>
    <m/>
    <m/>
    <s v="Invalid"/>
    <x v="0"/>
    <m/>
  </r>
  <r>
    <n v="460"/>
    <x v="61"/>
    <s v="Mahmoud Samir"/>
    <x v="2"/>
    <s v="HSE "/>
    <x v="0"/>
    <x v="7"/>
    <x v="3"/>
    <s v="It has been observed closed access ways inside fabrication workshop area 1 due to bad cable management"/>
    <x v="1"/>
    <s v="I was contacted with HSE ptj and SV construction for made housekeeping and rearrangement cables_x000a_More supervision from supervisor and HSE PTJ"/>
    <m/>
    <m/>
    <m/>
    <m/>
    <s v="Invalid"/>
    <x v="0"/>
    <m/>
  </r>
  <r>
    <n v="461"/>
    <x v="52"/>
    <s v="Mahmoud Samir"/>
    <x v="2"/>
    <s v="HSE "/>
    <x v="1"/>
    <x v="4"/>
    <x v="5"/>
    <s v="It has been observed different color-codes in the same basket for gas cylinders "/>
    <x v="1"/>
    <s v="I’m informed the fabrication SV and HSE PTJ to take immediate action"/>
    <m/>
    <m/>
    <m/>
    <m/>
    <s v="Invalid"/>
    <x v="0"/>
    <m/>
  </r>
  <r>
    <n v="462"/>
    <x v="52"/>
    <s v="Mahmoud Samir"/>
    <x v="2"/>
    <s v="HSE "/>
    <x v="0"/>
    <x v="3"/>
    <x v="1"/>
    <s v="It has been observed opening on work platform during fabrication activities, _x000a_that maybe cause dropped objects or fall from high"/>
    <x v="1"/>
    <s v="I’m inform fabrication responsible supervisor PTJ to take immediate action close _x000a_the opens and check site condition"/>
    <m/>
    <m/>
    <m/>
    <m/>
    <s v="Invalid"/>
    <x v="0"/>
    <m/>
  </r>
  <r>
    <n v="463"/>
    <x v="59"/>
    <s v="Mahmoud Samir"/>
    <x v="2"/>
    <s v="HSE "/>
    <x v="0"/>
    <x v="8"/>
    <x v="5"/>
    <s v="It has been observed unsafe storage gas cylinders without caps and secure strap"/>
    <x v="1"/>
    <s v="Inform construction SV and HSE PTJ to more supervision and take immediate _x000a_action with anyone repeat that behaviour"/>
    <m/>
    <m/>
    <m/>
    <m/>
    <s v="Invalid"/>
    <x v="0"/>
    <m/>
  </r>
  <r>
    <n v="464"/>
    <x v="60"/>
    <s v="Mahmoud Samir"/>
    <x v="2"/>
    <s v="HSE "/>
    <x v="0"/>
    <x v="0"/>
    <x v="1"/>
    <s v="It has been observed grinding activities using platform not fixed"/>
    <x v="1"/>
    <s v="I suspended the grinding activity and contact with Fabrication SV and HSE ptj to _x000a_take corrective action"/>
    <m/>
    <m/>
    <m/>
    <m/>
    <s v="Invalid"/>
    <x v="0"/>
    <m/>
  </r>
  <r>
    <n v="465"/>
    <x v="54"/>
    <s v="Mahmoud Samir"/>
    <x v="2"/>
    <s v="HSE "/>
    <x v="0"/>
    <x v="0"/>
    <x v="0"/>
    <s v="It has been observed electric panel checklist putted on energy sources place _x000a_behind electric panel mirrors"/>
    <x v="1"/>
    <s v="I’m contacted immediately with electric responsible supervisor to change place checklist from inside and make sure the electric panels status"/>
    <m/>
    <m/>
    <m/>
    <m/>
    <s v="Invalid"/>
    <x v="0"/>
    <m/>
  </r>
  <r>
    <n v="466"/>
    <x v="55"/>
    <s v="Mahmoud Samir"/>
    <x v="2"/>
    <s v="HSE "/>
    <x v="2"/>
    <x v="0"/>
    <x v="4"/>
    <s v="It has been observed protect sharp edges at workshop  by plastic cover putted _x000a_on Sharp edges"/>
    <x v="5"/>
    <m/>
    <m/>
    <m/>
    <m/>
    <m/>
    <s v="Invalid"/>
    <x v="1"/>
    <m/>
  </r>
  <r>
    <n v="467"/>
    <x v="61"/>
    <s v="Mahmoud Nasr"/>
    <x v="2"/>
    <s v="HSE "/>
    <x v="0"/>
    <x v="4"/>
    <x v="8"/>
    <s v="I have observed defected webbing sling and shackles without safety pin "/>
    <x v="1"/>
    <s v="I inform the supervisor to replace it and provide safety pin"/>
    <m/>
    <m/>
    <m/>
    <m/>
    <s v="Invalid"/>
    <x v="0"/>
    <m/>
  </r>
  <r>
    <n v="468"/>
    <x v="61"/>
    <s v="Mahmoud Nasr"/>
    <x v="2"/>
    <s v="HSE "/>
    <x v="1"/>
    <x v="4"/>
    <x v="8"/>
    <s v="I have observed lifting activity without permit"/>
    <x v="1"/>
    <s v="I stop the work and inform the PTJ HSE and the responsible engineer for night shift because this miss communication to inform the HSE department about all the activities at the night shift  also this consider breaking the life saving rules"/>
    <m/>
    <m/>
    <m/>
    <m/>
    <s v="Invalid"/>
    <x v="0"/>
    <m/>
  </r>
  <r>
    <n v="469"/>
    <x v="61"/>
    <s v="Mahmoud Nasr"/>
    <x v="2"/>
    <s v="HSE "/>
    <x v="0"/>
    <x v="2"/>
    <x v="5"/>
    <s v="I have observed defected welding pliers  "/>
    <x v="1"/>
    <s v="I inform the HSE to take it out from the workshop and the supervisor replace it immediately  "/>
    <m/>
    <m/>
    <m/>
    <m/>
    <s v="Invalid"/>
    <x v="0"/>
    <m/>
  </r>
  <r>
    <n v="470"/>
    <x v="61"/>
    <s v="Mahmoud Nasr"/>
    <x v="2"/>
    <s v="HSE "/>
    <x v="0"/>
    <x v="2"/>
    <x v="5"/>
    <s v="I have observed crack on grinder disc   "/>
    <x v="1"/>
    <s v="I inform the supervisor to take it out of the grinder and put it on the scrab   "/>
    <m/>
    <m/>
    <m/>
    <m/>
    <s v="Invalid"/>
    <x v="0"/>
    <m/>
  </r>
  <r>
    <n v="471"/>
    <x v="61"/>
    <s v="Mahmoud Nasr"/>
    <x v="2"/>
    <s v="HSE "/>
    <x v="0"/>
    <x v="0"/>
    <x v="3"/>
    <s v="I have observed poor cable management   "/>
    <x v="1"/>
    <s v="I inform the supervisor to stop the work and rearrange the cables "/>
    <m/>
    <m/>
    <m/>
    <m/>
    <s v="Invalid"/>
    <x v="0"/>
    <m/>
  </r>
  <r>
    <n v="472"/>
    <x v="61"/>
    <s v="Mahmoud Nasr"/>
    <x v="2"/>
    <s v="HSE "/>
    <x v="0"/>
    <x v="0"/>
    <x v="8"/>
    <s v="I have observed defected webbing sling also the serial number not clear "/>
    <x v="1"/>
    <s v="I inform the supervisor to take it out the workshop  "/>
    <m/>
    <m/>
    <m/>
    <m/>
    <s v="Invalid"/>
    <x v="0"/>
    <m/>
  </r>
  <r>
    <n v="473"/>
    <x v="61"/>
    <s v="Mahmoud Nasr"/>
    <x v="2"/>
    <s v="HSE "/>
    <x v="0"/>
    <x v="0"/>
    <x v="5"/>
    <s v="I have observed defected hose for gas cylinder   "/>
    <x v="1"/>
    <s v="I inform the supervisor to take this cylinder out until change the hose "/>
    <m/>
    <m/>
    <m/>
    <m/>
    <s v="Invalid"/>
    <x v="0"/>
    <m/>
  </r>
  <r>
    <n v="474"/>
    <x v="52"/>
    <s v="Mahmoud Nasr"/>
    <x v="2"/>
    <s v="HSE "/>
    <x v="1"/>
    <x v="2"/>
    <x v="5"/>
    <s v="I have observed while heating work there are grinder and cable near to work also exposed to heat   _x000a_"/>
    <x v="1"/>
    <s v="I inform the supervisor to take this out and continue the work"/>
    <m/>
    <m/>
    <m/>
    <m/>
    <s v="Invalid"/>
    <x v="0"/>
    <m/>
  </r>
  <r>
    <n v="475"/>
    <x v="52"/>
    <s v="Mahmoud Nasr"/>
    <x v="2"/>
    <s v="HSE "/>
    <x v="0"/>
    <x v="0"/>
    <x v="5"/>
    <s v="I have observed defected earthing for welding that make damage for another cables "/>
    <x v="1"/>
    <s v="I inform the supervisor to replace all this earthing and change the defected cables "/>
    <m/>
    <m/>
    <m/>
    <m/>
    <s v="Invalid"/>
    <x v="0"/>
    <m/>
  </r>
  <r>
    <n v="476"/>
    <x v="52"/>
    <s v="Mahmoud Nasr"/>
    <x v="2"/>
    <s v="HSE "/>
    <x v="0"/>
    <x v="2"/>
    <x v="8"/>
    <s v="I have observed expired certification for lifting tools and telescopic crane   "/>
    <x v="2"/>
    <s v="I inform PTJ HSE to provide new certificate   "/>
    <m/>
    <m/>
    <m/>
    <m/>
    <s v="Invalid"/>
    <x v="0"/>
    <m/>
  </r>
  <r>
    <n v="477"/>
    <x v="55"/>
    <s v="Mahmoud Nasr"/>
    <x v="2"/>
    <s v="HSE "/>
    <x v="0"/>
    <x v="4"/>
    <x v="8"/>
    <s v="I have observed lever hoist chain hook have defected safety latch also this hook refused because have welding point and without safety latch_x000a_must use sorting hook for this job"/>
    <x v="2"/>
    <s v="I inform the HSE PTJ to send it to maintenance"/>
    <m/>
    <m/>
    <m/>
    <m/>
    <s v="Invalid"/>
    <x v="0"/>
    <m/>
  </r>
  <r>
    <n v="478"/>
    <x v="55"/>
    <s v="Mahmoud Nasr"/>
    <x v="2"/>
    <s v="HSE "/>
    <x v="0"/>
    <x v="2"/>
    <x v="5"/>
    <s v="I have observed wood and paper around the wilder while he wilding .  "/>
    <x v="2"/>
    <s v="I inform the HSE PTJ to stop him and clean the area from anything can make fire"/>
    <m/>
    <m/>
    <m/>
    <m/>
    <s v="Invalid"/>
    <x v="0"/>
    <m/>
  </r>
  <r>
    <n v="479"/>
    <x v="55"/>
    <s v="Mahmoud Nasr"/>
    <x v="2"/>
    <s v="HSE "/>
    <x v="0"/>
    <x v="4"/>
    <x v="4"/>
    <s v="I have observed sharp edge from plate on the way of worker"/>
    <x v="2"/>
    <s v="I inform the PTJ HSE to put cone for warning around workers"/>
    <m/>
    <m/>
    <m/>
    <m/>
    <s v="Invalid"/>
    <x v="0"/>
    <m/>
  </r>
  <r>
    <n v="480"/>
    <x v="55"/>
    <s v="Mahmoud Nasr"/>
    <x v="2"/>
    <s v="HSE "/>
    <x v="1"/>
    <x v="2"/>
    <x v="5"/>
    <s v="I have observed welding activity close to gas cylinder"/>
    <x v="1"/>
    <s v="I inform stope the welder and he take it away with enough distance to safe work.   "/>
    <m/>
    <m/>
    <m/>
    <m/>
    <s v="Invalid"/>
    <x v="0"/>
    <m/>
  </r>
  <r>
    <n v="481"/>
    <x v="59"/>
    <s v="Mahmoud Nasr"/>
    <x v="2"/>
    <s v="HSE "/>
    <x v="1"/>
    <x v="0"/>
    <x v="5"/>
    <s v="I have observed two worker using the grinder on unsafe way "/>
    <x v="1"/>
    <s v="I stop them and give them warning letter."/>
    <m/>
    <m/>
    <m/>
    <m/>
    <s v="Invalid"/>
    <x v="0"/>
    <m/>
  </r>
  <r>
    <n v="482"/>
    <x v="57"/>
    <s v="Abdelhady Ghalwash"/>
    <x v="2"/>
    <s v="HSE "/>
    <x v="2"/>
    <x v="2"/>
    <x v="3"/>
    <s v="It has been observed good housekeeping, cables management and clear access _x000a_in workshop2"/>
    <x v="5"/>
    <m/>
    <m/>
    <m/>
    <m/>
    <m/>
    <s v="Invalid"/>
    <x v="1"/>
    <m/>
  </r>
  <r>
    <n v="483"/>
    <x v="57"/>
    <s v="Abdelhady Ghalwash"/>
    <x v="2"/>
    <s v="HSE "/>
    <x v="0"/>
    <x v="2"/>
    <x v="0"/>
    <s v="Three gas cylinders leak has been observed at workshop 1&amp;2 "/>
    <x v="1"/>
    <s v="The gas cylinders valves have been closed and the gas cylinders have been _x000a_removed from the workshop"/>
    <m/>
    <m/>
    <m/>
    <m/>
    <s v="Invalid"/>
    <x v="0"/>
    <m/>
  </r>
  <r>
    <n v="484"/>
    <x v="56"/>
    <s v="Mahmoud Nasr"/>
    <x v="2"/>
    <s v="HSE "/>
    <x v="0"/>
    <x v="0"/>
    <x v="5"/>
    <s v="I have observed defected cable for welding and cable for grinder.   _x000a_"/>
    <x v="1"/>
    <s v="I inform the welder to change this cable and the grender"/>
    <m/>
    <m/>
    <m/>
    <m/>
    <s v="Invalid"/>
    <x v="0"/>
    <m/>
  </r>
  <r>
    <n v="485"/>
    <x v="56"/>
    <s v="Mahmoud Nasr"/>
    <x v="2"/>
    <s v="HSE "/>
    <x v="0"/>
    <x v="0"/>
    <x v="0"/>
    <s v="I have observed the main cable for the electrical panel have cut part"/>
    <x v="1"/>
    <s v="I inform the electrical technician to change the cable."/>
    <m/>
    <m/>
    <m/>
    <m/>
    <s v="Invalid"/>
    <x v="0"/>
    <m/>
  </r>
  <r>
    <n v="486"/>
    <x v="56"/>
    <s v="Mahmoud Nasr"/>
    <x v="2"/>
    <s v="HSE "/>
    <x v="1"/>
    <x v="0"/>
    <x v="1"/>
    <s v="I have observed the wilder stand on high scaffolding level without step to go up or down on safe way"/>
    <x v="1"/>
    <s v="I inform the PTJ HSE to make step for the wilder to go up or down on safe way"/>
    <m/>
    <m/>
    <m/>
    <m/>
    <s v="Invalid"/>
    <x v="0"/>
    <m/>
  </r>
  <r>
    <n v="487"/>
    <x v="56"/>
    <s v="Mahmoud Nasr"/>
    <x v="2"/>
    <s v="HSE "/>
    <x v="1"/>
    <x v="0"/>
    <x v="5"/>
    <s v="I have observed a welder using defected cable for welding."/>
    <x v="1"/>
    <s v="I inform the worker to stop work and change this cable immediately."/>
    <m/>
    <m/>
    <m/>
    <m/>
    <s v="Invalid"/>
    <x v="0"/>
    <m/>
  </r>
  <r>
    <n v="488"/>
    <x v="56"/>
    <s v="Mahmoud Nasr"/>
    <x v="2"/>
    <s v="HSE "/>
    <x v="3"/>
    <x v="0"/>
    <x v="5"/>
    <s v="The wilder before start work ask me it is necessary to use screen at this area _x000a_I said yes _x000a_So he stop and provide screen and continue"/>
    <x v="5"/>
    <m/>
    <m/>
    <m/>
    <m/>
    <m/>
    <s v="Invalid"/>
    <x v="1"/>
    <m/>
  </r>
  <r>
    <n v="489"/>
    <x v="56"/>
    <s v="Mahmoud Nasr"/>
    <x v="2"/>
    <s v="HSE "/>
    <x v="0"/>
    <x v="0"/>
    <x v="5"/>
    <s v="I have observed flammable material near to hot activity."/>
    <x v="1"/>
    <s v="I stop the wilding immediately and inform the supervisor to take it to the specific place."/>
    <m/>
    <m/>
    <m/>
    <m/>
    <s v="Invalid"/>
    <x v="0"/>
    <m/>
  </r>
  <r>
    <n v="490"/>
    <x v="57"/>
    <s v="Mahmoud Nasr"/>
    <x v="2"/>
    <s v="HSE "/>
    <x v="1"/>
    <x v="0"/>
    <x v="1"/>
    <s v="I have observed using part of wood to increase the level for work position."/>
    <x v="1"/>
    <s v="I stop him and inform the PTJ HSE to bring the scaffolding team to put screw jack to increase the level of the scaffolding"/>
    <m/>
    <m/>
    <m/>
    <m/>
    <s v="Invalid"/>
    <x v="0"/>
    <m/>
  </r>
  <r>
    <n v="491"/>
    <x v="57"/>
    <s v="Mahmoud Nasr"/>
    <x v="2"/>
    <s v="HSE "/>
    <x v="1"/>
    <x v="1"/>
    <x v="14"/>
    <s v="I have observed the cranes moving without flag man"/>
    <x v="2"/>
    <s v="I stop them , PTJ HSE provide flag man immediately and also make warning paper for both crane operators"/>
    <m/>
    <m/>
    <m/>
    <m/>
    <s v="Invalid"/>
    <x v="0"/>
    <m/>
  </r>
  <r>
    <n v="492"/>
    <x v="57"/>
    <s v="Mahmoud Nasr"/>
    <x v="2"/>
    <s v="HSE "/>
    <x v="0"/>
    <x v="0"/>
    <x v="3"/>
    <s v="I have observed poor cable management and the electrical panel near to hot activities"/>
    <x v="1"/>
    <s v="I stop them and inform the supervisor to moving the electrical panel and managing the cables"/>
    <m/>
    <m/>
    <m/>
    <m/>
    <s v="Invalid"/>
    <x v="0"/>
    <m/>
  </r>
  <r>
    <n v="493"/>
    <x v="57"/>
    <s v="Mahmoud Nasr"/>
    <x v="2"/>
    <s v="HSE "/>
    <x v="0"/>
    <x v="7"/>
    <x v="5"/>
    <s v="I have observed using gas cylinder have defected hose"/>
    <x v="1"/>
    <s v="I inform the supervisor to fix this hose."/>
    <m/>
    <m/>
    <m/>
    <m/>
    <s v="Invalid"/>
    <x v="0"/>
    <m/>
  </r>
  <r>
    <n v="494"/>
    <x v="62"/>
    <s v="Mahmoud Nasr"/>
    <x v="2"/>
    <s v="HSE "/>
    <x v="0"/>
    <x v="4"/>
    <x v="1"/>
    <s v="I have observed using scaffolding on high level without safe barricade and access also open the screw jack more than allowed and this scaffolding close the access way for the ladder"/>
    <x v="1"/>
    <s v="I inform the supervisor to change this scaffolding also not allowed put chair or unstable parts on the top of the scaffolding and change the ladder position on clear area"/>
    <m/>
    <m/>
    <m/>
    <m/>
    <s v="Invalid"/>
    <x v="0"/>
    <m/>
  </r>
  <r>
    <n v="495"/>
    <x v="63"/>
    <s v="Mahmoud Nasr"/>
    <x v="2"/>
    <s v="HSE "/>
    <x v="1"/>
    <x v="9"/>
    <x v="17"/>
    <s v="I have observed the worker moving the gas cylinder without trolley."/>
    <x v="1"/>
    <s v="I inform the supervisor to provide trolly immediately and warning him this situation never repeat again"/>
    <m/>
    <m/>
    <m/>
    <m/>
    <s v="Invalid"/>
    <x v="0"/>
    <m/>
  </r>
  <r>
    <n v="496"/>
    <x v="63"/>
    <s v="Mahmoud Nasr"/>
    <x v="2"/>
    <s v="HSE "/>
    <x v="0"/>
    <x v="9"/>
    <x v="5"/>
    <s v="I have observed the basket of cylinders on the road not on safe place"/>
    <x v="1"/>
    <s v="I inform the supervisor to provide forklift immediately and moving the basket on safe place."/>
    <m/>
    <m/>
    <m/>
    <m/>
    <s v="Invalid"/>
    <x v="0"/>
    <m/>
  </r>
  <r>
    <n v="497"/>
    <x v="63"/>
    <s v="Mahmoud Nasr"/>
    <x v="2"/>
    <s v="HSE "/>
    <x v="0"/>
    <x v="0"/>
    <x v="3"/>
    <s v="I have observed cup supports full of plastics and welding electrodes."/>
    <x v="1"/>
    <s v="The worker put water immediately also he try to clean it but it’s hard to clean, It must take it out and clean it and back to work again_x000a_"/>
    <m/>
    <m/>
    <m/>
    <m/>
    <s v="Invalid"/>
    <x v="0"/>
    <m/>
  </r>
  <r>
    <n v="498"/>
    <x v="63"/>
    <s v="Mahmoud Nasr"/>
    <x v="2"/>
    <s v="HSE "/>
    <x v="0"/>
    <x v="0"/>
    <x v="0"/>
    <s v="I have observed some of defected cables."/>
    <x v="2"/>
    <s v="I inform the PTJ HSE to send all this cables to electrical workshop some to fix it and another defected_x000a_I speak with worker that must check your cables before the work"/>
    <m/>
    <m/>
    <m/>
    <m/>
    <s v="Invalid"/>
    <x v="0"/>
    <m/>
  </r>
  <r>
    <n v="499"/>
    <x v="63"/>
    <s v="Mahmoud Nasr"/>
    <x v="2"/>
    <s v="HSE "/>
    <x v="0"/>
    <x v="0"/>
    <x v="8"/>
    <s v="I have observed the safety latch for hoist hook not suitable"/>
    <x v="1"/>
    <s v="I inform the supervisor that not accepted and must back to defected area until fix it"/>
    <m/>
    <m/>
    <m/>
    <m/>
    <s v="Invalid"/>
    <x v="0"/>
    <m/>
  </r>
  <r>
    <n v="500"/>
    <x v="63"/>
    <s v="Mahmoud Nasr"/>
    <x v="2"/>
    <s v="HSE "/>
    <x v="0"/>
    <x v="9"/>
    <x v="3"/>
    <s v="I have observed painting inside plastic bottle at hiding sides of the workshop."/>
    <x v="1"/>
    <s v="I inform the supervisor to collect all this bottle out of the workshop to storage for painting materials and this painting material must identified and have MSDS"/>
    <m/>
    <m/>
    <m/>
    <m/>
    <s v="Invalid"/>
    <x v="0"/>
    <m/>
  </r>
  <r>
    <n v="501"/>
    <x v="64"/>
    <s v="Abdelhady Ghalwash"/>
    <x v="2"/>
    <s v="HSE "/>
    <x v="0"/>
    <x v="1"/>
    <x v="3"/>
    <s v="Poor housekeeping in Area 1"/>
    <x v="1"/>
    <s v="The supervisor has been contacted to conduct housekeeping for the area"/>
    <m/>
    <m/>
    <m/>
    <m/>
    <s v="Invalid"/>
    <x v="0"/>
    <m/>
  </r>
  <r>
    <n v="502"/>
    <x v="65"/>
    <s v="Abdelhady Ghalwash"/>
    <x v="2"/>
    <s v="HSE "/>
    <x v="1"/>
    <x v="9"/>
    <x v="2"/>
    <s v="It has been observed a worker was wearing glasses in a bad condition"/>
    <x v="2"/>
    <s v="I got the glasses out of service_x000a_I have contacted with the supervisor to provide the worker with glasses in a good condition"/>
    <m/>
    <m/>
    <m/>
    <m/>
    <s v="Invalid"/>
    <x v="0"/>
    <m/>
  </r>
  <r>
    <n v="503"/>
    <x v="65"/>
    <s v="Abdelhady Ghalwash"/>
    <x v="2"/>
    <s v="HSE "/>
    <x v="0"/>
    <x v="1"/>
    <x v="4"/>
    <s v="Two of Corrugated sheets has observed to be loosely fixed and almost fell off"/>
    <x v="1"/>
    <s v="The area was secured by stopping work and closing the area until the corrugated sheets were fixed_x000a_All corrugated sheets in the area have been checked to make sure they are properly fixed"/>
    <m/>
    <m/>
    <m/>
    <m/>
    <s v="Invalid"/>
    <x v="0"/>
    <m/>
  </r>
  <r>
    <n v="504"/>
    <x v="66"/>
    <s v="Abdelhady Ghalwash"/>
    <x v="2"/>
    <s v="HSE "/>
    <x v="1"/>
    <x v="3"/>
    <x v="18"/>
    <s v="It has been observed a handmade hand tool, the hammer handle is steel"/>
    <x v="1"/>
    <s v="I got the hammer out of service, conduct a survey among the area to ensure hand tool compliance and discuss the risk of Un standard hand tools with the team during the TBT"/>
    <m/>
    <m/>
    <m/>
    <m/>
    <s v="Invalid"/>
    <x v="0"/>
    <m/>
  </r>
  <r>
    <n v="505"/>
    <x v="67"/>
    <s v="Abdelhady Ghalwash"/>
    <x v="2"/>
    <s v="HSE "/>
    <x v="0"/>
    <x v="1"/>
    <x v="3"/>
    <s v="It has been observed poor housekeeping and exist painting waste in the area"/>
    <x v="1"/>
    <s v="Housekeeping has been conducted. _x000a_The painting waste has disposed to the hazards waste area. _x000a_The scrabe has removed to the scrabe area"/>
    <m/>
    <m/>
    <m/>
    <m/>
    <s v="Invalid"/>
    <x v="0"/>
    <m/>
  </r>
  <r>
    <n v="506"/>
    <x v="68"/>
    <s v="Mahmoud Samir"/>
    <x v="2"/>
    <s v="HSE "/>
    <x v="2"/>
    <x v="6"/>
    <x v="7"/>
    <s v="It has been observed replacement all rocks using for stabilizing the tarpaulin isolation sheets to metal nails without tripping hazards_x000a_Inform sandblasting &amp; painting team to complete that good idea at the site and _x000a_HSE PTJ support them and follow up"/>
    <x v="5"/>
    <m/>
    <m/>
    <m/>
    <m/>
    <m/>
    <s v="Invalid"/>
    <x v="1"/>
    <m/>
  </r>
  <r>
    <n v="507"/>
    <x v="69"/>
    <s v="Mahmoud Samir"/>
    <x v="2"/>
    <s v="HSE "/>
    <x v="0"/>
    <x v="3"/>
    <x v="5"/>
    <s v="It has been observed using iron wire for secured the hoses on manometer for gas cylinder"/>
    <x v="2"/>
    <s v="I was contacted with welding SV and HSE PTJ for take immediate action and checking all gas cylinders conditions"/>
    <m/>
    <m/>
    <m/>
    <m/>
    <s v="Invalid"/>
    <x v="0"/>
    <m/>
  </r>
  <r>
    <n v="508"/>
    <x v="70"/>
    <s v="Mahmoud Samir"/>
    <x v="2"/>
    <s v="HSE "/>
    <x v="0"/>
    <x v="0"/>
    <x v="3"/>
    <s v="It has been observed storage materials and bad cable management on walk way at workshop 1"/>
    <x v="1"/>
    <s v="I was interfered and inform construction SV to make re arrangement for cable and remove materials "/>
    <m/>
    <m/>
    <m/>
    <m/>
    <s v="Invalid"/>
    <x v="0"/>
    <m/>
  </r>
  <r>
    <n v="509"/>
    <x v="64"/>
    <s v="Mahmoud Nasr"/>
    <x v="2"/>
    <s v="HSE "/>
    <x v="0"/>
    <x v="0"/>
    <x v="1"/>
    <s v="I have observed scaffolding platform 1.5m and the position for work not safe."/>
    <x v="1"/>
    <s v="The supervisor make ladder for access and put barricades to make the worker on safe position but we need the inspector to inspect it and put the green card from the morning shift because we don`t have inspector for night shift"/>
    <m/>
    <m/>
    <m/>
    <m/>
    <s v="Invalid"/>
    <x v="0"/>
    <m/>
  </r>
  <r>
    <n v="510"/>
    <x v="65"/>
    <s v="Mahmoud Nasr"/>
    <x v="2"/>
    <s v="HSE "/>
    <x v="0"/>
    <x v="0"/>
    <x v="8"/>
    <s v="I have observed the rigger using only one tagline and not enough to make the load stable."/>
    <x v="1"/>
    <s v="I inform the rigger to use two tagline to make the load more stable"/>
    <m/>
    <m/>
    <m/>
    <m/>
    <s v="Invalid"/>
    <x v="0"/>
    <m/>
  </r>
  <r>
    <n v="511"/>
    <x v="65"/>
    <s v="Mahmoud Nasr"/>
    <x v="2"/>
    <s v="HSE "/>
    <x v="0"/>
    <x v="0"/>
    <x v="4"/>
    <s v="I have observed unsafe position for work they put material on one support that make the material not stable"/>
    <x v="1"/>
    <s v="I inform the supervisor to move the second support and put the material on stable position"/>
    <m/>
    <m/>
    <m/>
    <m/>
    <s v="Invalid"/>
    <x v="0"/>
    <m/>
  </r>
  <r>
    <n v="512"/>
    <x v="61"/>
    <s v="Ibrahim Hamed"/>
    <x v="0"/>
    <s v="HSE "/>
    <x v="0"/>
    <x v="0"/>
    <x v="3"/>
    <s v="Bad housekeeping on scaffolds"/>
    <x v="0"/>
    <s v="housekeeping has been done "/>
    <m/>
    <m/>
    <m/>
    <m/>
    <s v="Invalid"/>
    <x v="0"/>
    <m/>
  </r>
  <r>
    <n v="513"/>
    <x v="61"/>
    <s v="Ibrahim Hamed"/>
    <x v="0"/>
    <s v="HSE "/>
    <x v="0"/>
    <x v="1"/>
    <x v="1"/>
    <s v="Observed an incomplete scaffold with no limitation to its access."/>
    <x v="3"/>
    <s v="Warning tape was added to prevent workers from going up."/>
    <m/>
    <m/>
    <m/>
    <m/>
    <s v="Invalid"/>
    <x v="0"/>
    <m/>
  </r>
  <r>
    <n v="514"/>
    <x v="61"/>
    <s v="Ibrahim Hamed"/>
    <x v="0"/>
    <s v="HSE "/>
    <x v="0"/>
    <x v="8"/>
    <x v="6"/>
    <s v="Argon Gas cylinder need to be Installed"/>
    <x v="3"/>
    <s v="Asked workers to install and fix the gas cylinders by chains "/>
    <m/>
    <m/>
    <m/>
    <m/>
    <s v="Invalid"/>
    <x v="0"/>
    <m/>
  </r>
  <r>
    <n v="515"/>
    <x v="61"/>
    <s v="Ibrahim Hamed"/>
    <x v="0"/>
    <s v="HSE "/>
    <x v="2"/>
    <x v="3"/>
    <x v="3"/>
    <s v="It has been observed that the team maintain good housekeeping at the area"/>
    <x v="5"/>
    <m/>
    <m/>
    <m/>
    <m/>
    <m/>
    <s v="Invalid"/>
    <x v="1"/>
    <m/>
  </r>
  <r>
    <n v="516"/>
    <x v="61"/>
    <s v="Mohamed Abdallah"/>
    <x v="0"/>
    <s v="HSE "/>
    <x v="0"/>
    <x v="7"/>
    <x v="5"/>
    <s v="observed grinding spark was towards gas cylinder "/>
    <x v="0"/>
    <s v="stopped him to remove cylinder away  from grinding operation area , advised him to focus on the direction of sparks all the time "/>
    <m/>
    <m/>
    <m/>
    <m/>
    <s v="Invalid"/>
    <x v="0"/>
    <m/>
  </r>
  <r>
    <n v="517"/>
    <x v="61"/>
    <s v="Mohamed Abdallah"/>
    <x v="0"/>
    <s v="HSE "/>
    <x v="0"/>
    <x v="9"/>
    <x v="3"/>
    <s v="Observed poor House keeping and improper material arrangement "/>
    <x v="2"/>
    <s v="materials has been arranged  "/>
    <m/>
    <m/>
    <m/>
    <m/>
    <s v="Invalid"/>
    <x v="0"/>
    <m/>
  </r>
  <r>
    <n v="518"/>
    <x v="61"/>
    <s v="Ibrahim Hamed"/>
    <x v="0"/>
    <s v="HSE "/>
    <x v="0"/>
    <x v="3"/>
    <x v="4"/>
    <s v="observed some steel pieces in  have sharp edegs may cause injury"/>
    <x v="1"/>
    <s v="informed fitting supervisor and he had taken the corrective action,"/>
    <m/>
    <m/>
    <m/>
    <m/>
    <s v="Invalid"/>
    <x v="0"/>
    <m/>
  </r>
  <r>
    <n v="519"/>
    <x v="61"/>
    <s v="Ahmed Maher"/>
    <x v="0"/>
    <s v="HSE "/>
    <x v="0"/>
    <x v="3"/>
    <x v="5"/>
    <s v="A grinder was working with the resulting spark was directed to a gas cylinder."/>
    <x v="1"/>
    <s v="Stop him and inform him to remove the gas cylinder from the area."/>
    <m/>
    <m/>
    <m/>
    <m/>
    <s v="Invalid"/>
    <x v="0"/>
    <m/>
  </r>
  <r>
    <n v="520"/>
    <x v="61"/>
    <s v="Ahmed Maher"/>
    <x v="0"/>
    <s v="HSE "/>
    <x v="0"/>
    <x v="3"/>
    <x v="6"/>
    <s v="un fixed planks of scaffold platform"/>
    <x v="1"/>
    <s v="Informed scaffold sup to fix and install the planks , he installed it and _x000a_re inspected the rest plat forms "/>
    <m/>
    <m/>
    <m/>
    <m/>
    <s v="Invalid"/>
    <x v="0"/>
    <m/>
  </r>
  <r>
    <n v="521"/>
    <x v="61"/>
    <s v="Mohamed Abdallah"/>
    <x v="0"/>
    <s v="HSE "/>
    <x v="0"/>
    <x v="9"/>
    <x v="3"/>
    <s v="Observed some welding electrodes thrown on the ground."/>
    <x v="1"/>
    <s v="All electrodes residue must be collected in buckets."/>
    <m/>
    <m/>
    <m/>
    <m/>
    <s v="Invalid"/>
    <x v="0"/>
    <m/>
  </r>
  <r>
    <n v="522"/>
    <x v="61"/>
    <s v="Ahmed Maher"/>
    <x v="0"/>
    <s v="HSE "/>
    <x v="0"/>
    <x v="9"/>
    <x v="3"/>
    <s v=" Welding Cables were passed through scaffolding ladder may lead to tripping hazard , falling hazard during climbing ladders "/>
    <x v="1"/>
    <s v="asked the welder to adjust cable routes , arrange cables for safe access , and he did "/>
    <m/>
    <m/>
    <m/>
    <m/>
    <s v="Invalid"/>
    <x v="0"/>
    <m/>
  </r>
  <r>
    <n v="523"/>
    <x v="61"/>
    <s v="Ahmed Maher"/>
    <x v="0"/>
    <s v="HSE "/>
    <x v="0"/>
    <x v="2"/>
    <x v="0"/>
    <s v="gas cylinder with empty bubble test bottle "/>
    <x v="0"/>
    <s v="Informed worker he filled it and advised him to check leakage before using "/>
    <m/>
    <m/>
    <m/>
    <m/>
    <s v="Invalid"/>
    <x v="0"/>
    <m/>
  </r>
  <r>
    <n v="524"/>
    <x v="61"/>
    <s v="Ibrahim Hamed"/>
    <x v="0"/>
    <s v="HSE "/>
    <x v="0"/>
    <x v="2"/>
    <x v="0"/>
    <s v="It has been observed that the compressed gas cylinder are not secured by _x000a_chains and there were no caps during its storage."/>
    <x v="0"/>
    <s v="I intervened and ask the supervisor to get the caps and secure the cylinders _x000a_immediately"/>
    <m/>
    <m/>
    <m/>
    <m/>
    <s v="Invalid"/>
    <x v="0"/>
    <m/>
  </r>
  <r>
    <n v="525"/>
    <x v="61"/>
    <s v="Ahmed Maher"/>
    <x v="0"/>
    <s v="HSE "/>
    <x v="0"/>
    <x v="9"/>
    <x v="3"/>
    <s v="It has been observed poor cable management at W/S 3"/>
    <x v="0"/>
    <s v="I immediately suspend the activity till the workforce team maintain the _x000a_management of the cable and ensure the area , clean , safe and tidy"/>
    <m/>
    <m/>
    <m/>
    <m/>
    <s v="Invalid"/>
    <x v="0"/>
    <m/>
  </r>
  <r>
    <n v="526"/>
    <x v="61"/>
    <s v="Ibrahim Hamed"/>
    <x v="0"/>
    <s v="HSE "/>
    <x v="0"/>
    <x v="1"/>
    <x v="3"/>
    <s v="It has been observed the block of the access to the main electrical control panel _x000a_at workshop 3 due to storage of material"/>
    <x v="0"/>
    <s v="I have intervened and ask the supervisor to remove all the stored material and _x000a_to ensure free access for all the electrical panels"/>
    <m/>
    <m/>
    <m/>
    <m/>
    <s v="Invalid"/>
    <x v="0"/>
    <m/>
  </r>
  <r>
    <n v="527"/>
    <x v="52"/>
    <s v="Ibrahim Hamed"/>
    <x v="0"/>
    <s v="HSE "/>
    <x v="0"/>
    <x v="9"/>
    <x v="5"/>
    <s v="Observed welding cable with substandard joint"/>
    <x v="3"/>
    <s v="standard joint was done"/>
    <m/>
    <m/>
    <m/>
    <m/>
    <s v="Invalid"/>
    <x v="0"/>
    <m/>
  </r>
  <r>
    <n v="528"/>
    <x v="52"/>
    <s v="Mohamed Abdallah"/>
    <x v="0"/>
    <s v="HSE "/>
    <x v="1"/>
    <x v="2"/>
    <x v="6"/>
    <s v="Observed unused grinder left on beams in unsafe position"/>
    <x v="1"/>
    <s v="It was removed immediately"/>
    <m/>
    <m/>
    <m/>
    <m/>
    <s v="Invalid"/>
    <x v="0"/>
    <m/>
  </r>
  <r>
    <n v="529"/>
    <x v="52"/>
    <s v="Ibrahim Hamed"/>
    <x v="0"/>
    <s v="HSE "/>
    <x v="0"/>
    <x v="4"/>
    <x v="6"/>
    <s v="Bulletin board not found"/>
    <x v="0"/>
    <s v="It’s available now"/>
    <m/>
    <m/>
    <m/>
    <m/>
    <s v="Invalid"/>
    <x v="0"/>
    <m/>
  </r>
  <r>
    <n v="530"/>
    <x v="52"/>
    <s v="Mohamed Abdallah"/>
    <x v="0"/>
    <s v="HSE "/>
    <x v="0"/>
    <x v="0"/>
    <x v="3"/>
    <s v="Improper arrangement for material/ scrap that form dropped object hazard"/>
    <x v="0"/>
    <s v="Situation was remediated immediately"/>
    <m/>
    <m/>
    <m/>
    <m/>
    <s v="Invalid"/>
    <x v="0"/>
    <m/>
  </r>
  <r>
    <n v="531"/>
    <x v="52"/>
    <s v="Mohamed Abdallah"/>
    <x v="0"/>
    <s v="HSE "/>
    <x v="1"/>
    <x v="4"/>
    <x v="6"/>
    <s v="Still some workers were not wearing gloves and glasses. Continuous follow-up required"/>
    <x v="3"/>
    <s v="They wore them immediately"/>
    <m/>
    <m/>
    <m/>
    <m/>
    <s v="Invalid"/>
    <x v="0"/>
    <m/>
  </r>
  <r>
    <n v="532"/>
    <x v="52"/>
    <s v="Ibrahim Hamed"/>
    <x v="0"/>
    <s v="HSE "/>
    <x v="2"/>
    <x v="1"/>
    <x v="3"/>
    <s v="Very good Housekeeping"/>
    <x v="5"/>
    <s v="appreciated effort from workers."/>
    <m/>
    <m/>
    <m/>
    <m/>
    <s v="Invalid"/>
    <x v="1"/>
    <m/>
  </r>
  <r>
    <n v="533"/>
    <x v="52"/>
    <s v="Ibrahim Hamed"/>
    <x v="0"/>
    <s v="HSE "/>
    <x v="2"/>
    <x v="1"/>
    <x v="4"/>
    <s v="proper waste management "/>
    <x v="5"/>
    <s v=" appreciated effort from workers."/>
    <m/>
    <m/>
    <m/>
    <m/>
    <s v="Invalid"/>
    <x v="1"/>
    <m/>
  </r>
  <r>
    <n v="534"/>
    <x v="58"/>
    <s v="Ahmed Ali"/>
    <x v="0"/>
    <s v="HSE "/>
    <x v="0"/>
    <x v="2"/>
    <x v="3"/>
    <s v="Observed unused cable extended on the ground"/>
    <x v="0"/>
    <s v="It was removed immediately"/>
    <m/>
    <m/>
    <m/>
    <m/>
    <s v="Invalid"/>
    <x v="0"/>
    <m/>
  </r>
  <r>
    <n v="535"/>
    <x v="58"/>
    <s v="Ibrahim Hamed"/>
    <x v="0"/>
    <s v="HSE "/>
    <x v="0"/>
    <x v="8"/>
    <x v="3"/>
    <s v="Welding cables were organized through the area but at the area of the welding transformers still needs improvement as they should be kept in a designated path to prevent being extended haphazardly."/>
    <x v="0"/>
    <s v="proper arrangement of welding transformers need to be done "/>
    <m/>
    <m/>
    <m/>
    <m/>
    <s v="Invalid"/>
    <x v="0"/>
    <m/>
  </r>
  <r>
    <n v="536"/>
    <x v="58"/>
    <s v="Ibrahim Hamed"/>
    <x v="0"/>
    <s v="HSE "/>
    <x v="1"/>
    <x v="4"/>
    <x v="6"/>
    <s v="good handling / material storage "/>
    <x v="2"/>
    <s v="Appreciate the good job."/>
    <m/>
    <m/>
    <m/>
    <m/>
    <s v="Invalid"/>
    <x v="0"/>
    <m/>
  </r>
  <r>
    <n v="537"/>
    <x v="58"/>
    <s v="Ibrahim Hamed"/>
    <x v="0"/>
    <s v="HSE "/>
    <x v="0"/>
    <x v="3"/>
    <x v="8"/>
    <s v="Observed many workers involved in a lifting operation in a congested area. And the workpiece was not well secured after placing it on the ground"/>
    <x v="3"/>
    <s v="They have been advised to secure it and minimum workers to involved"/>
    <m/>
    <m/>
    <m/>
    <m/>
    <s v="Invalid"/>
    <x v="0"/>
    <m/>
  </r>
  <r>
    <n v="538"/>
    <x v="58"/>
    <s v="Mohamed Abdallah"/>
    <x v="0"/>
    <s v="HSE "/>
    <x v="0"/>
    <x v="9"/>
    <x v="6"/>
    <s v=" Two Power supply 220 Volts is connected directly which increase the power loss and cable control risk"/>
    <x v="3"/>
    <s v="Called up the electricity sup and  immediately  connected two power supplies 220 volt to the main distribution panel 380 volt "/>
    <m/>
    <m/>
    <m/>
    <m/>
    <s v="Invalid"/>
    <x v="0"/>
    <m/>
  </r>
  <r>
    <n v="539"/>
    <x v="59"/>
    <s v="Mohamed Abdallah"/>
    <x v="0"/>
    <s v="HSE "/>
    <x v="2"/>
    <x v="1"/>
    <x v="1"/>
    <s v="Scaffold in good condition and inspected periodically "/>
    <x v="5"/>
    <s v="Appreciate the good job."/>
    <m/>
    <m/>
    <m/>
    <m/>
    <s v="Invalid"/>
    <x v="1"/>
    <m/>
  </r>
  <r>
    <n v="540"/>
    <x v="59"/>
    <s v="Ibrahim Hamed"/>
    <x v="0"/>
    <s v="HSE "/>
    <x v="0"/>
    <x v="8"/>
    <x v="3"/>
    <s v="Observed scattered welding electrodes residue"/>
    <x v="0"/>
    <s v="Housekeeping was done"/>
    <m/>
    <m/>
    <m/>
    <m/>
    <s v="Invalid"/>
    <x v="0"/>
    <m/>
  </r>
  <r>
    <n v="541"/>
    <x v="60"/>
    <s v="Ibrahim Hamed"/>
    <x v="0"/>
    <s v="HSE "/>
    <x v="0"/>
    <x v="3"/>
    <x v="4"/>
    <s v="Observed unsecured metal piece on beam"/>
    <x v="0"/>
    <s v="It was removed immediately"/>
    <m/>
    <m/>
    <m/>
    <m/>
    <s v="Invalid"/>
    <x v="0"/>
    <m/>
  </r>
  <r>
    <n v="542"/>
    <x v="60"/>
    <s v="Mohamed Abdallah"/>
    <x v="0"/>
    <s v="HSE "/>
    <x v="0"/>
    <x v="7"/>
    <x v="1"/>
    <s v="Some scaffold plates on scaffold need to be propely installed and fixed "/>
    <x v="3"/>
    <s v="Scaffolders installed and fixed the wooden plates "/>
    <m/>
    <m/>
    <m/>
    <m/>
    <s v="Invalid"/>
    <x v="0"/>
    <m/>
  </r>
  <r>
    <n v="543"/>
    <x v="60"/>
    <s v="Ibrahim Hamed"/>
    <x v="0"/>
    <s v="HSE "/>
    <x v="1"/>
    <x v="4"/>
    <x v="2"/>
    <s v=" observed that one of grinders  not wearing  an ears plugs "/>
    <x v="0"/>
    <s v="told the worker to wear his PPE all the time in the working site "/>
    <m/>
    <m/>
    <m/>
    <m/>
    <s v="Invalid"/>
    <x v="0"/>
    <m/>
  </r>
  <r>
    <n v="544"/>
    <x v="60"/>
    <s v="Mohamed Abdallah"/>
    <x v="0"/>
    <s v="HSE "/>
    <x v="1"/>
    <x v="8"/>
    <x v="2"/>
    <s v="one of fiting team work without complete PPE"/>
    <x v="0"/>
    <s v="told the worker to wear his PPE all the time in the working site "/>
    <m/>
    <m/>
    <m/>
    <m/>
    <s v="Invalid"/>
    <x v="0"/>
    <m/>
  </r>
  <r>
    <n v="545"/>
    <x v="60"/>
    <s v="Ibrahim Hamed"/>
    <x v="0"/>
    <s v="HSE "/>
    <x v="0"/>
    <x v="1"/>
    <x v="4"/>
    <s v="Observed canvas not well fixed from the wind."/>
    <x v="0"/>
    <s v="Called the scaffolding sv to be well fixed and he did it."/>
    <m/>
    <m/>
    <m/>
    <m/>
    <s v="Invalid"/>
    <x v="0"/>
    <m/>
  </r>
  <r>
    <n v="546"/>
    <x v="60"/>
    <s v="Mohamed Abdallah"/>
    <x v="0"/>
    <s v="HSE "/>
    <x v="0"/>
    <x v="9"/>
    <x v="3"/>
    <s v="observed that one of welding cable in improper position above the scaffold causing workers tripping "/>
    <x v="0"/>
    <s v="spoke to supervisor to adjust the cables"/>
    <m/>
    <m/>
    <m/>
    <m/>
    <s v="Invalid"/>
    <x v="0"/>
    <m/>
  </r>
  <r>
    <n v="547"/>
    <x v="60"/>
    <s v="Ibrahim Hamed"/>
    <x v="0"/>
    <s v="HSE "/>
    <x v="0"/>
    <x v="4"/>
    <x v="4"/>
    <s v=" observed that some sharp edge was left without highlighting and it can cause serious injuries"/>
    <x v="0"/>
    <s v="Highlighted the serious hazard with fitting supervisor and Ptj HSE at site immediately cover the sharp edge with a cone"/>
    <m/>
    <m/>
    <m/>
    <m/>
    <s v="Invalid"/>
    <x v="0"/>
    <m/>
  </r>
  <r>
    <n v="548"/>
    <x v="60"/>
    <s v="Mohamed Abdallah"/>
    <x v="0"/>
    <s v="HSE "/>
    <x v="1"/>
    <x v="9"/>
    <x v="2"/>
    <s v="one of fiting team work without complete PPE"/>
    <x v="2"/>
    <s v="told the worker to wear his PPE all the time in the working site "/>
    <m/>
    <m/>
    <m/>
    <m/>
    <s v="Invalid"/>
    <x v="0"/>
    <m/>
  </r>
  <r>
    <n v="549"/>
    <x v="54"/>
    <s v="Ibrahim Hamed"/>
    <x v="0"/>
    <s v="HSE "/>
    <x v="0"/>
    <x v="9"/>
    <x v="5"/>
    <s v="Welding cables needed to be arranged"/>
    <x v="0"/>
    <s v="cable management has been performed "/>
    <m/>
    <m/>
    <m/>
    <m/>
    <s v="Invalid"/>
    <x v="0"/>
    <m/>
  </r>
  <r>
    <n v="550"/>
    <x v="54"/>
    <s v="Ibrahim Hamed"/>
    <x v="0"/>
    <s v="HSE "/>
    <x v="0"/>
    <x v="2"/>
    <x v="5"/>
    <s v="gas cylinder without protection cap "/>
    <x v="0"/>
    <s v="told Welding Sup and he put cap on it "/>
    <m/>
    <m/>
    <m/>
    <m/>
    <s v="Invalid"/>
    <x v="0"/>
    <m/>
  </r>
  <r>
    <n v="551"/>
    <x v="54"/>
    <s v="Kareem Ehab"/>
    <x v="0"/>
    <s v="Welding Sup"/>
    <x v="0"/>
    <x v="1"/>
    <x v="3"/>
    <s v="observed scrap box was full"/>
    <x v="2"/>
    <s v="informed the sup to keep it empty periodically and he did"/>
    <m/>
    <m/>
    <m/>
    <m/>
    <s v="Invalid"/>
    <x v="0"/>
    <m/>
  </r>
  <r>
    <n v="552"/>
    <x v="54"/>
    <s v="Kareem Ehab"/>
    <x v="0"/>
    <s v="HSE "/>
    <x v="0"/>
    <x v="3"/>
    <x v="3"/>
    <s v="Observed painting cans with residuals stored on site."/>
    <x v="0"/>
    <s v="informed the sup to keep it empty periodically and he did"/>
    <m/>
    <m/>
    <m/>
    <m/>
    <s v="Invalid"/>
    <x v="0"/>
    <m/>
  </r>
  <r>
    <n v="553"/>
    <x v="54"/>
    <s v="Mohamed Abdallah"/>
    <x v="0"/>
    <s v="HSE "/>
    <x v="0"/>
    <x v="7"/>
    <x v="3"/>
    <s v="Found some tools scattered on the scaffold at the  whch create tripping /dropped Objects  hazards."/>
    <x v="0"/>
    <s v="Removed the tools form the area and performed housekeeping to the area."/>
    <m/>
    <m/>
    <m/>
    <m/>
    <s v="Invalid"/>
    <x v="0"/>
    <m/>
  </r>
  <r>
    <n v="554"/>
    <x v="54"/>
    <s v="Ibrahim Hamed"/>
    <x v="0"/>
    <s v="HSE "/>
    <x v="0"/>
    <x v="7"/>
    <x v="1"/>
    <s v="Observed that top scaffold blanks are not installed properly "/>
    <x v="0"/>
    <s v="Instructed scaffold team to install the scaffold  blanks properly  "/>
    <m/>
    <m/>
    <m/>
    <m/>
    <s v="Invalid"/>
    <x v="0"/>
    <m/>
  </r>
  <r>
    <n v="555"/>
    <x v="54"/>
    <s v="Mohamed Abdallah"/>
    <x v="0"/>
    <s v="HSE "/>
    <x v="0"/>
    <x v="9"/>
    <x v="13"/>
    <s v="Eye wash station (Saline Solution) was changed but checklist is Not Found"/>
    <x v="0"/>
    <s v="checklist Was added"/>
    <m/>
    <m/>
    <m/>
    <m/>
    <s v="Invalid"/>
    <x v="0"/>
    <m/>
  </r>
  <r>
    <n v="556"/>
    <x v="54"/>
    <s v="Kareem Ehab"/>
    <x v="0"/>
    <s v="HSE "/>
    <x v="0"/>
    <x v="4"/>
    <x v="4"/>
    <s v="Observed unsecured metal piece on beam"/>
    <x v="0"/>
    <s v="Adjusted the position of the beams , the metal sheet is properly rested on beams and secured "/>
    <m/>
    <m/>
    <m/>
    <m/>
    <s v="Invalid"/>
    <x v="0"/>
    <m/>
  </r>
  <r>
    <n v="557"/>
    <x v="54"/>
    <s v="Kareem Ehab"/>
    <x v="0"/>
    <s v="Welding Sup"/>
    <x v="0"/>
    <x v="4"/>
    <x v="6"/>
    <s v="some unused electrical panel need to transfer out of blasting and painting working area"/>
    <x v="2"/>
    <s v="electrical panel removed immdiately "/>
    <m/>
    <m/>
    <m/>
    <m/>
    <s v="Invalid"/>
    <x v="0"/>
    <m/>
  </r>
  <r>
    <n v="558"/>
    <x v="54"/>
    <s v="Ahmed Ali"/>
    <x v="0"/>
    <s v="HSE "/>
    <x v="2"/>
    <x v="4"/>
    <x v="14"/>
    <s v="banks man guide the FLT operator as required "/>
    <x v="5"/>
    <m/>
    <m/>
    <m/>
    <m/>
    <m/>
    <s v="Invalid"/>
    <x v="1"/>
    <m/>
  </r>
  <r>
    <n v="559"/>
    <x v="54"/>
    <s v="Ahmed Ali"/>
    <x v="0"/>
    <s v="HSE "/>
    <x v="3"/>
    <x v="4"/>
    <x v="2"/>
    <s v="Good commitment from the work force with the site required PPE especially from the grinders "/>
    <x v="5"/>
    <m/>
    <m/>
    <m/>
    <m/>
    <m/>
    <s v="Invalid"/>
    <x v="1"/>
    <m/>
  </r>
  <r>
    <n v="560"/>
    <x v="56"/>
    <s v="Ahmed Ali"/>
    <x v="0"/>
    <s v="HSE "/>
    <x v="3"/>
    <x v="4"/>
    <x v="1"/>
    <s v="Good condition of scaffold and Scaff tag system applied and updated as required."/>
    <x v="5"/>
    <m/>
    <m/>
    <m/>
    <m/>
    <m/>
    <s v="Invalid"/>
    <x v="1"/>
    <m/>
  </r>
  <r>
    <n v="561"/>
    <x v="56"/>
    <s v="Ibrahim Hamed"/>
    <x v="0"/>
    <s v="HSE "/>
    <x v="0"/>
    <x v="7"/>
    <x v="1"/>
    <s v="Welders were observed standing on temporary cans to reach welding _x000a_positions."/>
    <x v="0"/>
    <s v="Welders were instructed to stop using temporary cans immediately._x000a_➢ Proper and stable scaffolding or work platforms were provided for safe access._x000a_➢ The safety team was notified to reinforce correct working-at-height procedures."/>
    <m/>
    <m/>
    <m/>
    <m/>
    <s v="Invalid"/>
    <x v="0"/>
    <m/>
  </r>
  <r>
    <n v="562"/>
    <x v="56"/>
    <s v="Ahmed Maher"/>
    <x v="0"/>
    <s v="HSE "/>
    <x v="0"/>
    <x v="4"/>
    <x v="8"/>
    <s v="It has been observed that a worker were maintaining the over head crane in _x000a_W/Shop 4 using a man lift, while there were no barricades around the working area."/>
    <x v="3"/>
    <s v="Stopped the work and asked the Safety supervisor to put barricade around the working area to avoid people getting heart from any dropped object"/>
    <m/>
    <m/>
    <m/>
    <m/>
    <s v="Invalid"/>
    <x v="0"/>
    <m/>
  </r>
  <r>
    <n v="563"/>
    <x v="56"/>
    <s v="Ibrahim Hamed"/>
    <x v="0"/>
    <s v="HSE "/>
    <x v="0"/>
    <x v="0"/>
    <x v="5"/>
    <s v="It has been observed that an Argon gas cylinder hose was not fixed properly"/>
    <x v="3"/>
    <s v="Stopped the work and asked the Safety supervisor to rearrange the hose and make sure that the hose has been secured."/>
    <m/>
    <m/>
    <m/>
    <m/>
    <s v="Invalid"/>
    <x v="0"/>
    <m/>
  </r>
  <r>
    <n v="564"/>
    <x v="56"/>
    <s v="Mohamed Abdallah"/>
    <x v="0"/>
    <s v="HSE "/>
    <x v="0"/>
    <x v="3"/>
    <x v="0"/>
    <s v="It was observed that gauge for LPG Cylinder used for pre-heat inside workshop #3 is damaged and gas leak due to valve passing can easily be detected and smelled"/>
    <x v="2"/>
    <s v="Informed TFMC HSE Who Suspended hot work activities in the specific location in presence of PTJ HSE And fabrication supervisors till they removed the cylinder away from hot work activities."/>
    <s v="Conduct standdown with the workforce team to recap  CGC hazardopus and inspection criteria  and what to  do incase a failure observed ion the cylinder"/>
    <s v="Medium"/>
    <s v="Medium"/>
    <s v="PTJ HSE"/>
    <d v="2025-03-15T00:00:00"/>
    <x v="0"/>
    <m/>
  </r>
  <r>
    <n v="565"/>
    <x v="56"/>
    <s v="Ibrahim Hamed"/>
    <x v="0"/>
    <s v="HSE "/>
    <x v="0"/>
    <x v="0"/>
    <x v="4"/>
    <s v="It was observed that a big and long piece of pipe left not secured on two points with extension more than 3 m without support and without proper stopper which may roll / fall and hit somebody."/>
    <x v="2"/>
    <s v="Informed TFMC HSE Who asked PTJ HSE Supervisor to secure it with another support and install stoppers "/>
    <m/>
    <m/>
    <m/>
    <m/>
    <s v="Invalid"/>
    <x v="0"/>
    <m/>
  </r>
  <r>
    <n v="566"/>
    <x v="56"/>
    <s v="Mohamed Abdallah"/>
    <x v="0"/>
    <s v="HSE "/>
    <x v="0"/>
    <x v="4"/>
    <x v="3"/>
    <s v="It was observed before starting activities on night shift that cable management at the entrance of work area not in good condition with presence of some big blocks and may lead to tripping hazard with possibility of falls and injury"/>
    <x v="2"/>
    <s v="Informed TFMC HSE Who Suspended the activities in the specific location in presence of PTJ HSE And fabrication supervisors till they corrected the situation.Then allowed them to start the activities"/>
    <m/>
    <m/>
    <m/>
    <m/>
    <s v="Invalid"/>
    <x v="0"/>
    <m/>
  </r>
  <r>
    <n v="567"/>
    <x v="56"/>
    <s v="Ahmed Maher"/>
    <x v="0"/>
    <s v="HSE "/>
    <x v="0"/>
    <x v="4"/>
    <x v="0"/>
    <s v="It has been observed a leak from LPG GGC during the heating process "/>
    <x v="3"/>
    <s v="I stopped the jtask , get the cylinder out of service and instruct the team to inspect the whole cylinders  prior starting any operation"/>
    <m/>
    <m/>
    <m/>
    <m/>
    <s v="Invalid"/>
    <x v="0"/>
    <m/>
  </r>
  <r>
    <n v="568"/>
    <x v="56"/>
    <s v="Mohamed Abdallah"/>
    <x v="0"/>
    <s v="HSE "/>
    <x v="0"/>
    <x v="4"/>
    <x v="0"/>
    <s v="it has been observed a grinder with a damged cable "/>
    <x v="3"/>
    <s v="Get the grinder out of service and instruct the workforce team to conduct inpection formthe cabl;e prior any activity"/>
    <m/>
    <m/>
    <m/>
    <m/>
    <s v="Invalid"/>
    <x v="0"/>
    <m/>
  </r>
  <r>
    <n v="569"/>
    <x v="56"/>
    <s v="Mohamed Abdallah"/>
    <x v="0"/>
    <s v="HSE "/>
    <x v="0"/>
    <x v="4"/>
    <x v="3"/>
    <s v="it has been observed scraf material and welding rods have been left above the structure / frame after the completion of the task and those may be a PDO and lead to the injury of personnel"/>
    <x v="0"/>
    <s v="instruct the team to conduct a houskeeping to maintain the area clean , safe and  tidy proior starting the activities inaddition to coodrinate with the dayshift team for proper hoiuskeeping aftet the task completion for smooth handover"/>
    <m/>
    <m/>
    <m/>
    <m/>
    <s v="Invalid"/>
    <x v="0"/>
    <m/>
  </r>
  <r>
    <n v="570"/>
    <x v="56"/>
    <s v="Mohamed Abdallah"/>
    <x v="0"/>
    <s v="HSE "/>
    <x v="0"/>
    <x v="1"/>
    <x v="0"/>
    <s v="it has been observed a pencil grinder with a cut in its cable"/>
    <x v="0"/>
    <s v="get it out of service and handed to the electrical supervisor"/>
    <m/>
    <m/>
    <m/>
    <m/>
    <s v="Invalid"/>
    <x v="0"/>
    <m/>
  </r>
  <r>
    <n v="571"/>
    <x v="56"/>
    <s v="Mohamed Abdallah"/>
    <x v="0"/>
    <s v="HSE "/>
    <x v="0"/>
    <x v="1"/>
    <x v="0"/>
    <s v="It has been observed angle grinders with electrical cables length 25 M  connected directly to themain panel with no junction installed in it for propere energy isolation"/>
    <x v="3"/>
    <s v="I stop the task , conduct standdown with workforce team for proper enegy isolation method (grinder can be left connected while being unattended and while replaceing the disc)"/>
    <s v="Install jnction/connection in the cables of the angle grinder (25 M)  for proper energy Isolation"/>
    <s v="High"/>
    <s v="Medium"/>
    <s v="PTJ"/>
    <d v="2025-03-13T00:00:00"/>
    <x v="0"/>
    <m/>
  </r>
  <r>
    <n v="572"/>
    <x v="56"/>
    <s v="Kareem Ehab"/>
    <x v="0"/>
    <s v="HSE "/>
    <x v="0"/>
    <x v="1"/>
    <x v="3"/>
    <s v="it has been observed poor cable management at W/S 2"/>
    <x v="0"/>
    <s v="coordinate with the area supervisor to mainatain proper cable management prior executing the task"/>
    <m/>
    <m/>
    <m/>
    <m/>
    <s v="Invalid"/>
    <x v="0"/>
    <m/>
  </r>
  <r>
    <n v="573"/>
    <x v="56"/>
    <s v="Mohamed Abdallah"/>
    <x v="0"/>
    <s v="HSE "/>
    <x v="0"/>
    <x v="1"/>
    <x v="7"/>
    <s v="it has been observed insufficient lighting in the work area"/>
    <x v="0"/>
    <s v="coordinate with the supervisor who immediately provide a lighting towerat the area"/>
    <m/>
    <m/>
    <m/>
    <m/>
    <s v="Invalid"/>
    <x v="0"/>
    <m/>
  </r>
  <r>
    <n v="574"/>
    <x v="56"/>
    <s v="Kareem Ehab"/>
    <x v="0"/>
    <s v="HSE "/>
    <x v="0"/>
    <x v="2"/>
    <x v="3"/>
    <s v="it has been observed poor cable management at area  C"/>
    <x v="0"/>
    <s v="coordinate with the area supervisor to mainatain proper cable management prior executing the task"/>
    <m/>
    <m/>
    <m/>
    <m/>
    <s v="Invalid"/>
    <x v="0"/>
    <m/>
  </r>
  <r>
    <n v="575"/>
    <x v="56"/>
    <s v="Ahmed Maher"/>
    <x v="0"/>
    <s v="HSE "/>
    <x v="0"/>
    <x v="7"/>
    <x v="17"/>
    <s v="it has been observed a CGC cart without a wheel ahich make its movement very hard"/>
    <x v="0"/>
    <s v="get the cart out of service and review the condition of the all carts in the area"/>
    <m/>
    <m/>
    <m/>
    <m/>
    <s v="Invalid"/>
    <x v="0"/>
    <m/>
  </r>
  <r>
    <n v="576"/>
    <x v="56"/>
    <s v="Kareem Ehab"/>
    <x v="0"/>
    <s v="HSE "/>
    <x v="0"/>
    <x v="0"/>
    <x v="0"/>
    <s v="it has been observed compressed gas cylinders are not securedin the rack"/>
    <x v="0"/>
    <s v="Immediately secure the cylinders and check the status of the other cylinders in the area"/>
    <m/>
    <m/>
    <m/>
    <m/>
    <s v="Invalid"/>
    <x v="0"/>
    <m/>
  </r>
  <r>
    <n v="577"/>
    <x v="56"/>
    <s v="Ahmed Maher"/>
    <x v="0"/>
    <s v="HSE "/>
    <x v="1"/>
    <x v="3"/>
    <x v="1"/>
    <s v="A grinder was observed being used above the structure (working at height) with an unsafe grip, which could lead to injury"/>
    <x v="3"/>
    <s v="I immediately stopped the work, conducted a stand-down with the whole team _x000a_at Workshop 3"/>
    <m/>
    <m/>
    <m/>
    <m/>
    <s v="Invalid"/>
    <x v="0"/>
    <m/>
  </r>
  <r>
    <n v="578"/>
    <x v="56"/>
    <s v="Ibrahim Hamed"/>
    <x v="0"/>
    <s v="HSE "/>
    <x v="1"/>
    <x v="0"/>
    <x v="1"/>
    <s v="it has been observed a worker  stand above the fram without any mean of fall protection "/>
    <x v="1"/>
    <s v="stop the worker , and conduct onspot coaching for him , provide the employe by a scaffold step to be used during his work"/>
    <m/>
    <m/>
    <m/>
    <m/>
    <s v="Invalid"/>
    <x v="0"/>
    <m/>
  </r>
  <r>
    <n v="579"/>
    <x v="56"/>
    <s v="Ibrahim Hamed"/>
    <x v="0"/>
    <s v="HSE "/>
    <x v="1"/>
    <x v="4"/>
    <x v="2"/>
    <s v="it has been observed a grinder operate the angle grinder without put in his gloves"/>
    <x v="1"/>
    <s v="immediately I intervene and stop him untill he put in the safety gloves"/>
    <m/>
    <m/>
    <m/>
    <m/>
    <s v="Invalid"/>
    <x v="0"/>
    <m/>
  </r>
  <r>
    <n v="580"/>
    <x v="56"/>
    <s v="Mohamed Abdallah"/>
    <x v="0"/>
    <s v="HSE "/>
    <x v="1"/>
    <x v="3"/>
    <x v="2"/>
    <s v="Observed some workers not wearing safety glasses."/>
    <x v="2"/>
    <s v="Awareness held to all workers on the same day about use of PPE."/>
    <m/>
    <m/>
    <m/>
    <m/>
    <s v="Invalid"/>
    <x v="0"/>
    <m/>
  </r>
  <r>
    <n v="581"/>
    <x v="56"/>
    <s v="Ahmed Maher"/>
    <x v="0"/>
    <s v="HSE "/>
    <x v="0"/>
    <x v="1"/>
    <x v="3"/>
    <s v="It has been observed unsecured PQR material stored verticallay on a ballet , considerd a PDO"/>
    <x v="0"/>
    <s v="Store the material properly and secure them"/>
    <m/>
    <m/>
    <m/>
    <m/>
    <s v="Invalid"/>
    <x v="0"/>
    <m/>
  </r>
  <r>
    <n v="582"/>
    <x v="56"/>
    <s v="Ahmed Maher"/>
    <x v="0"/>
    <s v="HSE "/>
    <x v="0"/>
    <x v="8"/>
    <x v="1"/>
    <s v="It has been observed material stored above the frames which may be a PDO "/>
    <x v="0"/>
    <s v="remove all the stored material"/>
    <s v="Cascade instructions during the massive TBT that store material above the frame or left it on it during the work execution is prohibtied"/>
    <s v="High"/>
    <s v="Medium"/>
    <s v="PTJ"/>
    <d v="2025-03-13T00:00:00"/>
    <x v="0"/>
    <m/>
  </r>
  <r>
    <n v="583"/>
    <x v="56"/>
    <s v="Ahmed Maher"/>
    <x v="0"/>
    <s v="HSE "/>
    <x v="0"/>
    <x v="4"/>
    <x v="0"/>
    <s v="It has been observed poor storage for CGC as  there is no segregation between them"/>
    <x v="0"/>
    <s v="Segregate the stored CGC immediately and conduct a survey for the rest of the stored CGC status"/>
    <m/>
    <m/>
    <m/>
    <m/>
    <s v="Invalid"/>
    <x v="0"/>
    <m/>
  </r>
  <r>
    <n v="584"/>
    <x v="56"/>
    <s v="Mohamed Abdallah"/>
    <x v="0"/>
    <s v="HSE "/>
    <x v="0"/>
    <x v="3"/>
    <x v="3"/>
    <s v="Poor Housekeeping and cable management at WS 3"/>
    <x v="0"/>
    <s v="the team maintain HK and proper cabvle managem,ent at the area"/>
    <m/>
    <m/>
    <m/>
    <m/>
    <s v="Invalid"/>
    <x v="0"/>
    <m/>
  </r>
  <r>
    <n v="585"/>
    <x v="56"/>
    <s v="Ahmed Maher"/>
    <x v="0"/>
    <s v="HSE "/>
    <x v="0"/>
    <x v="9"/>
    <x v="0"/>
    <s v="it has been observed and abgle grinder without a dead man swittch"/>
    <x v="0"/>
    <s v="Immediatelyt I got the angle grinder out of service and conduct a survey to check the status of the rest of the angle grinders"/>
    <m/>
    <m/>
    <m/>
    <m/>
    <s v="Invalid"/>
    <x v="0"/>
    <m/>
  </r>
  <r>
    <n v="586"/>
    <x v="56"/>
    <s v="Ahmed Maher"/>
    <x v="0"/>
    <s v="HSE "/>
    <x v="1"/>
    <x v="4"/>
    <x v="6"/>
    <s v="A grinder was grinding a metal work piece without securing it."/>
    <x v="0"/>
    <s v="Stop him and inform him to secure the metal piece using a vice."/>
    <m/>
    <m/>
    <m/>
    <m/>
    <s v="Invalid"/>
    <x v="0"/>
    <m/>
  </r>
  <r>
    <n v="587"/>
    <x v="56"/>
    <s v="Mohamed Abdallah"/>
    <x v="0"/>
    <s v="HSE "/>
    <x v="1"/>
    <x v="9"/>
    <x v="8"/>
    <s v="The banksman was standing in a position where he is not clear to the crane operator."/>
    <x v="3"/>
    <s v="Stop work and advising him to relocate his position and to confirm with the crane operator that he can fully see him."/>
    <m/>
    <m/>
    <m/>
    <m/>
    <s v="Invalid"/>
    <x v="0"/>
    <m/>
  </r>
  <r>
    <n v="588"/>
    <x v="56"/>
    <s v="Ahmed Maher"/>
    <x v="0"/>
    <s v="HSE "/>
    <x v="2"/>
    <x v="0"/>
    <x v="5"/>
    <s v="Safe Handling Of gas cylinder on trollys , secured by chain and provided with protection cap"/>
    <x v="5"/>
    <m/>
    <m/>
    <m/>
    <m/>
    <m/>
    <s v="Invalid"/>
    <x v="1"/>
    <m/>
  </r>
  <r>
    <n v="589"/>
    <x v="56"/>
    <s v="Ahmed Maher"/>
    <x v="0"/>
    <s v="HSE "/>
    <x v="3"/>
    <x v="2"/>
    <x v="0"/>
    <s v="observed that all pile  , machines in site  have been earthed "/>
    <x v="5"/>
    <m/>
    <m/>
    <m/>
    <m/>
    <m/>
    <s v="Invalid"/>
    <x v="1"/>
    <m/>
  </r>
  <r>
    <n v="590"/>
    <x v="56"/>
    <s v="Ibrahim Hamed"/>
    <x v="0"/>
    <s v="HSE "/>
    <x v="2"/>
    <x v="9"/>
    <x v="13"/>
    <s v="Clear access ways in the project area that enable easy access and egress from the area."/>
    <x v="5"/>
    <m/>
    <m/>
    <m/>
    <m/>
    <m/>
    <s v="Invalid"/>
    <x v="1"/>
    <m/>
  </r>
  <r>
    <n v="591"/>
    <x v="57"/>
    <s v="Ahmed Maher"/>
    <x v="0"/>
    <s v="HSE "/>
    <x v="0"/>
    <x v="9"/>
    <x v="0"/>
    <s v="Propane gauge wasnot working well "/>
    <x v="3"/>
    <s v="Informmed worker and sup to replace it , They  replaced it "/>
    <m/>
    <m/>
    <m/>
    <m/>
    <s v="Invalid"/>
    <x v="0"/>
    <m/>
  </r>
  <r>
    <n v="592"/>
    <x v="57"/>
    <s v="Mohamed Abdallah"/>
    <x v="0"/>
    <s v="HSE "/>
    <x v="0"/>
    <x v="9"/>
    <x v="3"/>
    <s v="Poor cable management may lead to trip hazard"/>
    <x v="0"/>
    <s v="cable management was done immediately"/>
    <m/>
    <m/>
    <m/>
    <m/>
    <s v="Invalid"/>
    <x v="0"/>
    <m/>
  </r>
  <r>
    <n v="593"/>
    <x v="57"/>
    <s v="Mohamed Abdallah"/>
    <x v="0"/>
    <s v="HSE "/>
    <x v="0"/>
    <x v="0"/>
    <x v="4"/>
    <s v="Grinder put grinding motor above Stand  , expose the machine to fall on the ground "/>
    <x v="0"/>
    <s v="normed the grinder , he adjusted the position of machine and secured it"/>
    <m/>
    <m/>
    <m/>
    <m/>
    <s v="Invalid"/>
    <x v="0"/>
    <m/>
  </r>
  <r>
    <n v="594"/>
    <x v="57"/>
    <s v="Ibrahim Hamed"/>
    <x v="0"/>
    <s v="HSE "/>
    <x v="0"/>
    <x v="9"/>
    <x v="3"/>
    <s v="Electric cables were running through a scaffolding structure."/>
    <x v="0"/>
    <s v="Inform PTJ HSE Officer and he informed the welders to remove the cables _x000a_away and carry out proper cable management ."/>
    <m/>
    <m/>
    <m/>
    <m/>
    <s v="Invalid"/>
    <x v="0"/>
    <m/>
  </r>
  <r>
    <n v="595"/>
    <x v="57"/>
    <s v="Mohamed Abdallah"/>
    <x v="0"/>
    <s v="HSE "/>
    <x v="0"/>
    <x v="3"/>
    <x v="6"/>
    <s v=" observed that  wrong  replacing method of  grinding disk."/>
    <x v="1"/>
    <s v=" Instructed the Grinders to use dedicaded tool  for changing grinding disks"/>
    <m/>
    <m/>
    <m/>
    <m/>
    <s v="Invalid"/>
    <x v="0"/>
    <m/>
  </r>
  <r>
    <n v="596"/>
    <x v="61"/>
    <s v="Ahmed Maher"/>
    <x v="0"/>
    <s v="HSE "/>
    <x v="1"/>
    <x v="4"/>
    <x v="1"/>
    <s v="Welder observed seating on the top of a frame approximately 1.5 m height _x000a_without any protection from falling and also there was no safe access, which may fall if lose his balance and got serious injuries."/>
    <x v="1"/>
    <s v="He was stopped and potential hazard was clarified immediately, PTJ HSE was informed to follow up similar cases and work supervisor was instructed to provide sufficient access platform for that task."/>
    <m/>
    <m/>
    <m/>
    <m/>
    <s v="Invalid"/>
    <x v="0"/>
    <m/>
  </r>
  <r>
    <n v="597"/>
    <x v="61"/>
    <s v="Ibrahim Hamed"/>
    <x v="0"/>
    <s v="HSE "/>
    <x v="1"/>
    <x v="0"/>
    <x v="8"/>
    <s v="It was observed that all banksman in the area not wearing high visibility jackets when performing there job and given signals to crane operators"/>
    <x v="1"/>
    <m/>
    <m/>
    <m/>
    <m/>
    <m/>
    <s v="Invalid"/>
    <x v="0"/>
    <m/>
  </r>
  <r>
    <n v="598"/>
    <x v="57"/>
    <s v="Ibrahim Hamed"/>
    <x v="0"/>
    <s v="HSE "/>
    <x v="0"/>
    <x v="9"/>
    <x v="3"/>
    <s v="some scrap Was found  on the ground causing some  tripping hazard "/>
    <x v="1"/>
    <s v="The supervisor was informed and removed immediately. "/>
    <m/>
    <m/>
    <m/>
    <m/>
    <s v="Invalid"/>
    <x v="0"/>
    <m/>
  </r>
  <r>
    <n v="599"/>
    <x v="57"/>
    <s v="Ahmed Maher"/>
    <x v="0"/>
    <s v="HSE "/>
    <x v="0"/>
    <x v="9"/>
    <x v="3"/>
    <s v="observed that scaffolding material scattered on the working area without arrangement "/>
    <x v="1"/>
    <s v="material was arranged immediately After inform scaffolding SUP"/>
    <m/>
    <m/>
    <m/>
    <m/>
    <s v="Invalid"/>
    <x v="0"/>
    <m/>
  </r>
  <r>
    <n v="600"/>
    <x v="57"/>
    <s v="Ibrahim Hamed"/>
    <x v="0"/>
    <s v="HSE "/>
    <x v="0"/>
    <x v="3"/>
    <x v="4"/>
    <s v="observed some welding cable were in the way of the forklift"/>
    <x v="1"/>
    <s v="stopped him and informed a welder to remove the cable  and he did immediately"/>
    <m/>
    <m/>
    <m/>
    <m/>
    <s v="Invalid"/>
    <x v="0"/>
    <m/>
  </r>
  <r>
    <n v="601"/>
    <x v="57"/>
    <s v="Mostafa Amin"/>
    <x v="0"/>
    <s v="HSE "/>
    <x v="1"/>
    <x v="5"/>
    <x v="2"/>
    <s v="It has been observed lack of PPRE of some team members at the night shift"/>
    <x v="3"/>
    <s v="I stpped the job ,.get them out of the working area inaddition to share with PTJ the observation to provide PPE for the team"/>
    <m/>
    <m/>
    <m/>
    <m/>
    <s v="Invalid"/>
    <x v="0"/>
    <m/>
  </r>
  <r>
    <n v="602"/>
    <x v="57"/>
    <s v="Mostafa Amin"/>
    <x v="0"/>
    <s v="HSE "/>
    <x v="1"/>
    <x v="4"/>
    <x v="0"/>
    <s v="it has been observed a grinder working with the angle grinder while there was a cut at the cable"/>
    <x v="3"/>
    <s v=" have stopped the job , get the grinder out of service and instruct all the the fitters at the workshop to inspect the anle grinder cables "/>
    <m/>
    <m/>
    <m/>
    <m/>
    <s v="Invalid"/>
    <x v="0"/>
    <m/>
  </r>
  <r>
    <n v="603"/>
    <x v="53"/>
    <s v="Ahmed Maher"/>
    <x v="0"/>
    <s v="HSE "/>
    <x v="3"/>
    <x v="9"/>
    <x v="5"/>
    <s v=" A worker has completely checked the gas cylinder parts before usage, to ensure that cylinder, hose, pressure regulator and burning torch are safe to use."/>
    <x v="5"/>
    <m/>
    <m/>
    <m/>
    <m/>
    <m/>
    <s v="Invalid"/>
    <x v="1"/>
    <m/>
  </r>
  <r>
    <n v="604"/>
    <x v="71"/>
    <s v="Mohamed Abdallah"/>
    <x v="0"/>
    <s v="HSE "/>
    <x v="0"/>
    <x v="3"/>
    <x v="8"/>
    <s v="Observed crane blocking the access way and will remain in the same position."/>
    <x v="3"/>
    <s v="Another access way was made in the project area"/>
    <m/>
    <m/>
    <m/>
    <m/>
    <s v="Invalid"/>
    <x v="0"/>
    <m/>
  </r>
  <r>
    <n v="605"/>
    <x v="71"/>
    <s v="Ibrahim Hamed"/>
    <x v="0"/>
    <s v="HSE "/>
    <x v="0"/>
    <x v="7"/>
    <x v="3"/>
    <s v="Observed scattered welding electrodes residue on top of scaffolds and under structures - trash bin placed in improper  place"/>
    <x v="0"/>
    <s v="Buckets were provided to welders to maintain good housekeeping -trash bin relocated immediately"/>
    <m/>
    <m/>
    <m/>
    <m/>
    <s v="Invalid"/>
    <x v="0"/>
    <m/>
  </r>
  <r>
    <n v="606"/>
    <x v="62"/>
    <s v="Mohamed Abdallah"/>
    <x v="0"/>
    <s v="HSE "/>
    <x v="0"/>
    <x v="4"/>
    <x v="3"/>
    <s v="Welding cables were not well organized."/>
    <x v="0"/>
    <s v="Cable management was done"/>
    <m/>
    <m/>
    <m/>
    <m/>
    <s v="Invalid"/>
    <x v="0"/>
    <m/>
  </r>
  <r>
    <n v="607"/>
    <x v="62"/>
    <s v="Kareem Ehab"/>
    <x v="0"/>
    <s v="HSE "/>
    <x v="2"/>
    <x v="0"/>
    <x v="3"/>
    <s v="Good and safe scaffold / means of access "/>
    <x v="5"/>
    <s v=" appreciated effort from workers."/>
    <m/>
    <m/>
    <m/>
    <m/>
    <s v="Invalid"/>
    <x v="1"/>
    <m/>
  </r>
  <r>
    <n v="608"/>
    <x v="62"/>
    <s v="Mohamed Abdallah"/>
    <x v="0"/>
    <s v="HSE "/>
    <x v="0"/>
    <x v="7"/>
    <x v="3"/>
    <s v="Housekeeping improvement is required."/>
    <x v="0"/>
    <s v="housekeeping has been done "/>
    <m/>
    <m/>
    <m/>
    <m/>
    <s v="Invalid"/>
    <x v="0"/>
    <m/>
  </r>
  <r>
    <n v="609"/>
    <x v="62"/>
    <s v="Mohamed Abdallah"/>
    <x v="0"/>
    <s v="HSE "/>
    <x v="0"/>
    <x v="2"/>
    <x v="3"/>
    <s v="Cable management: not used earthing cable is connected to structure causing mess cable management."/>
    <x v="0"/>
    <s v="Cable management was done"/>
    <m/>
    <m/>
    <m/>
    <m/>
    <s v="Invalid"/>
    <x v="0"/>
    <m/>
  </r>
  <r>
    <n v="610"/>
    <x v="63"/>
    <s v="Mohamed Abdallah"/>
    <x v="0"/>
    <s v="HSE "/>
    <x v="2"/>
    <x v="3"/>
    <x v="3"/>
    <s v="Good cable management "/>
    <x v="5"/>
    <s v="Appreciate the good job."/>
    <m/>
    <m/>
    <m/>
    <m/>
    <s v="Invalid"/>
    <x v="1"/>
    <m/>
  </r>
  <r>
    <n v="611"/>
    <x v="63"/>
    <s v="Mohamed Abdallah"/>
    <x v="0"/>
    <s v="HSE "/>
    <x v="3"/>
    <x v="1"/>
    <x v="5"/>
    <s v="Observed welder was wearing full PPE (Coverall-face shield-gloves-leather sleeves-apron) and using buckets to collect welding residue to maintain good housekeeping"/>
    <x v="5"/>
    <s v="Appreciate the good job."/>
    <m/>
    <m/>
    <m/>
    <m/>
    <s v="Invalid"/>
    <x v="1"/>
    <m/>
  </r>
  <r>
    <n v="612"/>
    <x v="63"/>
    <s v="Ibrahim Hamed"/>
    <x v="0"/>
    <s v="HSE "/>
    <x v="0"/>
    <x v="3"/>
    <x v="3"/>
    <s v="observed that small wooden pieces on the ground that hinder workers while walking"/>
    <x v="0"/>
    <s v="The supervisor has been notified and the wood pieces have been removed immediately"/>
    <m/>
    <m/>
    <m/>
    <m/>
    <s v="Invalid"/>
    <x v="0"/>
    <m/>
  </r>
  <r>
    <n v="613"/>
    <x v="64"/>
    <s v="Mohamed Abdallah"/>
    <x v="0"/>
    <s v="HSE "/>
    <x v="0"/>
    <x v="3"/>
    <x v="3"/>
    <s v=" observed  some metal piece was left in the access way which may cause tripping hazards."/>
    <x v="0"/>
    <s v="Highlighted the tripping hazard and the poor housekeeping with area supervisor and he arranged for the corrective action immediately"/>
    <m/>
    <m/>
    <m/>
    <m/>
    <s v="Invalid"/>
    <x v="0"/>
    <m/>
  </r>
  <r>
    <n v="614"/>
    <x v="64"/>
    <s v="Mohamed Abdallah"/>
    <x v="0"/>
    <s v="HSE "/>
    <x v="0"/>
    <x v="8"/>
    <x v="6"/>
    <s v="Observed a grinder was operating and did not secure the workpiece which may fall during work,"/>
    <x v="0"/>
    <s v="Stopped the grinder and spoke to him about a safe way of work and he secured the workpiece and returned to work."/>
    <m/>
    <m/>
    <m/>
    <m/>
    <s v="Invalid"/>
    <x v="0"/>
    <m/>
  </r>
  <r>
    <n v="615"/>
    <x v="64"/>
    <s v="Ibrahim Hamed"/>
    <x v="0"/>
    <s v="HSE "/>
    <x v="0"/>
    <x v="8"/>
    <x v="0"/>
    <s v="Found some electrical wires on sharp edges."/>
    <x v="3"/>
    <s v="Remove and allocating the wires away from the sharp edges."/>
    <m/>
    <m/>
    <m/>
    <m/>
    <s v="Invalid"/>
    <x v="0"/>
    <m/>
  </r>
  <r>
    <n v="616"/>
    <x v="64"/>
    <s v="Mohamed Abdallah"/>
    <x v="0"/>
    <s v="HSE "/>
    <x v="0"/>
    <x v="3"/>
    <x v="3"/>
    <s v="observed that no scrab waste basket inside the site"/>
    <x v="2"/>
    <s v=" supervisor has been notified and a basket has been provided"/>
    <m/>
    <m/>
    <m/>
    <m/>
    <s v="Invalid"/>
    <x v="0"/>
    <m/>
  </r>
  <r>
    <n v="617"/>
    <x v="64"/>
    <s v="Ahmed Maher"/>
    <x v="0"/>
    <s v="HSE "/>
    <x v="0"/>
    <x v="9"/>
    <x v="3"/>
    <s v="It has been observed blocked access for the scaffold at the area "/>
    <x v="0"/>
    <s v="remove the material stored infront the scaffold access"/>
    <m/>
    <m/>
    <m/>
    <m/>
    <s v="Invalid"/>
    <x v="0"/>
    <m/>
  </r>
  <r>
    <n v="618"/>
    <x v="65"/>
    <s v="Ahmed Maher"/>
    <x v="0"/>
    <s v="HSE "/>
    <x v="0"/>
    <x v="4"/>
    <x v="3"/>
    <s v="Poor Housekeeping at the area"/>
    <x v="0"/>
    <s v="The team maintain the housekeeping at the area"/>
    <m/>
    <m/>
    <m/>
    <m/>
    <s v="Invalid"/>
    <x v="0"/>
    <m/>
  </r>
  <r>
    <n v="619"/>
    <x v="65"/>
    <s v="Mohamed Abdallah"/>
    <x v="0"/>
    <s v="HSE "/>
    <x v="0"/>
    <x v="9"/>
    <x v="1"/>
    <s v="It has been observed uncovered hall of the ballet while the team executing activties above it which may lead to potential fall of personnel"/>
    <x v="0"/>
    <s v="Erect a guard rail around the opening"/>
    <m/>
    <m/>
    <m/>
    <m/>
    <s v="Invalid"/>
    <x v="0"/>
    <m/>
  </r>
  <r>
    <n v="620"/>
    <x v="66"/>
    <s v="Ahmed Maher"/>
    <x v="0"/>
    <s v="HSE "/>
    <x v="0"/>
    <x v="4"/>
    <x v="7"/>
    <s v="It has been observed poor lighting at the area"/>
    <x v="0"/>
    <s v="an extra  lighting tower provided to cover the area"/>
    <m/>
    <m/>
    <m/>
    <m/>
    <s v="Invalid"/>
    <x v="0"/>
    <m/>
  </r>
  <r>
    <n v="621"/>
    <x v="67"/>
    <s v="Ibrahim Hamed"/>
    <x v="0"/>
    <s v="HSE "/>
    <x v="0"/>
    <x v="4"/>
    <x v="3"/>
    <s v="The use the cupboard of the Co2 welding machine  as a storage container"/>
    <x v="0"/>
    <s v="Free the cupboard and rearrangement for it"/>
    <m/>
    <m/>
    <m/>
    <m/>
    <s v="Invalid"/>
    <x v="0"/>
    <m/>
  </r>
  <r>
    <n v="622"/>
    <x v="72"/>
    <s v="Ibrahim Hamed"/>
    <x v="0"/>
    <s v="HSE "/>
    <x v="0"/>
    <x v="3"/>
    <x v="0"/>
    <s v="it has been observed the Co2 cylinders are operated without placeing the cap of the CGC "/>
    <x v="0"/>
    <s v="immediately I install the cap on all CGC"/>
    <m/>
    <m/>
    <m/>
    <m/>
    <s v="Invalid"/>
    <x v="0"/>
    <m/>
  </r>
  <r>
    <n v="623"/>
    <x v="69"/>
    <s v="Ahmed Maher"/>
    <x v="0"/>
    <s v="HSE "/>
    <x v="1"/>
    <x v="4"/>
    <x v="5"/>
    <s v="It has been observed a fitter executing a cutting activity while the hoses are _x000a_directly underneath the resulted spark"/>
    <x v="3"/>
    <s v="I have intervened and stop the work immediately rectify the hoses management_x000a_and conduct on spot coaching for the all fitters on the area"/>
    <m/>
    <m/>
    <m/>
    <m/>
    <s v="Invalid"/>
    <x v="0"/>
    <m/>
  </r>
  <r>
    <n v="624"/>
    <x v="68"/>
    <s v="Mohamed Abdallah"/>
    <x v="0"/>
    <s v="HSE "/>
    <x v="0"/>
    <x v="9"/>
    <x v="3"/>
    <s v="Observed poor House keeping and improper material arrangement "/>
    <x v="1"/>
    <m/>
    <m/>
    <m/>
    <m/>
    <m/>
    <s v="Invalid"/>
    <x v="0"/>
    <m/>
  </r>
  <r>
    <n v="625"/>
    <x v="73"/>
    <s v="Kareem Ehab"/>
    <x v="0"/>
    <s v="HSE "/>
    <x v="0"/>
    <x v="4"/>
    <x v="1"/>
    <s v="It has been observed material stored above the frames which may be a PDO"/>
    <x v="0"/>
    <s v="immediately put the material down and instruct  the teamto don’t store any material above the frames"/>
    <m/>
    <m/>
    <m/>
    <m/>
    <s v="Invalid"/>
    <x v="0"/>
    <m/>
  </r>
  <r>
    <n v="626"/>
    <x v="73"/>
    <s v="Ahmed Maher"/>
    <x v="0"/>
    <s v="HSE "/>
    <x v="0"/>
    <x v="4"/>
    <x v="0"/>
    <s v="still observe presurreized CGC while being unattended"/>
    <x v="0"/>
    <s v="Release the pressure from the CGC and check the status of the other cylinders prior start executing the task and emphasize during the TBT to release the pressure of the CGC while being unattended"/>
    <m/>
    <m/>
    <m/>
    <m/>
    <s v="Invalid"/>
    <x v="0"/>
    <m/>
  </r>
  <r>
    <n v="627"/>
    <x v="73"/>
    <s v="Ahmed Maher"/>
    <x v="0"/>
    <s v="HSE "/>
    <x v="0"/>
    <x v="4"/>
    <x v="3"/>
    <s v="It has been observed poor cable management at area b "/>
    <x v="3"/>
    <s v="Stop the work and maintain cable management at the area then resume the activities at the area"/>
    <m/>
    <m/>
    <m/>
    <m/>
    <s v="Invalid"/>
    <x v="0"/>
    <m/>
  </r>
  <r>
    <n v="628"/>
    <x v="74"/>
    <s v="Mohamed Abdallah"/>
    <x v="0"/>
    <s v="HSE "/>
    <x v="0"/>
    <x v="3"/>
    <x v="2"/>
    <s v="It has been observed lack of PPE of some team members at the night shift"/>
    <x v="3"/>
    <s v="I stpped the job ,.get them out of the working area inaddition to share with PTJ the observation to provide PPE for the team"/>
    <m/>
    <m/>
    <m/>
    <m/>
    <s v="Invalid"/>
    <x v="0"/>
    <m/>
  </r>
  <r>
    <n v="629"/>
    <x v="74"/>
    <s v="Ahmed Maher"/>
    <x v="0"/>
    <s v="HSE "/>
    <x v="1"/>
    <x v="3"/>
    <x v="0"/>
    <s v="it has been observed a grinder working with the angle grinder while there was a cut at the cable"/>
    <x v="3"/>
    <s v=" have stopped the job , get the grinder out of service and instruct all the the fitters at the workshop to inspect the anle grinder cables "/>
    <m/>
    <m/>
    <m/>
    <m/>
    <s v="Invalid"/>
    <x v="0"/>
    <m/>
  </r>
  <r>
    <n v="630"/>
    <x v="74"/>
    <s v="Ahmed Maher"/>
    <x v="0"/>
    <s v="HSE "/>
    <x v="1"/>
    <x v="0"/>
    <x v="0"/>
    <s v="It has been observed the team left the angle grinders connected to the electricity while not being used"/>
    <x v="1"/>
    <s v="Isolate the angle grinder and instruct the team to ensure isolation of the power tool while being not used"/>
    <m/>
    <m/>
    <m/>
    <m/>
    <s v="Invalid"/>
    <x v="0"/>
    <m/>
  </r>
  <r>
    <n v="631"/>
    <x v="75"/>
    <s v="Mohamed Abdallah"/>
    <x v="0"/>
    <s v="HSE "/>
    <x v="2"/>
    <x v="8"/>
    <x v="3"/>
    <s v="observed welding cables and electrical cables are separated properly "/>
    <x v="5"/>
    <s v="Appreciated the good work"/>
    <m/>
    <m/>
    <m/>
    <m/>
    <s v="Invalid"/>
    <x v="1"/>
    <m/>
  </r>
  <r>
    <n v="632"/>
    <x v="75"/>
    <s v="Ahmed Maher"/>
    <x v="0"/>
    <s v="HSE "/>
    <x v="0"/>
    <x v="4"/>
    <x v="0"/>
    <s v="observed welding cable in bad condition lead to electrical hazard "/>
    <x v="3"/>
    <s v="Stooped the welder and asked electrician to fix it "/>
    <m/>
    <m/>
    <m/>
    <m/>
    <s v="Invalid"/>
    <x v="0"/>
    <m/>
  </r>
  <r>
    <n v="633"/>
    <x v="75"/>
    <s v="Kareem Ehab"/>
    <x v="0"/>
    <s v="HSE "/>
    <x v="0"/>
    <x v="7"/>
    <x v="8"/>
    <s v="Observed defective webbing sling that needs to be excluded from site."/>
    <x v="0"/>
    <s v="It has been excluded immediately."/>
    <m/>
    <m/>
    <m/>
    <m/>
    <s v="Invalid"/>
    <x v="0"/>
    <m/>
  </r>
  <r>
    <n v="634"/>
    <x v="75"/>
    <s v="Mohamed Abdallah"/>
    <x v="0"/>
    <s v="HSE "/>
    <x v="1"/>
    <x v="7"/>
    <x v="2"/>
    <s v="observed grinder was working without waering gloves "/>
    <x v="3"/>
    <s v="stopped him , advised him  to wear ear plugs and he did  "/>
    <m/>
    <m/>
    <m/>
    <m/>
    <s v="Invalid"/>
    <x v="0"/>
    <m/>
  </r>
  <r>
    <n v="635"/>
    <x v="75"/>
    <s v="Kareem Ehab"/>
    <x v="0"/>
    <s v="HSE "/>
    <x v="1"/>
    <x v="4"/>
    <x v="2"/>
    <s v="Worker on the scaffold with yellow card without a safety harness."/>
    <x v="3"/>
    <s v="stopped him , advised him  to wear ear plugs and he did  "/>
    <m/>
    <m/>
    <m/>
    <m/>
    <s v="Invalid"/>
    <x v="0"/>
    <m/>
  </r>
  <r>
    <n v="636"/>
    <x v="75"/>
    <s v="Ahmed Maher"/>
    <x v="0"/>
    <s v="HSE "/>
    <x v="2"/>
    <x v="3"/>
    <x v="8"/>
    <s v="Lifting equipments and tools are inspected , color coded and with valid callibration certificates "/>
    <x v="5"/>
    <s v="encourage workers to keep up good standard "/>
    <m/>
    <m/>
    <m/>
    <m/>
    <s v="Invalid"/>
    <x v="1"/>
    <m/>
  </r>
  <r>
    <n v="637"/>
    <x v="76"/>
    <s v="Ahmed Maher"/>
    <x v="0"/>
    <s v="HSE "/>
    <x v="1"/>
    <x v="3"/>
    <x v="14"/>
    <s v="Fork lift driver Using cellular phone during driving "/>
    <x v="3"/>
    <s v="Stopped the operation and spoke to the fork lift driver to not use cellular phone while he's driving "/>
    <m/>
    <m/>
    <m/>
    <m/>
    <s v="Invalid"/>
    <x v="0"/>
    <m/>
  </r>
  <r>
    <n v="638"/>
    <x v="76"/>
    <s v="Mohamed Abdallah"/>
    <x v="0"/>
    <s v="HSE "/>
    <x v="0"/>
    <x v="4"/>
    <x v="13"/>
    <s v="A work spot haven't emergency access "/>
    <x v="0"/>
    <s v="ask the area sup to open agate in the hared barricade and make emergency access  "/>
    <m/>
    <m/>
    <m/>
    <m/>
    <s v="Invalid"/>
    <x v="0"/>
    <m/>
  </r>
  <r>
    <n v="639"/>
    <x v="76"/>
    <s v="Mohamed Abdallah"/>
    <x v="0"/>
    <s v="HSE "/>
    <x v="0"/>
    <x v="1"/>
    <x v="3"/>
    <s v="cables need to arrangement "/>
    <x v="0"/>
    <s v="Ask the welding sup to arrangement the cables and he do it immediately"/>
    <m/>
    <m/>
    <m/>
    <m/>
    <s v="Invalid"/>
    <x v="0"/>
    <m/>
  </r>
  <r>
    <n v="640"/>
    <x v="76"/>
    <s v="Ahmed Maher"/>
    <x v="0"/>
    <s v="HSE "/>
    <x v="0"/>
    <x v="9"/>
    <x v="5"/>
    <s v="observed grinding spark was towards gas cylinder "/>
    <x v="3"/>
    <s v="stopped him to remove cylinder away  from grinding operation area , advised him to focus on the direction of sparks all the time "/>
    <m/>
    <m/>
    <m/>
    <m/>
    <s v="Invalid"/>
    <x v="0"/>
    <m/>
  </r>
  <r>
    <n v="641"/>
    <x v="76"/>
    <s v="Mohamed Abdallah"/>
    <x v="0"/>
    <s v="HSE "/>
    <x v="0"/>
    <x v="4"/>
    <x v="3"/>
    <s v="Poor housekeeping underneath the structure."/>
    <x v="0"/>
    <s v="housekeeping is done "/>
    <m/>
    <m/>
    <m/>
    <m/>
    <s v="Invalid"/>
    <x v="0"/>
    <m/>
  </r>
  <r>
    <n v="642"/>
    <x v="76"/>
    <s v="Mohamed Abdallah"/>
    <x v="0"/>
    <s v="HSE "/>
    <x v="1"/>
    <x v="7"/>
    <x v="2"/>
    <s v="Observed some workers not wearing safety glasses."/>
    <x v="0"/>
    <s v="Awareness held to all workers on the same day about use of PPE."/>
    <m/>
    <m/>
    <m/>
    <m/>
    <s v="Invalid"/>
    <x v="0"/>
    <m/>
  </r>
  <r>
    <n v="643"/>
    <x v="76"/>
    <s v="Ahmed Maher"/>
    <x v="0"/>
    <s v="HSE "/>
    <x v="1"/>
    <x v="7"/>
    <x v="2"/>
    <s v="one of the welders work without full PPE  "/>
    <x v="3"/>
    <s v="stopped him and tolk with him aabout the nessesry of PPE and he wear his full PPE"/>
    <m/>
    <m/>
    <m/>
    <m/>
    <s v="Invalid"/>
    <x v="0"/>
    <m/>
  </r>
  <r>
    <n v="644"/>
    <x v="76"/>
    <s v="Ahmed Maher"/>
    <x v="0"/>
    <s v="HSE "/>
    <x v="0"/>
    <x v="3"/>
    <x v="0"/>
    <s v="still observe presurreized CGC while being unattended"/>
    <x v="0"/>
    <s v="Release the pressure from the CGC and check the status of the other cylinders prior start executing the task and emphasize during the TBT to release the pressure of the CGC while being unattended"/>
    <m/>
    <m/>
    <m/>
    <m/>
    <s v="Invalid"/>
    <x v="0"/>
    <m/>
  </r>
  <r>
    <n v="645"/>
    <x v="76"/>
    <s v="Mohamed Abdallah"/>
    <x v="0"/>
    <s v="HSE "/>
    <x v="0"/>
    <x v="7"/>
    <x v="3"/>
    <s v="It has been observed poor cable management at area b "/>
    <x v="3"/>
    <s v="Stop the work and maintain cable management at the area then resume the activities at the area"/>
    <m/>
    <m/>
    <m/>
    <m/>
    <s v="Invalid"/>
    <x v="0"/>
    <m/>
  </r>
  <r>
    <n v="646"/>
    <x v="65"/>
    <s v="Gamal Abdelgawad"/>
    <x v="1"/>
    <s v="Fabrication"/>
    <x v="2"/>
    <x v="4"/>
    <x v="3"/>
    <s v="CPY observed a proper Housekeeping for fabrication activities included prefabrication and welding/NDE, have been carried out properly, inside fabrication workshop#3."/>
    <x v="5"/>
    <s v="CPY approach TFMC / PTJ HSE representative, to encourage the whole team have been involved in the lifting operation, for their commitment to HSE rules and requirements."/>
    <m/>
    <m/>
    <m/>
    <m/>
    <s v="Invalid"/>
    <x v="1"/>
    <m/>
  </r>
  <r>
    <n v="647"/>
    <x v="65"/>
    <s v="Gamal Abdelgawad"/>
    <x v="1"/>
    <s v="Fabrication"/>
    <x v="2"/>
    <x v="0"/>
    <x v="8"/>
    <s v="CPY observed a proper lifting operation has been carried out, during lifting / moving pad eyes using gantry crane, inside main fabrication workshop#1."/>
    <x v="5"/>
    <s v="CPY approach TFMC / PTJ HSE representative, to encourage the whole team have been involved in the lifting operation, for their commitment to HSE rules and requirements during the execution."/>
    <m/>
    <m/>
    <m/>
    <m/>
    <s v="Invalid"/>
    <x v="1"/>
    <m/>
  </r>
  <r>
    <n v="648"/>
    <x v="65"/>
    <s v="Gamal Abdelgawad"/>
    <x v="1"/>
    <s v="Fabrication"/>
    <x v="1"/>
    <x v="5"/>
    <x v="2"/>
    <s v="Lack of wearing basic / mandatory PPE (Clear Glass) by welding and rigging teams, inside all fabrication workshops."/>
    <x v="1"/>
    <s v="Discussed the point in person with the team, then informed PTJ/ TFMC HSE, to provide a basic / mandatory PPE to the welding and rigging teams._x000a_CPY recommended to reiterate this topic during the TBT to encourage the WELDING team for wearing proper PPE inside workshop."/>
    <m/>
    <m/>
    <m/>
    <m/>
    <s v="Invalid"/>
    <x v="0"/>
    <m/>
  </r>
  <r>
    <n v="649"/>
    <x v="65"/>
    <s v="Gamal Abdelgawad"/>
    <x v="1"/>
    <s v="Fabrication"/>
    <x v="0"/>
    <x v="0"/>
    <x v="3"/>
    <s v="CPY observed that, leftover of Wooden ballet with stand nails at the end of Workshop #1."/>
    <x v="1"/>
    <s v="Informed Petrojet TFMC / HSE, to do all necessary for proper housekeeping for this specific part of Workshop #1._x000a_Ensure this topic will be re-highlighted during TBT, to encourage PTJ workers to keep all yard facilities clean inline with HSE CPY requirements."/>
    <m/>
    <m/>
    <m/>
    <m/>
    <s v="Invalid"/>
    <x v="0"/>
    <m/>
  </r>
  <r>
    <n v="650"/>
    <x v="65"/>
    <s v="Gamal Abdelgawad"/>
    <x v="1"/>
    <s v="Fabrication"/>
    <x v="0"/>
    <x v="3"/>
    <x v="10"/>
    <s v="CPY observed that, PTJ supervisions not intervening when seeing workers doing unsafe act;"/>
    <x v="1"/>
    <s v="CPY approached TFMC / PTJ HSE, to do all necessary corrective actions for this concern and encourage / ensure that PTJ supervisions are intervening all unsafe act._x000a_CPY recommended to reiterate and reinforce this topic to encourage PTJ supervisions are intervening all unsafe act."/>
    <m/>
    <m/>
    <m/>
    <m/>
    <s v="Invalid"/>
    <x v="0"/>
    <m/>
  </r>
  <r>
    <n v="651"/>
    <x v="66"/>
    <s v="Ehab Ibrahim Hassan"/>
    <x v="1"/>
    <s v="Coating Inspector"/>
    <x v="1"/>
    <x v="6"/>
    <x v="16"/>
    <s v="During a walkthrough in the yard, I noticed admin employee of PETROJET talking on the phone while walking"/>
    <x v="1"/>
    <s v="Advised him not to use the phone while walking as this is unsafe behavior."/>
    <s v="Develop a Plan that idenify the usage of the mobile phones and its restrictions at the wotk site"/>
    <s v="Medium"/>
    <s v="Medium"/>
    <s v="PTJ HSE"/>
    <d v="2025-07-12T00:00:00"/>
    <x v="0"/>
    <m/>
  </r>
  <r>
    <n v="652"/>
    <x v="65"/>
    <s v="Ehab Ibrahim Hassan"/>
    <x v="1"/>
    <s v="Coating Inspector"/>
    <x v="1"/>
    <x v="6"/>
    <x v="2"/>
    <s v="While painting steel structure with brushes for strip coat, it was noticed that some technician was doing the job without wearing the chemical mask."/>
    <x v="1"/>
    <s v="Advised him to use chemical mask during painting process to protect his lungs from inhaling any VOC(volatile organic compound)."/>
    <m/>
    <m/>
    <m/>
    <m/>
    <s v="Invalid"/>
    <x v="0"/>
    <m/>
  </r>
  <r>
    <n v="653"/>
    <x v="63"/>
    <s v="Ehab Ibrahim Hassan"/>
    <x v="1"/>
    <s v="Coating Inspector"/>
    <x v="1"/>
    <x v="6"/>
    <x v="2"/>
    <s v="During mechanical repairs for steel structure after blasting, it was noticed that some technician was using the grinding machine without gloves._x000a_"/>
    <x v="1"/>
    <s v="Advised him to use proper gloves to avoid any injury to his hands."/>
    <m/>
    <m/>
    <m/>
    <m/>
    <s v="Invalid"/>
    <x v="0"/>
    <m/>
  </r>
  <r>
    <n v="654"/>
    <x v="77"/>
    <s v="Ehab Ibrahim Hassan"/>
    <x v="1"/>
    <s v="Coating Inspector"/>
    <x v="1"/>
    <x v="6"/>
    <x v="2"/>
    <s v="While in the blasting yard, it was noticed that a technician was not using his earplugs during blasting process."/>
    <x v="1"/>
    <s v="Advised him to use his earplugs during blasting"/>
    <m/>
    <m/>
    <m/>
    <m/>
    <s v="Invalid"/>
    <x v="0"/>
    <m/>
  </r>
  <r>
    <n v="655"/>
    <x v="66"/>
    <s v="Malcolm Garrington"/>
    <x v="1"/>
    <s v="Project Manager"/>
    <x v="1"/>
    <x v="9"/>
    <x v="8"/>
    <s v="CPY noted that a lifting of a structural support activity was ongoing, when CPY observed that the banksman had his hands all over the lifted structure, likewise the one of the road tag guys. The other had a tag line attached but was doing nothing."/>
    <x v="1"/>
    <s v="CPY requested that the rigging banksman stopped the work while CPY proceeded to discuss the lack of rigging performances. It was very obvious that the rigging crew did not thing right within the correct lifting methodologies and therefore CPY liaised with PTJ HSE advisor to request that all be given training or remove from project."/>
    <s v="PTJ complete training and follow up at site by rigging supervisor / HSE team to ensure rigging crew know what and how to do their skill."/>
    <s v="Medium"/>
    <s v="Medium"/>
    <s v="PTJ Fab Manager"/>
    <d v="2025-03-24T00:00:00"/>
    <x v="0"/>
    <m/>
  </r>
  <r>
    <n v="656"/>
    <x v="66"/>
    <s v="Malcolm Garrington"/>
    <x v="1"/>
    <s v="Project Manager"/>
    <x v="1"/>
    <x v="0"/>
    <x v="2"/>
    <s v="CPY noted that a PTJ workers was sitting in W/S #1 with no glasses on and sleeves_x000a_rolled up. Following CPY interaction it was noted that worker had not completed_x000a_the site HSE induction and had no visible label / sticker on his helmet._x000a_This is a blatant violation, and which has been discussed on several occasions,_x000a_these PTJ workers are placed within a very hazard fabrication workshop and_x000a_without knowledge on how to conduct his job safety while in such a hazardous_x000a_area is basically incorrect and has a high probability of an incident "/>
    <x v="1"/>
    <s v="CPY intervened and requested PTJ HSE and TFMC HSE Advisors to remove worker_x000a_from fabrication shop, complete the induction and then return to work._x000a_PTJ HSE Manager and Construction Management to ensure all personnel have_x000a_completed the mandatory HSE site induction(s). PTJ are fully responsible and_x000a_accountable for this requirement."/>
    <m/>
    <m/>
    <m/>
    <m/>
    <s v="Invalid"/>
    <x v="0"/>
    <m/>
  </r>
  <r>
    <n v="657"/>
    <x v="66"/>
    <s v="Malcolm Garrington"/>
    <x v="1"/>
    <s v="Project Manager"/>
    <x v="1"/>
    <x v="5"/>
    <x v="2"/>
    <s v="CPY noted that a PTJ several workers are not wearing the safety glasses while in the fabrication yard."/>
    <x v="1"/>
    <s v="CPY intervened and requested PTJ workers to put their safety glasses on as per advertised by the yard wide PPE related safety boards._x000a_PTJ to reiterate during TBT(s) and discuss the consequences of workers not_x000a_wearing correct PPE."/>
    <m/>
    <m/>
    <m/>
    <m/>
    <s v="Invalid"/>
    <x v="0"/>
    <m/>
  </r>
  <r>
    <n v="658"/>
    <x v="65"/>
    <s v="Reda Zaghloul"/>
    <x v="1"/>
    <s v="QC"/>
    <x v="1"/>
    <x v="4"/>
    <x v="4"/>
    <s v="One welder was noticed in unsafe position during carrying out welding operation."/>
    <x v="2"/>
    <s v="I highlighted the issue to area HSE._x000a_This unsafe condition was brought to the attention of PTJ area HSE officer."/>
    <m/>
    <m/>
    <m/>
    <m/>
    <m/>
    <x v="0"/>
    <m/>
  </r>
  <r>
    <n v="659"/>
    <x v="77"/>
    <s v="Reda Zaghloul"/>
    <x v="1"/>
    <s v="QC"/>
    <x v="1"/>
    <x v="0"/>
    <x v="4"/>
    <s v="One worker was noticed very close to heating torch during performing welding preheat."/>
    <x v="2"/>
    <s v="I highlighted the issue to area HSE._x000a_This unsafe condition was brought to the attention of PTJ area HSE officer."/>
    <m/>
    <m/>
    <m/>
    <m/>
    <m/>
    <x v="0"/>
    <m/>
  </r>
  <r>
    <n v="660"/>
    <x v="64"/>
    <s v="Mohamed Nasr"/>
    <x v="1"/>
    <s v="HSE "/>
    <x v="0"/>
    <x v="8"/>
    <x v="0"/>
    <s v="During inspection it was observed that Co2 welding machine cable was raped with duct tape."/>
    <x v="0"/>
    <s v="Informed TFMC &amp; PTJ HSE and the duct tape was removed and double cable isolation was added by shift electrician._x000a_1- All Equipment’s must be inspected before starting any task._x000a_2- Any defect equipment should be removed from site._x000a_3- After completing the task pressure must be released."/>
    <m/>
    <m/>
    <m/>
    <m/>
    <s v="Invalid"/>
    <x v="0"/>
    <m/>
  </r>
  <r>
    <n v="661"/>
    <x v="64"/>
    <s v="Mohamed Nasr"/>
    <x v="1"/>
    <s v="HSE "/>
    <x v="0"/>
    <x v="0"/>
    <x v="0"/>
    <s v="During inspection it was observed Gas cylinder hose damaged."/>
    <x v="0"/>
    <s v="Informed PTJ supervisor that he either change the hose or remove the cylinder from WS._x000a_1- All Equipment’s must be inspected before starting any task._x000a_2- Any defect equipment should be removed from site._x000a_3- After completing the task pressure must be released."/>
    <m/>
    <m/>
    <m/>
    <m/>
    <s v="Invalid"/>
    <x v="0"/>
    <m/>
  </r>
  <r>
    <n v="662"/>
    <x v="64"/>
    <s v="Mohamed Nasr"/>
    <x v="1"/>
    <s v="HSE "/>
    <x v="0"/>
    <x v="4"/>
    <x v="1"/>
    <s v="During inspection it was observed that the scaffolding step used by welder is high and he is not secured, also the wood of the step was not arranged properly and easily trip the welder."/>
    <x v="2"/>
    <s v="Informed the welders to come down informed TFMC HSE to bring the scaffolder and come, I advised the scaffolder to erect to sides with mid rail and hand rail the third side kept so the welder can use the ladder of the main scaffolding on the frame to come down._x000a_1- Any working at heights should be secured by scaffolding._x000a_2- Scaffolding to have green Scaff tag on it._x000a_3- Any worker should study first his position and where he will work and if_x000a_he needs modification, he should ask not put himself at risk."/>
    <m/>
    <m/>
    <m/>
    <m/>
    <s v="Invalid"/>
    <x v="0"/>
    <m/>
  </r>
  <r>
    <n v="663"/>
    <x v="64"/>
    <s v="Mohamed Nasr"/>
    <x v="1"/>
    <s v="HSE "/>
    <x v="0"/>
    <x v="2"/>
    <x v="8"/>
    <s v="During inspection it was observed webbing sling with signs of abrasion and sparks burning traces."/>
    <x v="1"/>
    <s v="Informed PTJ Rigger supervisor not use it and informed TFMC HSE to follow its not used._x000a_1- All lifting devises shall be inspected and certified by component person._x000a_2- TFMC Has to monitor all lifting devises and ensure color code, condition_x000a_and certificate are in place._x000a_All defect lifting gear shall be removed by PTJ HSE and damaged it."/>
    <m/>
    <m/>
    <m/>
    <m/>
    <s v="Invalid"/>
    <x v="0"/>
    <m/>
  </r>
  <r>
    <n v="664"/>
    <x v="65"/>
    <s v="Mohamed Nasr"/>
    <x v="1"/>
    <s v="HSE "/>
    <x v="0"/>
    <x v="4"/>
    <x v="1"/>
    <s v="During inspection it was observed that the maid rail and hand rail were removed by PTJ day shift workers not PTJ day shift scaffolder as we checked with day shift scaffolders b phone and they did not remove."/>
    <x v="1"/>
    <s v="Advised PTJ Scaffolder to erected again since there will be work on it._x000a_Informed TFMC HES to pass the concern to day sift to understand who_x000a_authorized it and how normal workers can remove tubes without scaffolders presents._x000a_&quot;Informed PTJ Rigger supervisor not use it and informed TFMC HSE to follow its not used._x000a_1- All lifting devises shall be inspected and certified by component person._x000a_2- TFMC Has to monitor all lifting devises and ensure color code, condition_x000a_and certificate are in place._x000a_All defect lifting gear shall be removed by PTJ HSE and damaged it.&quot;"/>
    <m/>
    <m/>
    <m/>
    <m/>
    <s v="Invalid"/>
    <x v="0"/>
    <m/>
  </r>
  <r>
    <n v="665"/>
    <x v="65"/>
    <s v="Mohamed Nasr"/>
    <x v="1"/>
    <s v="HSE "/>
    <x v="0"/>
    <x v="4"/>
    <x v="1"/>
    <s v="During inspection it was observed PTJ welder wrong position standing on scaffolding tube and can easily slip and trip."/>
    <x v="0"/>
    <s v="Stopped the welder at once and advised him to stand properly on the scaffolding step to secure himself while working._x000a_1- Welders should stand properly on the scaffolding step._x000a_2- Any additional modification he should request from scaffolder_x000a_3- Workers always should secure their position while working."/>
    <m/>
    <m/>
    <m/>
    <m/>
    <s v="Invalid"/>
    <x v="0"/>
    <m/>
  </r>
  <r>
    <n v="666"/>
    <x v="65"/>
    <s v="Mohamed Nasr"/>
    <x v="1"/>
    <s v="HSE "/>
    <x v="0"/>
    <x v="0"/>
    <x v="3"/>
    <s v="During inspection it was observed that WS require housekeeping."/>
    <x v="2"/>
    <s v="Informed PTJ area supervisor and TFMC HSE to follow._x000a_1- Housekeeping should be carried on frequent basis._x000a_2- Night shift should have housekeepers._x000a_3- Day shift should handover the WS’s with housekeeping carried out"/>
    <m/>
    <m/>
    <m/>
    <m/>
    <s v="Invalid"/>
    <x v="0"/>
    <m/>
  </r>
  <r>
    <n v="667"/>
    <x v="66"/>
    <s v="Mohamed Nasr"/>
    <x v="1"/>
    <s v="HSE "/>
    <x v="0"/>
    <x v="9"/>
    <x v="0"/>
    <s v="During inspection it was observed gas cylinder leaking from the flashback arrestor."/>
    <x v="0"/>
    <s v="Informed the welder to replace the clamps first and re-test also to check the flashback arrestor._x000a_1- Equipment’s should be inspected before start any task._x000a_2- Leak test should be carried out on all connections._x000a_3- Any defected connection shall be replaced._x000a_4- Depressurized the cylinder after completing the task."/>
    <m/>
    <m/>
    <m/>
    <m/>
    <s v="Invalid"/>
    <x v="0"/>
    <m/>
  </r>
  <r>
    <n v="668"/>
    <x v="67"/>
    <s v="Mohamed Nasr"/>
    <x v="1"/>
    <s v="HSE "/>
    <x v="0"/>
    <x v="4"/>
    <x v="1"/>
    <s v="During inspection it was observed that PTJ decided to combine both scaffolding that was done due to the high scaffolding was not secured enough, but PTJ scaffolding created a serios trip hazard."/>
    <x v="0"/>
    <s v="Informed PTJ scaffolder to bring longer wood so no trip hazard at all, advised TFMC to follow and it was done._x000a_1- Any working at heights should be secured by scaffolding._x000a_2- Scaffolding to have green Scaff tag on it._x000a_3- Any worker should study first his position and where he will work and if_x000a_he needs modification, he should ask not put himself at risk._x000a_4- Trip hazard should be removed from scaffolding"/>
    <m/>
    <m/>
    <m/>
    <m/>
    <s v="Invalid"/>
    <x v="0"/>
    <m/>
  </r>
  <r>
    <n v="669"/>
    <x v="67"/>
    <s v="Chris Eaton "/>
    <x v="1"/>
    <s v="QC"/>
    <x v="0"/>
    <x v="2"/>
    <x v="5"/>
    <s v="During site inspection, I noticed a grinder doing some activity without paying attention to the where the sparks are directed, not considering the shielding screen as a main item for his work. 2. And sparks were directed to a near gas cylinder."/>
    <x v="0"/>
    <s v="I Informed the safety guy from PTJ, and he instructed him to out the shielding screen."/>
    <m/>
    <m/>
    <m/>
    <m/>
    <s v="Invalid"/>
    <x v="0"/>
    <m/>
  </r>
  <r>
    <n v="670"/>
    <x v="72"/>
    <s v="Chris Eaton "/>
    <x v="1"/>
    <s v="QC"/>
    <x v="0"/>
    <x v="0"/>
    <x v="3"/>
    <s v="During safety site tour, I noticed Scrap material items in several location in the outside area of workshop#1, not in the place dedicated for scrap and bad staking, which hinders works in the surrounding area"/>
    <x v="4"/>
    <m/>
    <m/>
    <m/>
    <m/>
    <m/>
    <s v="Invalid"/>
    <x v="0"/>
    <m/>
  </r>
  <r>
    <n v="671"/>
    <x v="72"/>
    <s v="Mohamed Kamal"/>
    <x v="1"/>
    <s v="QC"/>
    <x v="0"/>
    <x v="1"/>
    <x v="5"/>
    <s v="During site inspection in outside fabrication area #1, I observed a damaged welding cable being used by a welder."/>
    <x v="0"/>
    <s v="Instantly, I took the corrective action by stopping the welder and instructing him to notify the electrical technician to replace the cable."/>
    <m/>
    <m/>
    <m/>
    <m/>
    <s v="Invalid"/>
    <x v="0"/>
    <m/>
  </r>
  <r>
    <n v="672"/>
    <x v="69"/>
    <s v="Mohamed Kamal"/>
    <x v="1"/>
    <s v="QC"/>
    <x v="1"/>
    <x v="0"/>
    <x v="1"/>
    <s v="During a site inspection in Outside Fabrication Area #1, I observed a banksman standing on top of the MADMAT framing on a beam to guide the crane during a lift of one small PADEYE."/>
    <x v="0"/>
    <s v="I stopped him from work and contacted TFMC HSE rep., and he took the corrective action."/>
    <m/>
    <m/>
    <m/>
    <m/>
    <s v="Invalid"/>
    <x v="0"/>
    <m/>
  </r>
  <r>
    <n v="673"/>
    <x v="69"/>
    <s v="Lance Pretorius"/>
    <x v="1"/>
    <s v="HSE "/>
    <x v="0"/>
    <x v="6"/>
    <x v="4"/>
    <s v="In the Blasting&amp;Painting area it was observed that large size boulders/rocks were being used to secure ground coverage PVC sheeting – creating tripping hazards for workers in the immediate area"/>
    <x v="2"/>
    <s v="PTJ HSE requested to remove the boulders/rocks to eliminate tripping hazards for workers in the immediate area._x000a_PTJ Supervisor and HSE tutored on the importance of eliminating tripping_x000a_hazards in work areas."/>
    <m/>
    <m/>
    <m/>
    <m/>
    <s v="Invalid"/>
    <x v="0"/>
    <m/>
  </r>
  <r>
    <n v="674"/>
    <x v="69"/>
    <s v="Lance Pretorius"/>
    <x v="1"/>
    <s v="HSE "/>
    <x v="1"/>
    <x v="0"/>
    <x v="2"/>
    <s v="Worker grinding without safety gloves"/>
    <x v="0"/>
    <s v="PTJ Worker sent to the PTJ HSE Manager for reinduction training._x000a_. Instructed TFMC/PTJ HSE to remove the worker from site and send him for_x000a_Induction retraining "/>
    <m/>
    <m/>
    <m/>
    <m/>
    <s v="Invalid"/>
    <x v="0"/>
    <m/>
  </r>
  <r>
    <n v="675"/>
    <x v="72"/>
    <s v="Lance Pretorius"/>
    <x v="1"/>
    <s v="HSE "/>
    <x v="2"/>
    <x v="2"/>
    <x v="3"/>
    <s v="Good cable management observed in WS#2 walkways"/>
    <x v="5"/>
    <s v="Commended the workers and PTJ HSE for safe housekeeping practices"/>
    <m/>
    <m/>
    <m/>
    <m/>
    <s v="Invalid"/>
    <x v="1"/>
    <m/>
  </r>
  <r>
    <n v="676"/>
    <x v="72"/>
    <s v="Lance Pretorius"/>
    <x v="1"/>
    <s v="HSE "/>
    <x v="2"/>
    <x v="14"/>
    <x v="3"/>
    <s v="Good housekeeping in PMT office walkway areas"/>
    <x v="5"/>
    <s v="Commended the workers and PTJ Admin for safe housekeeping practices"/>
    <m/>
    <m/>
    <m/>
    <m/>
    <s v="Invalid"/>
    <x v="1"/>
    <m/>
  </r>
  <r>
    <n v="677"/>
    <x v="77"/>
    <s v="Ahmed Ibrahim"/>
    <x v="0"/>
    <s v="HSE "/>
    <x v="0"/>
    <x v="5"/>
    <x v="5"/>
    <s v="It has been observed the poor condition of the welding habitat that need immediate replacement"/>
    <x v="0"/>
    <s v="Instruct the supervisor , scaffold team to replace the habitat immediately"/>
    <m/>
    <m/>
    <m/>
    <m/>
    <s v="Invalid"/>
    <x v="0"/>
    <m/>
  </r>
  <r>
    <n v="678"/>
    <x v="65"/>
    <s v="Mahmoud Elshahat"/>
    <x v="2"/>
    <s v="HSE "/>
    <x v="0"/>
    <x v="5"/>
    <x v="4"/>
    <s v="it has been observed cups support the plates with out identified SWL"/>
    <x v="3"/>
    <s v="stop the work at that frame , barricade it till the SWL is identified and posted on it "/>
    <m/>
    <m/>
    <m/>
    <m/>
    <s v="Invalid"/>
    <x v="0"/>
    <m/>
  </r>
  <r>
    <n v="679"/>
    <x v="65"/>
    <s v="Mahmoud Elshahat"/>
    <x v="2"/>
    <s v="HSE "/>
    <x v="0"/>
    <x v="5"/>
    <x v="4"/>
    <s v="it has been observed a jack support with only 3 legs ( rejected at the site)"/>
    <x v="0"/>
    <s v="Get I out the service and conduct a surevy among the rest supports"/>
    <m/>
    <m/>
    <m/>
    <m/>
    <s v="Invalid"/>
    <x v="0"/>
    <m/>
  </r>
  <r>
    <n v="680"/>
    <x v="67"/>
    <s v="Mahmoud Samir"/>
    <x v="2"/>
    <s v="HSE "/>
    <x v="0"/>
    <x v="0"/>
    <x v="3"/>
    <s v="it has been observed poor cable management and workshop 1"/>
    <x v="0"/>
    <s v="Maitain cable management at the area"/>
    <m/>
    <m/>
    <m/>
    <m/>
    <s v="Invalid"/>
    <x v="0"/>
    <m/>
  </r>
  <r>
    <n v="681"/>
    <x v="67"/>
    <s v="Abdelhady Ghalwash"/>
    <x v="2"/>
    <s v="HSE "/>
    <x v="0"/>
    <x v="5"/>
    <x v="0"/>
    <s v="it has been observed a compressed gas cylinder stored in a rack with out being secured"/>
    <x v="0"/>
    <s v="secure the cylinder"/>
    <m/>
    <m/>
    <m/>
    <m/>
    <s v="Invalid"/>
    <x v="0"/>
    <m/>
  </r>
  <r>
    <n v="682"/>
    <x v="67"/>
    <s v="Mahmoud Samir"/>
    <x v="2"/>
    <s v="HSE "/>
    <x v="0"/>
    <x v="5"/>
    <x v="8"/>
    <s v="the wind speed increased at the site that may affect the lifitng operation"/>
    <x v="3"/>
    <s v="suspend lifting operation at the site"/>
    <m/>
    <m/>
    <m/>
    <m/>
    <s v="Invalid"/>
    <x v="0"/>
    <m/>
  </r>
  <r>
    <n v="683"/>
    <x v="72"/>
    <s v="Mahmoud Samir"/>
    <x v="2"/>
    <s v="HSE "/>
    <x v="0"/>
    <x v="5"/>
    <x v="8"/>
    <s v="it has been observed crane operator placed the counter weight the access walkway"/>
    <x v="0"/>
    <m/>
    <m/>
    <m/>
    <m/>
    <m/>
    <s v="Invalid"/>
    <x v="0"/>
    <m/>
  </r>
  <r>
    <n v="684"/>
    <x v="72"/>
    <s v="Mahmoud Elshahat"/>
    <x v="2"/>
    <s v="HSE "/>
    <x v="0"/>
    <x v="5"/>
    <x v="6"/>
    <s v="it has been observed a grinder with out secondry hand"/>
    <x v="0"/>
    <m/>
    <m/>
    <m/>
    <m/>
    <m/>
    <s v="Invalid"/>
    <x v="0"/>
    <m/>
  </r>
  <r>
    <n v="685"/>
    <x v="69"/>
    <s v="Abdelhady Ghalwash"/>
    <x v="2"/>
    <s v="HSE "/>
    <x v="0"/>
    <x v="5"/>
    <x v="10"/>
    <s v="it has been observed a handmade hammer"/>
    <x v="0"/>
    <s v="Get it out of service"/>
    <m/>
    <m/>
    <m/>
    <m/>
    <s v="Invalid"/>
    <x v="0"/>
    <m/>
  </r>
  <r>
    <n v="686"/>
    <x v="68"/>
    <s v="Mahmoud Elshahat"/>
    <x v="2"/>
    <s v="HSE "/>
    <x v="0"/>
    <x v="0"/>
    <x v="0"/>
    <s v="It has been observed  a leaking cylinder at workshop 1"/>
    <x v="3"/>
    <s v="Get the cylinder out the area , to the quarantine area"/>
    <m/>
    <m/>
    <m/>
    <m/>
    <s v="Invalid"/>
    <x v="0"/>
    <m/>
  </r>
  <r>
    <n v="687"/>
    <x v="68"/>
    <s v="Mahmoud Samir"/>
    <x v="2"/>
    <s v="HSE "/>
    <x v="0"/>
    <x v="5"/>
    <x v="5"/>
    <s v="it has been observed bags hanged around the w/s which may be a potential fire"/>
    <x v="0"/>
    <s v="Rempove the bags from the area"/>
    <m/>
    <m/>
    <m/>
    <m/>
    <s v="Invalid"/>
    <x v="0"/>
    <m/>
  </r>
  <r>
    <n v="688"/>
    <x v="68"/>
    <s v="Mahmoud Samir"/>
    <x v="2"/>
    <s v="HSE "/>
    <x v="0"/>
    <x v="5"/>
    <x v="3"/>
    <s v="poor housekeeping at workshop 2"/>
    <x v="0"/>
    <s v="Maintain  HK at the area"/>
    <m/>
    <m/>
    <m/>
    <m/>
    <s v="Invalid"/>
    <x v="0"/>
    <m/>
  </r>
  <r>
    <n v="689"/>
    <x v="68"/>
    <s v="Mahmoud Elshahat"/>
    <x v="2"/>
    <s v="HSE "/>
    <x v="0"/>
    <x v="5"/>
    <x v="3"/>
    <s v="poor housekeeping at open area 1"/>
    <x v="0"/>
    <s v="Maintain HK at the area"/>
    <m/>
    <m/>
    <m/>
    <m/>
    <s v="Invalid"/>
    <x v="0"/>
    <m/>
  </r>
  <r>
    <n v="690"/>
    <x v="68"/>
    <s v="Mahmoud Elshahat"/>
    <x v="2"/>
    <s v="HSE "/>
    <x v="0"/>
    <x v="5"/>
    <x v="4"/>
    <s v="No recording for the tempereture at the chemical storage area container"/>
    <x v="0"/>
    <s v="Instruct the SV to maintain redcording the temp and post the checklist in the storage area"/>
    <m/>
    <m/>
    <m/>
    <m/>
    <s v="Invalid"/>
    <x v="0"/>
    <m/>
  </r>
  <r>
    <n v="691"/>
    <x v="68"/>
    <s v="Mahmoud Elshahat"/>
    <x v="2"/>
    <s v="HSE "/>
    <x v="0"/>
    <x v="0"/>
    <x v="3"/>
    <s v="it has been observed poor stacking for the material at workshop 1"/>
    <x v="0"/>
    <s v="rearrange the material with proper stacking"/>
    <m/>
    <m/>
    <m/>
    <m/>
    <s v="Invalid"/>
    <x v="0"/>
    <m/>
  </r>
  <r>
    <n v="692"/>
    <x v="68"/>
    <s v="Mahmoud Elshahat"/>
    <x v="2"/>
    <s v="HSE "/>
    <x v="0"/>
    <x v="5"/>
    <x v="5"/>
    <s v="it has been observed a lot of cigarrated butts on the ground at the smoking area"/>
    <x v="0"/>
    <s v="Maintain HK at the area"/>
    <m/>
    <m/>
    <m/>
    <m/>
    <s v="Invalid"/>
    <x v="0"/>
    <m/>
  </r>
  <r>
    <n v="693"/>
    <x v="68"/>
    <s v="Mahmoud Elshahat"/>
    <x v="2"/>
    <s v="HSE "/>
    <x v="0"/>
    <x v="8"/>
    <x v="3"/>
    <s v="it has been observed poor houskeeping at workshop 4 "/>
    <x v="0"/>
    <s v="Maintain HK at the area"/>
    <m/>
    <m/>
    <m/>
    <m/>
    <s v="Invalid"/>
    <x v="0"/>
    <m/>
  </r>
  <r>
    <n v="694"/>
    <x v="67"/>
    <s v="Abdelhady Ghalwash"/>
    <x v="2"/>
    <s v="HSE "/>
    <x v="0"/>
    <x v="9"/>
    <x v="5"/>
    <s v="it has been observed poor condition of Tarps at area 4"/>
    <x v="0"/>
    <s v="Replace it immediately"/>
    <m/>
    <m/>
    <m/>
    <m/>
    <s v="Invalid"/>
    <x v="0"/>
    <m/>
  </r>
  <r>
    <n v="695"/>
    <x v="72"/>
    <s v="Abdelhady Ghalwash"/>
    <x v="2"/>
    <s v="HSE "/>
    <x v="0"/>
    <x v="5"/>
    <x v="8"/>
    <s v="it hs been observed a lifting operation in place without barricading the area"/>
    <x v="3"/>
    <s v="stop the work till barricade the exclusion zone"/>
    <m/>
    <m/>
    <m/>
    <m/>
    <s v="Invalid"/>
    <x v="0"/>
    <m/>
  </r>
  <r>
    <n v="696"/>
    <x v="78"/>
    <s v="Mohamed Abdallah"/>
    <x v="0"/>
    <s v="HSE "/>
    <x v="1"/>
    <x v="0"/>
    <x v="8"/>
    <s v="one of lifting team was under the load in the line of fire "/>
    <x v="1"/>
    <s v="Instructed the lifting sup to relocate his position to be away from the line of fire , TOFS Held with lifting crew to highlight the issue , Line of fire stand down was done to highlight the risk of being in the line of fire."/>
    <m/>
    <m/>
    <m/>
    <m/>
    <s v="Invalid"/>
    <x v="0"/>
    <m/>
  </r>
  <r>
    <n v="697"/>
    <x v="78"/>
    <s v="Mohamed Abdallah"/>
    <x v="0"/>
    <s v="HSE "/>
    <x v="1"/>
    <x v="0"/>
    <x v="8"/>
    <s v="one worker standing next to the crane during lifting operation "/>
    <x v="1"/>
    <s v="Instructed the worker to go away the manuvering crane area"/>
    <m/>
    <m/>
    <m/>
    <m/>
    <s v="Invalid"/>
    <x v="0"/>
    <m/>
  </r>
  <r>
    <n v="698"/>
    <x v="78"/>
    <s v="Ibrahim Hamed"/>
    <x v="0"/>
    <s v="HSE "/>
    <x v="3"/>
    <x v="0"/>
    <x v="5"/>
    <s v="Good securing of gas cylinders on trolly provided with protection caps /Flash back arrestor and fixed by chains. "/>
    <x v="5"/>
    <s v="Appreciate the good job."/>
    <m/>
    <m/>
    <m/>
    <m/>
    <s v="Invalid"/>
    <x v="1"/>
    <m/>
  </r>
  <r>
    <n v="699"/>
    <x v="78"/>
    <s v="Mohamed Abdallah"/>
    <x v="0"/>
    <s v="HSE "/>
    <x v="2"/>
    <x v="9"/>
    <x v="3"/>
    <s v="It has been observed that there is a good house keeping in Yard space Area C"/>
    <x v="5"/>
    <s v="Appreciate the good job."/>
    <m/>
    <m/>
    <m/>
    <m/>
    <s v="Invalid"/>
    <x v="1"/>
    <m/>
  </r>
  <r>
    <n v="700"/>
    <x v="78"/>
    <s v="Ibrahim Hamed"/>
    <x v="0"/>
    <s v="HSE "/>
    <x v="1"/>
    <x v="7"/>
    <x v="0"/>
    <s v="Observed welding cable with substandard joint which may led to electric / fire hazard "/>
    <x v="1"/>
    <s v="Texas connection was  done "/>
    <m/>
    <m/>
    <m/>
    <m/>
    <s v="Invalid"/>
    <x v="0"/>
    <m/>
  </r>
  <r>
    <n v="701"/>
    <x v="78"/>
    <s v="Ahmed Maher"/>
    <x v="0"/>
    <s v="HSE "/>
    <x v="0"/>
    <x v="9"/>
    <x v="0"/>
    <s v="Observed unused grinder left on  Plet  in unsafe position"/>
    <x v="0"/>
    <s v="t was removed immediately"/>
    <m/>
    <m/>
    <m/>
    <m/>
    <s v="Invalid"/>
    <x v="0"/>
    <m/>
  </r>
  <r>
    <n v="702"/>
    <x v="78"/>
    <s v="Ibrahim Hamed"/>
    <x v="0"/>
    <s v="HSE "/>
    <x v="0"/>
    <x v="9"/>
    <x v="10"/>
    <s v="During HSE inspection of site I noticed that still some workers doesn’t have TFMC HSE Induction stickers on their helmets and when I asked them, they confirmed that they only attend PTJ INDUCTION but did not take stickers but not inducted by TFMC HSE"/>
    <x v="0"/>
    <s v="Informed TFMC HSE Advisor and HSE TL Whom removed them from site immediately till arranging a session to finalize this issue."/>
    <s v="The noncompliance has been transferred to the TFMC HSE TL for further intervention and follow up."/>
    <m/>
    <m/>
    <m/>
    <s v="Invalid"/>
    <x v="0"/>
    <m/>
  </r>
  <r>
    <n v="703"/>
    <x v="78"/>
    <s v="Ahmed Maher"/>
    <x v="0"/>
    <s v="HSE "/>
    <x v="0"/>
    <x v="0"/>
    <x v="6"/>
    <s v="During HSE inspection of site I noticed that still some workers doesn’t have TFMC /PTJ HSE Induction stickers on their helmets and when I asked them, they confirmed that they only attend PTJ INDUCTION but did not take stickers but not inducted by TFMC HSE"/>
    <x v="0"/>
    <s v="Informed TFMC HSE Advisor and HSE TL Whom arranged a day and night sessions to finalize this issue although PTJ Confirmed that all project employees are inducted"/>
    <s v="The noncompliance has been transferred to the TFMC HSE TL for further intervention and follow up."/>
    <m/>
    <m/>
    <m/>
    <s v="Invalid"/>
    <x v="0"/>
    <m/>
  </r>
  <r>
    <n v="704"/>
    <x v="79"/>
    <s v="Mohamed Abdallah"/>
    <x v="0"/>
    <s v="HSE "/>
    <x v="1"/>
    <x v="4"/>
    <x v="8"/>
    <s v="The banksman was standing in a position where he is not clear to the crane operator."/>
    <x v="1"/>
    <s v="Stop work and advising him to relocate his position and to confirm with the crane operator that he can fully see him."/>
    <m/>
    <m/>
    <m/>
    <m/>
    <s v="Invalid"/>
    <x v="0"/>
    <m/>
  </r>
  <r>
    <n v="705"/>
    <x v="79"/>
    <s v="Mohamed Abdallah"/>
    <x v="0"/>
    <s v="HSE "/>
    <x v="3"/>
    <x v="3"/>
    <x v="14"/>
    <s v="banks man guide the FLT operator as required "/>
    <x v="5"/>
    <s v="Appreciate the good job."/>
    <m/>
    <m/>
    <m/>
    <m/>
    <s v="Invalid"/>
    <x v="1"/>
    <m/>
  </r>
  <r>
    <n v="706"/>
    <x v="79"/>
    <s v="Mohamed Abdallah"/>
    <x v="0"/>
    <s v="HSE "/>
    <x v="0"/>
    <x v="9"/>
    <x v="0"/>
    <s v="gas cylinder with empty bubble test bottle "/>
    <x v="0"/>
    <s v="Informed worker he filled it and advised him to check leakage before using "/>
    <m/>
    <m/>
    <m/>
    <s v="Fitting Supervisor"/>
    <s v="Invalid"/>
    <x v="0"/>
    <m/>
  </r>
  <r>
    <n v="707"/>
    <x v="79"/>
    <s v="Mohamed Abdallah"/>
    <x v="0"/>
    <s v="HSE "/>
    <x v="0"/>
    <x v="9"/>
    <x v="3"/>
    <s v="Poor cable management may lead to trip hazard"/>
    <x v="0"/>
    <s v="cable management was done immediately"/>
    <m/>
    <m/>
    <m/>
    <m/>
    <s v="Invalid"/>
    <x v="0"/>
    <m/>
  </r>
  <r>
    <n v="708"/>
    <x v="79"/>
    <s v="Ahmed Maher"/>
    <x v="0"/>
    <s v="HSE "/>
    <x v="0"/>
    <x v="9"/>
    <x v="3"/>
    <s v="observed scaffolding material scattered on the working area without arrangement "/>
    <x v="0"/>
    <s v="materials has been arranged  "/>
    <m/>
    <m/>
    <m/>
    <m/>
    <s v="Invalid"/>
    <x v="0"/>
    <m/>
  </r>
  <r>
    <n v="709"/>
    <x v="79"/>
    <s v="Mohamed Abdallah"/>
    <x v="0"/>
    <s v="HSE "/>
    <x v="0"/>
    <x v="0"/>
    <x v="3"/>
    <s v="mproper arrangement for material/ scrap that may lead to dropped object hazard"/>
    <x v="0"/>
    <s v="Situation was remediated immediately"/>
    <m/>
    <m/>
    <m/>
    <m/>
    <s v="Invalid"/>
    <x v="0"/>
    <m/>
  </r>
  <r>
    <n v="710"/>
    <x v="79"/>
    <s v="Ahmed Maher"/>
    <x v="0"/>
    <s v="HSE "/>
    <x v="0"/>
    <x v="9"/>
    <x v="6"/>
    <s v="Contractor/Subcontractor doesn’t perform a deep check for all grinding machines prior each use or when adding the color code to find out what is missing which may lead to serious injuries."/>
    <x v="0"/>
    <s v="The potential hazard was explained to them and advised to remove it from site until installing the hands, replacing the covers and ensure a safe operate of the machines especially dead man switch."/>
    <s v="Contractor / subcontractor shall deeply check all grinding machines prior use at each shift and remove the color code if nonconformity"/>
    <m/>
    <m/>
    <m/>
    <s v="Invalid"/>
    <x v="0"/>
    <m/>
  </r>
  <r>
    <n v="711"/>
    <x v="80"/>
    <s v="Ibrahim Hamed"/>
    <x v="0"/>
    <s v="HSE "/>
    <x v="2"/>
    <x v="9"/>
    <x v="0"/>
    <s v="It has been observed that the cables has been arranged in a proper way"/>
    <x v="5"/>
    <s v="Appreciate the good job."/>
    <m/>
    <m/>
    <m/>
    <m/>
    <s v="Invalid"/>
    <x v="1"/>
    <m/>
  </r>
  <r>
    <n v="712"/>
    <x v="80"/>
    <s v="Mohamed Abdallah"/>
    <x v="0"/>
    <s v="HSE "/>
    <x v="0"/>
    <x v="0"/>
    <x v="3"/>
    <s v="Electric cables were running through a scaffolding structure."/>
    <x v="0"/>
    <s v="Inform PTJ HSE Officer and he informed the welders to remove the cables _x000a_away and carry out proper cable management ."/>
    <m/>
    <m/>
    <m/>
    <s v="Welding Supervisor"/>
    <s v="Invalid"/>
    <x v="0"/>
    <m/>
  </r>
  <r>
    <n v="713"/>
    <x v="80"/>
    <s v="Ahmed Maher"/>
    <x v="0"/>
    <s v="HSE "/>
    <x v="0"/>
    <x v="3"/>
    <x v="3"/>
    <s v="Observed poor House keeping and improper material arrangement "/>
    <x v="0"/>
    <s v="Housekeeping has been performed"/>
    <m/>
    <m/>
    <m/>
    <m/>
    <s v="Invalid"/>
    <x v="0"/>
    <m/>
  </r>
  <r>
    <n v="714"/>
    <x v="80"/>
    <s v="Ahmed Maher"/>
    <x v="0"/>
    <s v="HSE "/>
    <x v="0"/>
    <x v="9"/>
    <x v="3"/>
    <s v="Observed poor House keeping and improper material arrangement "/>
    <x v="0"/>
    <s v="materials has been arranged  "/>
    <m/>
    <m/>
    <m/>
    <m/>
    <s v="Invalid"/>
    <x v="0"/>
    <m/>
  </r>
  <r>
    <n v="715"/>
    <x v="80"/>
    <s v="Mohamed Abdallah"/>
    <x v="0"/>
    <s v="HSE "/>
    <x v="0"/>
    <x v="3"/>
    <x v="1"/>
    <s v="during ascending the scaffold observed scaffold tube which installed the scaffold canvas in the same level of the head that  may lead to collision with head ."/>
    <x v="0"/>
    <s v="removed scaffold tube "/>
    <m/>
    <m/>
    <m/>
    <m/>
    <s v="Invalid"/>
    <x v="0"/>
    <m/>
  </r>
  <r>
    <n v="716"/>
    <x v="80"/>
    <s v="Ahmed Maher"/>
    <x v="0"/>
    <s v="HSE "/>
    <x v="1"/>
    <x v="3"/>
    <x v="17"/>
    <s v="observed a worker transporting an electric panel without any assisstance"/>
    <x v="3"/>
    <s v="Stopped him and called another worker to help him carrying the panel And the issue was highlighted in the next TBT"/>
    <m/>
    <m/>
    <m/>
    <m/>
    <s v="Invalid"/>
    <x v="0"/>
    <m/>
  </r>
  <r>
    <n v="717"/>
    <x v="80"/>
    <s v="Ahmed Maher"/>
    <x v="0"/>
    <s v="HSE "/>
    <x v="3"/>
    <x v="9"/>
    <x v="3"/>
    <s v="observed the supervisor  keep  scrap box empty periodically"/>
    <x v="5"/>
    <s v="Appreciate the good job."/>
    <m/>
    <m/>
    <m/>
    <m/>
    <s v="Invalid"/>
    <x v="1"/>
    <m/>
  </r>
  <r>
    <n v="718"/>
    <x v="80"/>
    <s v="Mohamed Abdallah"/>
    <x v="0"/>
    <s v="HSE "/>
    <x v="0"/>
    <x v="2"/>
    <x v="18"/>
    <s v=" observed that  wrong  replacing method of  grinding disk."/>
    <x v="0"/>
    <s v=" Instructed the Grinders to use dedicaded tool  for changing grinding disks"/>
    <m/>
    <m/>
    <m/>
    <s v="Grinders Supervisor"/>
    <s v="Invalid"/>
    <x v="0"/>
    <m/>
  </r>
  <r>
    <n v="719"/>
    <x v="80"/>
    <s v="Mohamed Abdallah"/>
    <x v="0"/>
    <s v="HSE "/>
    <x v="0"/>
    <x v="0"/>
    <x v="5"/>
    <s v="A grinder was working with the resulting spark was directed to a gas cylinder."/>
    <x v="0"/>
    <s v="Stopped the worker, and instructed him"/>
    <m/>
    <m/>
    <m/>
    <s v="Grinding Supervisor"/>
    <s v="Invalid"/>
    <x v="0"/>
    <m/>
  </r>
  <r>
    <n v="720"/>
    <x v="80"/>
    <s v="Mohamed Abdallah"/>
    <x v="0"/>
    <s v="HSE "/>
    <x v="0"/>
    <x v="4"/>
    <x v="3"/>
    <s v="observed some welding cable were in the way of the forklift"/>
    <x v="0"/>
    <s v="stopped him and informed a welder to remove the cable  and he did immediately"/>
    <m/>
    <m/>
    <m/>
    <s v="Welding Supervisor"/>
    <s v="Invalid"/>
    <x v="0"/>
    <m/>
  </r>
  <r>
    <n v="721"/>
    <x v="80"/>
    <s v="Ibrahim Hamed"/>
    <x v="0"/>
    <s v="HSE "/>
    <x v="0"/>
    <x v="3"/>
    <x v="3"/>
    <s v="observed scrap box was full"/>
    <x v="0"/>
    <s v="informed the sup to keep it empty periodically and he did"/>
    <m/>
    <m/>
    <m/>
    <m/>
    <s v="Invalid"/>
    <x v="0"/>
    <m/>
  </r>
  <r>
    <n v="722"/>
    <x v="80"/>
    <s v="Ibrahim Hamed"/>
    <x v="0"/>
    <s v="HSE "/>
    <x v="0"/>
    <x v="0"/>
    <x v="3"/>
    <s v="Improper cable management "/>
    <x v="0"/>
    <s v="Cable management was done"/>
    <m/>
    <m/>
    <m/>
    <m/>
    <s v="Invalid"/>
    <x v="0"/>
    <m/>
  </r>
  <r>
    <n v="723"/>
    <x v="80"/>
    <s v="Ahmed Maher"/>
    <x v="0"/>
    <s v="HSE "/>
    <x v="0"/>
    <x v="0"/>
    <x v="8"/>
    <s v="Observed that some  lifting shackles and hand chain blocks without color code "/>
    <x v="3"/>
    <s v="Asked the rigging supervisor to inspect the tools  and apply the right colorcode"/>
    <m/>
    <m/>
    <m/>
    <m/>
    <s v="Invalid"/>
    <x v="0"/>
    <m/>
  </r>
  <r>
    <n v="724"/>
    <x v="81"/>
    <s v="Mohamed Abdallah"/>
    <x v="0"/>
    <s v="HSE "/>
    <x v="3"/>
    <x v="3"/>
    <x v="2"/>
    <s v="Good commitment from the work force with the site required PPE especially from the grinders "/>
    <x v="5"/>
    <m/>
    <m/>
    <m/>
    <m/>
    <s v="HSE"/>
    <s v="Invalid"/>
    <x v="1"/>
    <m/>
  </r>
  <r>
    <n v="725"/>
    <x v="81"/>
    <s v="Mohamed Abdallah"/>
    <x v="0"/>
    <s v="HSE "/>
    <x v="1"/>
    <x v="9"/>
    <x v="2"/>
    <s v="observed a fitter carrying support without gloves"/>
    <x v="1"/>
    <s v="Adviced hime to wear the gloves  , he did "/>
    <m/>
    <m/>
    <m/>
    <m/>
    <s v="Invalid"/>
    <x v="0"/>
    <m/>
  </r>
  <r>
    <n v="726"/>
    <x v="81"/>
    <s v="Mohamed Abdallah"/>
    <x v="0"/>
    <s v="HSE "/>
    <x v="0"/>
    <x v="0"/>
    <x v="4"/>
    <s v="CPY observed that, there is a modification has been made for some fabrication support which is lifting the structure up from the support and not fully rested on it."/>
    <x v="0"/>
    <s v="CPY approached TFMC / PTJ HSE, to take an immediate action to ensure that all structures are fully rested on the fabrication support (full contact points). In addition to that, PTJ to remove the weight block wherever located on top of the portable fabrication stands."/>
    <s v="CPY recommended to. ensure that all structures are fully rested on the fabrication support (full contact points). In addition to that, PTJ to remove the weight block wherever located on top of the portable fabrication stands."/>
    <m/>
    <m/>
    <m/>
    <s v="Invalid"/>
    <x v="0"/>
    <m/>
  </r>
  <r>
    <n v="727"/>
    <x v="81"/>
    <s v="Ibrahim Hamed"/>
    <x v="0"/>
    <s v="HSE "/>
    <x v="0"/>
    <x v="4"/>
    <x v="3"/>
    <s v="During monitoring and surveillance outside WS.2, observed poor housekeeping for metal scrap without boxes due to using cold cutting machine."/>
    <x v="0"/>
    <s v="Stopped the worker, and instructed him to using boxes for metal scrap."/>
    <s v="Informed HSE PTJ about this case to prevent recurrence."/>
    <m/>
    <m/>
    <m/>
    <s v="Invalid"/>
    <x v="0"/>
    <m/>
  </r>
  <r>
    <n v="728"/>
    <x v="81"/>
    <s v="Ahmed Maher"/>
    <x v="0"/>
    <s v="HSE "/>
    <x v="0"/>
    <x v="3"/>
    <x v="2"/>
    <s v="Outdated helmets were seen when I inspected the PPE of some workers."/>
    <x v="0"/>
    <s v="Communicated to TECHNIP formally by email and to the blasting yard engineer."/>
    <s v="Subject to be highlighted during the weekly TBT."/>
    <m/>
    <m/>
    <m/>
    <s v="Invalid"/>
    <x v="0"/>
    <m/>
  </r>
  <r>
    <n v="729"/>
    <x v="82"/>
    <s v="Mohamed Abdallah"/>
    <x v="0"/>
    <s v="HSE "/>
    <x v="3"/>
    <x v="0"/>
    <x v="1"/>
    <s v="Good condition of scaffold and Scaff tag system applied and updated as required."/>
    <x v="5"/>
    <s v="Appreciate the good job."/>
    <m/>
    <m/>
    <m/>
    <s v="Grinding Supervisor"/>
    <s v="Invalid"/>
    <x v="1"/>
    <m/>
  </r>
  <r>
    <n v="730"/>
    <x v="82"/>
    <s v="Ibrahim Hamed"/>
    <x v="0"/>
    <s v="HSE "/>
    <x v="1"/>
    <x v="2"/>
    <x v="2"/>
    <s v="found worker was not wearing his safety glassess "/>
    <x v="1"/>
    <s v="stop him and inform him to wear a safety glassess and comply with site PPE , violation was done "/>
    <m/>
    <m/>
    <m/>
    <m/>
    <s v="Invalid"/>
    <x v="0"/>
    <m/>
  </r>
  <r>
    <n v="731"/>
    <x v="82"/>
    <s v="Mohamed Abdallah"/>
    <x v="0"/>
    <s v="HSE "/>
    <x v="1"/>
    <x v="9"/>
    <x v="2"/>
    <s v="One of the workers working without wearing glasses"/>
    <x v="1"/>
    <s v="He was stoped  from work and instructed to wear"/>
    <m/>
    <m/>
    <m/>
    <s v="Area Supervisor "/>
    <s v="Invalid"/>
    <x v="0"/>
    <m/>
  </r>
  <r>
    <n v="732"/>
    <x v="82"/>
    <s v="Ibrahim Hamed"/>
    <x v="0"/>
    <s v="HSE "/>
    <x v="0"/>
    <x v="9"/>
    <x v="3"/>
    <s v="Poor cable management may lead to trip hazard"/>
    <x v="0"/>
    <s v="cable management was done immediately"/>
    <m/>
    <m/>
    <m/>
    <m/>
    <s v="Invalid"/>
    <x v="0"/>
    <m/>
  </r>
  <r>
    <n v="733"/>
    <x v="83"/>
    <s v="Mohamed Abdallah"/>
    <x v="0"/>
    <s v="HSE "/>
    <x v="1"/>
    <x v="4"/>
    <x v="2"/>
    <s v="observed grinder was working without ear plugs"/>
    <x v="1"/>
    <s v="stopped him , advised him  to wear ear plugs and he did  "/>
    <m/>
    <m/>
    <m/>
    <m/>
    <s v="Invalid"/>
    <x v="0"/>
    <m/>
  </r>
  <r>
    <n v="734"/>
    <x v="83"/>
    <s v="Mohamed Abdallah"/>
    <x v="0"/>
    <s v="HSE "/>
    <x v="1"/>
    <x v="9"/>
    <x v="5"/>
    <s v="one of the grinder using wooden plate as support which may cause fire "/>
    <x v="3"/>
    <s v="Stoped him to remove the wooden plate , advised him not to use combustible material near hot work area"/>
    <m/>
    <m/>
    <m/>
    <m/>
    <s v="Invalid"/>
    <x v="0"/>
    <m/>
  </r>
  <r>
    <n v="735"/>
    <x v="83"/>
    <s v="Ibrahim Hamed"/>
    <x v="0"/>
    <s v="HSE "/>
    <x v="1"/>
    <x v="0"/>
    <x v="5"/>
    <s v="A grinder was working with the resulting spark was directed to a gas cylinder."/>
    <x v="3"/>
    <s v="Stop him and inform him to remove the gas cylinder from the area"/>
    <m/>
    <m/>
    <m/>
    <m/>
    <s v="Invalid"/>
    <x v="0"/>
    <m/>
  </r>
  <r>
    <n v="736"/>
    <x v="83"/>
    <s v="Mohamed Abdallah"/>
    <x v="0"/>
    <s v="HSE "/>
    <x v="3"/>
    <x v="9"/>
    <x v="8"/>
    <s v="Observed banksman evacuating the area before the lifting operation."/>
    <x v="5"/>
    <s v="Appreciate the good job."/>
    <m/>
    <m/>
    <m/>
    <m/>
    <s v="Invalid"/>
    <x v="1"/>
    <m/>
  </r>
  <r>
    <n v="737"/>
    <x v="83"/>
    <s v="Ahmed Maher"/>
    <x v="0"/>
    <s v="HSE "/>
    <x v="0"/>
    <x v="9"/>
    <x v="3"/>
    <s v="some scrap Was found  on the ground causing some  tripping hazard "/>
    <x v="0"/>
    <s v="The supervisor was informed and removed immediately. "/>
    <m/>
    <m/>
    <m/>
    <s v="Area Supervisor"/>
    <s v="Invalid"/>
    <x v="0"/>
    <m/>
  </r>
  <r>
    <n v="738"/>
    <x v="83"/>
    <s v="Mohamed Abdallah"/>
    <x v="0"/>
    <s v="HSE "/>
    <x v="0"/>
    <x v="3"/>
    <x v="3"/>
    <s v="observed that scaffolding material scattered on the working area without arrangement "/>
    <x v="0"/>
    <s v="material was arranged immediately After inform scaffolding SUP"/>
    <m/>
    <m/>
    <m/>
    <s v="Scaffold Supervisor"/>
    <s v="Invalid"/>
    <x v="0"/>
    <m/>
  </r>
  <r>
    <n v="739"/>
    <x v="83"/>
    <s v="Mohamed Abdallah"/>
    <x v="0"/>
    <s v="HSE "/>
    <x v="0"/>
    <x v="9"/>
    <x v="3"/>
    <s v="observed some welding cable were in the way of the forklift"/>
    <x v="0"/>
    <s v="stopped him and informed a welder to remove the cable  and he did immediately"/>
    <m/>
    <m/>
    <m/>
    <s v="Welding Supervisor"/>
    <s v="Invalid"/>
    <x v="0"/>
    <m/>
  </r>
  <r>
    <n v="740"/>
    <x v="83"/>
    <s v="Mohamed Abdallah"/>
    <x v="0"/>
    <s v="HSE "/>
    <x v="0"/>
    <x v="3"/>
    <x v="4"/>
    <s v="Grinder put grinding motor above Stand  , expose the machine to fall on the ground "/>
    <x v="0"/>
    <s v="Inormed the grinder , he adjusted the position of machine and secured it"/>
    <m/>
    <m/>
    <m/>
    <m/>
    <s v="Invalid"/>
    <x v="0"/>
    <m/>
  </r>
  <r>
    <n v="741"/>
    <x v="83"/>
    <s v="Ibrahim Hamed"/>
    <x v="0"/>
    <s v="HSE "/>
    <x v="0"/>
    <x v="0"/>
    <x v="3"/>
    <s v="Welding cables needed to be arranged"/>
    <x v="0"/>
    <s v="cable management has been performed "/>
    <m/>
    <m/>
    <m/>
    <m/>
    <s v="Invalid"/>
    <x v="0"/>
    <m/>
  </r>
  <r>
    <n v="742"/>
    <x v="83"/>
    <s v="Mohamed Abdallah"/>
    <x v="0"/>
    <s v="HSE "/>
    <x v="0"/>
    <x v="3"/>
    <x v="2"/>
    <s v="It was observed Noncompliant from contractor /subcontractors for using correct and good condition PPE Including (glasses, face shield, helmets. Safety shoes and coveralls) due to shortage of distribution"/>
    <x v="0"/>
    <s v="TFMC / PTJ HSE was instructed to adhere to CPY Instructions and to provide all the required PPE and its accessories for workforce."/>
    <s v="Continues follow up / inspection by contractor and subcontractor for work site to insure compliant of PPE."/>
    <m/>
    <m/>
    <m/>
    <s v="Invalid"/>
    <x v="0"/>
    <m/>
  </r>
  <r>
    <n v="743"/>
    <x v="83"/>
    <s v="Ibrahim Hamed"/>
    <x v="0"/>
    <s v="HSE "/>
    <x v="0"/>
    <x v="4"/>
    <x v="7"/>
    <s v="CPY noted that a lot of areas within the fabrication outdoor areas have unsafe and in poor condition(s) habitats"/>
    <x v="0"/>
    <s v="CPY discussed with PTJ HSE Manager and Supervisor to implement corrective actions. Remove/replace or ensure habitats are in safe/good condition."/>
    <s v="CPY requests PTJ Management/supervision to take control of their facilities and ensure that workers have a safe environment to accordingly do their activities."/>
    <m/>
    <m/>
    <m/>
    <s v="Invalid"/>
    <x v="0"/>
    <m/>
  </r>
  <r>
    <n v="744"/>
    <x v="84"/>
    <s v="Ibrahim Hamed"/>
    <x v="0"/>
    <s v="HSE "/>
    <x v="0"/>
    <x v="9"/>
    <x v="3"/>
    <s v="Housekeeping improvement is required."/>
    <x v="0"/>
    <s v="Housekeeping has been performed"/>
    <m/>
    <m/>
    <m/>
    <m/>
    <s v="Invalid"/>
    <x v="0"/>
    <m/>
  </r>
  <r>
    <n v="745"/>
    <x v="84"/>
    <s v="Ahmed Maher"/>
    <x v="0"/>
    <s v="HSE "/>
    <x v="0"/>
    <x v="4"/>
    <x v="0"/>
    <s v="Note Some electrical and welding cables are unused and need to be excluded"/>
    <x v="0"/>
    <s v=" Electrical and welding cables were excluded"/>
    <m/>
    <m/>
    <m/>
    <m/>
    <s v="Invalid"/>
    <x v="0"/>
    <m/>
  </r>
  <r>
    <n v="746"/>
    <x v="84"/>
    <s v="Mohamed Abdallah"/>
    <x v="0"/>
    <s v="HSE "/>
    <x v="0"/>
    <x v="9"/>
    <x v="3"/>
    <s v="observed that one of welding cable in improper position above the scaffold causing workers tripping"/>
    <x v="0"/>
    <s v="spoke to supervisor to adjust the cables "/>
    <m/>
    <m/>
    <m/>
    <m/>
    <s v="Invalid"/>
    <x v="0"/>
    <m/>
  </r>
  <r>
    <n v="747"/>
    <x v="85"/>
    <s v="Ahmed Maher"/>
    <x v="0"/>
    <s v="HSE "/>
    <x v="1"/>
    <x v="13"/>
    <x v="2"/>
    <s v="Observed a grinder working without his Leather sleeves and apron"/>
    <x v="3"/>
    <s v="Stopped him and let him wear his it immediately."/>
    <m/>
    <m/>
    <m/>
    <m/>
    <s v="Invalid"/>
    <x v="0"/>
    <m/>
  </r>
  <r>
    <n v="748"/>
    <x v="85"/>
    <s v="Ahmed Maher"/>
    <x v="0"/>
    <s v="HSE "/>
    <x v="1"/>
    <x v="9"/>
    <x v="4"/>
    <s v="one worker standing next to the crane during lifting operation "/>
    <x v="1"/>
    <s v="instructed the worker to go away the manuvering crane area"/>
    <m/>
    <m/>
    <m/>
    <m/>
    <s v="Invalid"/>
    <x v="0"/>
    <m/>
  </r>
  <r>
    <n v="749"/>
    <x v="85"/>
    <s v="Mohamed Abdallah"/>
    <x v="0"/>
    <s v="HSE "/>
    <x v="1"/>
    <x v="9"/>
    <x v="2"/>
    <s v="observed grinder was working without ear plugs "/>
    <x v="1"/>
    <s v="stopped him , advised him  to wear ear plugs and he did  "/>
    <m/>
    <m/>
    <m/>
    <s v="Grinding Supervisor "/>
    <s v="Invalid"/>
    <x v="0"/>
    <m/>
  </r>
  <r>
    <n v="750"/>
    <x v="85"/>
    <s v="Ibrahim Hamed"/>
    <x v="0"/>
    <s v="HSE "/>
    <x v="0"/>
    <x v="7"/>
    <x v="7"/>
    <s v="observed some steel pieces in  have sharp edegs may cause injury"/>
    <x v="0"/>
    <s v="informed fitting supervisor and he had taken the corrective action,"/>
    <m/>
    <m/>
    <m/>
    <s v="Fitting Supervisor"/>
    <s v="Invalid"/>
    <x v="0"/>
    <m/>
  </r>
  <r>
    <n v="751"/>
    <x v="85"/>
    <s v="Ibrahim Hamed"/>
    <x v="0"/>
    <s v="HSE "/>
    <x v="0"/>
    <x v="0"/>
    <x v="3"/>
    <s v=" Welding Cables were passed through scaffolding ladder may lead to tripping hazard , falling hazard during climbing ladders "/>
    <x v="0"/>
    <s v="asked the welder to adjust cable routes , arrange cables for safe access , and he did "/>
    <m/>
    <m/>
    <m/>
    <s v="Welding Supervisor"/>
    <s v="Invalid"/>
    <x v="0"/>
    <m/>
  </r>
  <r>
    <n v="752"/>
    <x v="85"/>
    <s v="Ibrahim Hamed"/>
    <x v="0"/>
    <s v="HSE "/>
    <x v="0"/>
    <x v="9"/>
    <x v="3"/>
    <s v="observed scaffolding material scattered on the working area without arrangement "/>
    <x v="0"/>
    <s v="materials has been arranged  "/>
    <m/>
    <m/>
    <m/>
    <m/>
    <s v="Invalid"/>
    <x v="0"/>
    <m/>
  </r>
  <r>
    <n v="753"/>
    <x v="86"/>
    <s v="Mohamed Abdallah"/>
    <x v="0"/>
    <s v="HSE "/>
    <x v="0"/>
    <x v="3"/>
    <x v="3"/>
    <s v="observed presence of a metal object in front of the scaffold's ladder (Tripping hazard )"/>
    <x v="0"/>
    <s v="spoke to sups  to do re-arrangement of objects and clear access ways to the scaffolds "/>
    <m/>
    <m/>
    <m/>
    <m/>
    <s v="Invalid"/>
    <x v="0"/>
    <m/>
  </r>
  <r>
    <n v="754"/>
    <x v="86"/>
    <s v="Ahmed Maher"/>
    <x v="0"/>
    <s v="HSE "/>
    <x v="0"/>
    <x v="9"/>
    <x v="3"/>
    <s v="Observed scattered welding electrodes residue on top of scaffolds and under structures"/>
    <x v="0"/>
    <s v="Buckets were provided to welders to maintain good housekeeping"/>
    <m/>
    <m/>
    <m/>
    <m/>
    <s v="Invalid"/>
    <x v="0"/>
    <m/>
  </r>
  <r>
    <n v="755"/>
    <x v="86"/>
    <s v="Mohamed Abdallah"/>
    <x v="0"/>
    <s v="HSE "/>
    <x v="0"/>
    <x v="9"/>
    <x v="3"/>
    <s v="One of the welding cable was observed extended without use"/>
    <x v="0"/>
    <s v="Buckets were provided to welders to maintain good housekeeping"/>
    <m/>
    <m/>
    <m/>
    <m/>
    <s v="Invalid"/>
    <x v="0"/>
    <m/>
  </r>
  <r>
    <n v="756"/>
    <x v="86"/>
    <s v="Ibrahim Hamed"/>
    <x v="0"/>
    <s v="HSE "/>
    <x v="0"/>
    <x v="0"/>
    <x v="6"/>
    <s v="CPY observed that, PTJ workers copious amounts resting/relaxing and not focused on fabrication activities during normal working hours."/>
    <x v="0"/>
    <s v="Informed TFMC / PTJ management, to do all necessary corrective actions for this specific concern which has been seen at several Work areas."/>
    <s v="Ensure this topic will be re-highlighted during TBT, to encourage PTJ workers to follow the timing scheduled for break and resting etc.…."/>
    <m/>
    <m/>
    <m/>
    <s v="Invalid"/>
    <x v="0"/>
    <m/>
  </r>
  <r>
    <n v="757"/>
    <x v="86"/>
    <s v="Mohamed Abdallah"/>
    <x v="0"/>
    <s v="HSE "/>
    <x v="0"/>
    <x v="2"/>
    <x v="6"/>
    <s v="It was observed that most of CGC Doesn’t have the correct / standard identification color code as per standard although the identification singe is posted /distributed at the site"/>
    <x v="0"/>
    <s v="TFMC HSE Manager and PTJ HSE Manager have been advised to take the necessary action and correct the situation."/>
    <s v="The subcontractor should provide standard color coded CGC For project site"/>
    <m/>
    <m/>
    <m/>
    <s v="Invalid"/>
    <x v="0"/>
    <m/>
  </r>
  <r>
    <n v="758"/>
    <x v="86"/>
    <s v="Mohamed Abdallah"/>
    <x v="0"/>
    <s v="HSE "/>
    <x v="0"/>
    <x v="9"/>
    <x v="4"/>
    <s v="CPY observed several pieces of unit weights being manufactured on site. Pieces of scrap metal is being placed within the drums. Thereafter welded shut and without determining the weight or showing any base design report."/>
    <x v="0"/>
    <s v="CPY approached TFMC / PTJ HSE, to take an immediate action to ensure that all safety requirements are in place to prevent such a risk."/>
    <s v="CPY recommended to ensure that items which are subject to lifted to be fully inspected and released based on official design report and QC report."/>
    <m/>
    <m/>
    <m/>
    <s v="Invalid"/>
    <x v="0"/>
    <m/>
  </r>
  <r>
    <n v="759"/>
    <x v="87"/>
    <s v="Ibrahim Hamed"/>
    <x v="0"/>
    <s v="HSE "/>
    <x v="1"/>
    <x v="3"/>
    <x v="16"/>
    <s v="observed that one of welders was smoking in fabrication area "/>
    <x v="1"/>
    <s v="Warning to him not to repeat, and a violation of safety instructions was issued to him"/>
    <m/>
    <m/>
    <m/>
    <m/>
    <s v="Invalid"/>
    <x v="0"/>
    <m/>
  </r>
  <r>
    <n v="760"/>
    <x v="87"/>
    <s v="Ibrahim Hamed"/>
    <x v="0"/>
    <s v="HSE "/>
    <x v="1"/>
    <x v="11"/>
    <x v="2"/>
    <s v="one of welders was working without proper PPE (Mask )"/>
    <x v="3"/>
    <s v="told the worker to wear his PPE all the time during  working ."/>
    <m/>
    <m/>
    <m/>
    <m/>
    <s v="Invalid"/>
    <x v="0"/>
    <m/>
  </r>
  <r>
    <n v="761"/>
    <x v="87"/>
    <s v="Mohamed Abdallah"/>
    <x v="0"/>
    <s v="HSE "/>
    <x v="0"/>
    <x v="9"/>
    <x v="5"/>
    <s v="A grinder was working with the resulting spark was directed to a gas cylinder."/>
    <x v="0"/>
    <s v="Stop him and inform him to remove the gas cylinder from the area."/>
    <m/>
    <m/>
    <m/>
    <s v="Grinder"/>
    <s v="Invalid"/>
    <x v="0"/>
    <m/>
  </r>
  <r>
    <n v="762"/>
    <x v="87"/>
    <s v="Ibrahim Hamed"/>
    <x v="0"/>
    <s v="HSE "/>
    <x v="0"/>
    <x v="9"/>
    <x v="6"/>
    <s v="un fixed planks of scaffold platform"/>
    <x v="0"/>
    <s v="Informed scaffold sup to fix and install the planks , he installed it and _x000a_re inspected the rest plat forms "/>
    <m/>
    <m/>
    <m/>
    <s v="Scaffold Supervisor"/>
    <s v="Invalid"/>
    <x v="0"/>
    <m/>
  </r>
  <r>
    <n v="763"/>
    <x v="88"/>
    <s v="Ahmed Maher"/>
    <x v="0"/>
    <s v="HSE "/>
    <x v="1"/>
    <x v="7"/>
    <x v="2"/>
    <s v="one worker  not wearing  a safety gloves "/>
    <x v="3"/>
    <s v="Stopped him to wear safety glassess"/>
    <m/>
    <m/>
    <m/>
    <m/>
    <s v="Invalid"/>
    <x v="0"/>
    <m/>
  </r>
  <r>
    <n v="764"/>
    <x v="88"/>
    <s v="Ahmed Maher"/>
    <x v="0"/>
    <s v="HSE "/>
    <x v="0"/>
    <x v="9"/>
    <x v="3"/>
    <s v="Observed some welding electrodes thrown on the ground."/>
    <x v="0"/>
    <s v="All electrodes residue must be collected in buckets."/>
    <m/>
    <m/>
    <m/>
    <s v="Welding Supervisor"/>
    <s v="Invalid"/>
    <x v="0"/>
    <m/>
  </r>
  <r>
    <n v="765"/>
    <x v="88"/>
    <s v="Mohamed Abdallah"/>
    <x v="0"/>
    <s v="HSE "/>
    <x v="0"/>
    <x v="13"/>
    <x v="0"/>
    <s v="Some of the electrical panels do not have the warning signs,"/>
    <x v="0"/>
    <s v="Electrical hazard sign is dispalyed on the panel"/>
    <m/>
    <m/>
    <m/>
    <m/>
    <s v="Invalid"/>
    <x v="0"/>
    <m/>
  </r>
  <r>
    <n v="766"/>
    <x v="89"/>
    <s v="Mohamed Abdallah"/>
    <x v="0"/>
    <s v="HSE "/>
    <x v="0"/>
    <x v="2"/>
    <x v="4"/>
    <s v="Grinder put grinding motor above Stand  , expose the machine to fall on the ground "/>
    <x v="0"/>
    <s v="normed the grinder , he adjusted the position of machine and secured it"/>
    <m/>
    <m/>
    <m/>
    <m/>
    <s v="Invalid"/>
    <x v="0"/>
    <m/>
  </r>
  <r>
    <n v="767"/>
    <x v="89"/>
    <s v="Mohamed Abdallah"/>
    <x v="0"/>
    <s v="HSE "/>
    <x v="0"/>
    <x v="2"/>
    <x v="0"/>
    <s v="electric panel inspection paper not inside and need to be updated "/>
    <x v="0"/>
    <s v="Reinspection was done for all electrical panels and updated check lists "/>
    <m/>
    <m/>
    <m/>
    <m/>
    <s v="Invalid"/>
    <x v="0"/>
    <m/>
  </r>
  <r>
    <n v="768"/>
    <x v="90"/>
    <s v="Ibrahim Hamed"/>
    <x v="0"/>
    <s v="HSE "/>
    <x v="0"/>
    <x v="9"/>
    <x v="1"/>
    <s v=" scaffold access needs more Fixation "/>
    <x v="2"/>
    <s v="The supervisor has been notified"/>
    <m/>
    <m/>
    <m/>
    <s v="Scaffold Supervisor"/>
    <s v="Invalid"/>
    <x v="0"/>
    <m/>
  </r>
  <r>
    <n v="769"/>
    <x v="90"/>
    <s v="Ahmed Maher"/>
    <x v="0"/>
    <s v="HSE "/>
    <x v="0"/>
    <x v="3"/>
    <x v="3"/>
    <s v="Observed poor House keeping and improper material arrangement "/>
    <x v="2"/>
    <s v="materials has been arranged  "/>
    <m/>
    <m/>
    <m/>
    <m/>
    <s v="Invalid"/>
    <x v="0"/>
    <m/>
  </r>
  <r>
    <n v="770"/>
    <x v="90"/>
    <s v="Ahmed Maher"/>
    <x v="0"/>
    <s v="HSE "/>
    <x v="0"/>
    <x v="9"/>
    <x v="10"/>
    <s v="During HSE inspection of site I noticed that still some workers doesn’t have TFMC HSE Induction stickers on their helmets and when I asked them, they confirmed that they only attend PTJ INDUCTION but did not take stickers but not inducted by TFMC HSE"/>
    <x v="0"/>
    <s v="Informed TFMC HSE Advisor and HSE TL Whom removed them from site immediately till arranging a session to finalize this issue."/>
    <s v="The noncompliance has been transferred to the TFMC HSE TL for further intervention and follow up."/>
    <m/>
    <m/>
    <m/>
    <s v="Invalid"/>
    <x v="0"/>
    <m/>
  </r>
  <r>
    <n v="771"/>
    <x v="90"/>
    <s v="Mohamed Abdallah"/>
    <x v="0"/>
    <s v="HSE "/>
    <x v="3"/>
    <x v="4"/>
    <x v="2"/>
    <s v="It has been observed that the team comply with site PPE especially the ear plug at the W/S"/>
    <x v="5"/>
    <s v="Appreciate the good job."/>
    <m/>
    <m/>
    <m/>
    <m/>
    <s v="Invalid"/>
    <x v="1"/>
    <m/>
  </r>
  <r>
    <n v="772"/>
    <x v="91"/>
    <s v="Mohamed Abdallah"/>
    <x v="0"/>
    <s v="HSE "/>
    <x v="0"/>
    <x v="9"/>
    <x v="5"/>
    <s v="one of the grinder using wooden plate as support which may cause fire "/>
    <x v="3"/>
    <s v="Stoped him to remove the wooden plate , advised him not to use combustible material near hot work area /Advised him not to use combustible material near hot work area "/>
    <m/>
    <m/>
    <m/>
    <m/>
    <s v="Invalid"/>
    <x v="0"/>
    <m/>
  </r>
  <r>
    <n v="773"/>
    <x v="91"/>
    <s v="Ahmed Maher"/>
    <x v="0"/>
    <s v="HSE "/>
    <x v="0"/>
    <x v="9"/>
    <x v="3"/>
    <s v="observed that small wooden pieces on the ground that may lead to tripping hazard "/>
    <x v="0"/>
    <s v="The supervisor has been notified and the wood pieces have been removed immediatel"/>
    <m/>
    <m/>
    <m/>
    <m/>
    <s v="Invalid"/>
    <x v="0"/>
    <m/>
  </r>
  <r>
    <n v="774"/>
    <x v="91"/>
    <s v="Mohamed Abdallah"/>
    <x v="0"/>
    <s v="HSE "/>
    <x v="0"/>
    <x v="3"/>
    <x v="3"/>
    <s v="Welding cables were not well organized."/>
    <x v="0"/>
    <s v="Cable management was done"/>
    <m/>
    <m/>
    <m/>
    <m/>
    <s v="Invalid"/>
    <x v="0"/>
    <m/>
  </r>
  <r>
    <n v="775"/>
    <x v="92"/>
    <s v="Mohamed Abdallah"/>
    <x v="0"/>
    <s v="HSE "/>
    <x v="0"/>
    <x v="7"/>
    <x v="5"/>
    <s v="one of the grinder using wooden plate as support which may cause fire "/>
    <x v="3"/>
    <s v="Advised him not to use combustible material near hot work area "/>
    <m/>
    <m/>
    <m/>
    <s v="Grinding Supervisor "/>
    <s v="Invalid"/>
    <x v="0"/>
    <m/>
  </r>
  <r>
    <n v="776"/>
    <x v="92"/>
    <s v="Mohamed Abdallah"/>
    <x v="0"/>
    <s v="HSE "/>
    <x v="0"/>
    <x v="9"/>
    <x v="7"/>
    <s v="some sharp edges need to be highlighted "/>
    <x v="0"/>
    <s v="Asked area Sup to highlight sharp edges in site and they have been highlighted."/>
    <m/>
    <m/>
    <m/>
    <m/>
    <s v="Invalid"/>
    <x v="0"/>
    <m/>
  </r>
  <r>
    <n v="777"/>
    <x v="92"/>
    <s v="Ibrahim Hamed"/>
    <x v="0"/>
    <s v="HSE "/>
    <x v="0"/>
    <x v="7"/>
    <x v="3"/>
    <s v="Bad housekeeping on scaffolds"/>
    <x v="0"/>
    <s v="housekeeping has been done"/>
    <m/>
    <m/>
    <m/>
    <m/>
    <s v="Invalid"/>
    <x v="0"/>
    <m/>
  </r>
  <r>
    <n v="778"/>
    <x v="92"/>
    <s v="Mohamed Abdallah"/>
    <x v="0"/>
    <s v="HSE "/>
    <x v="0"/>
    <x v="9"/>
    <x v="3"/>
    <s v="Welding cables were not well organized"/>
    <x v="0"/>
    <s v="Cable management was done"/>
    <m/>
    <m/>
    <m/>
    <m/>
    <s v="Invalid"/>
    <x v="0"/>
    <m/>
  </r>
  <r>
    <n v="779"/>
    <x v="93"/>
    <s v="Mohamed Abdallah"/>
    <x v="0"/>
    <s v="HSE "/>
    <x v="0"/>
    <x v="3"/>
    <x v="0"/>
    <s v="observed damaged grinding cable "/>
    <x v="0"/>
    <s v="Stopped the grinder , instructed him to send the macchine to electric dept to change the cable  , he did "/>
    <m/>
    <m/>
    <m/>
    <s v="Grinding Supervisor"/>
    <s v="Invalid"/>
    <x v="0"/>
    <m/>
  </r>
  <r>
    <n v="780"/>
    <x v="93"/>
    <s v="Mohamed Abdallah"/>
    <x v="0"/>
    <s v="HSE "/>
    <x v="0"/>
    <x v="9"/>
    <x v="0"/>
    <s v="Propane gauge wasnot working well "/>
    <x v="3"/>
    <s v="Informmed worker and sup to replace it , They  replaced it "/>
    <m/>
    <m/>
    <m/>
    <m/>
    <s v="Invalid"/>
    <x v="0"/>
    <m/>
  </r>
  <r>
    <n v="781"/>
    <x v="93"/>
    <s v="Ahmed Maher"/>
    <x v="0"/>
    <s v="HSE "/>
    <x v="0"/>
    <x v="9"/>
    <x v="3"/>
    <s v="Observed poor House keeping and improper material arrangement "/>
    <x v="0"/>
    <s v="houskeeping was done immediately"/>
    <m/>
    <m/>
    <m/>
    <s v="Supervisor"/>
    <s v="Invalid"/>
    <x v="0"/>
    <m/>
  </r>
  <r>
    <n v="782"/>
    <x v="93"/>
    <s v="Mohamed Abdallah"/>
    <x v="0"/>
    <s v="HSE "/>
    <x v="0"/>
    <x v="3"/>
    <x v="0"/>
    <s v="observed damaged grinding cable "/>
    <x v="3"/>
    <s v="Stopped the grinder , instructed him to send the macchine to electric dept to change the cable , he did "/>
    <m/>
    <m/>
    <m/>
    <m/>
    <s v="Invalid"/>
    <x v="0"/>
    <m/>
  </r>
  <r>
    <n v="783"/>
    <x v="94"/>
    <s v="Ibrahim Hamed"/>
    <x v="0"/>
    <s v="HSE "/>
    <x v="2"/>
    <x v="0"/>
    <x v="3"/>
    <s v="It has been observed that the team maintain good housekeeping at the area"/>
    <x v="5"/>
    <s v="Appreciate the good job."/>
    <m/>
    <m/>
    <m/>
    <m/>
    <s v="Invalid"/>
    <x v="1"/>
    <m/>
  </r>
  <r>
    <n v="784"/>
    <x v="94"/>
    <s v="Ahmed Maher"/>
    <x v="0"/>
    <s v="HSE "/>
    <x v="0"/>
    <x v="4"/>
    <x v="3"/>
    <s v="observed scaffolding material scattered on the working area without arrangement "/>
    <x v="0"/>
    <s v="materials has been arranged  "/>
    <m/>
    <m/>
    <m/>
    <s v="Scaffolding  Supervisor"/>
    <s v="Invalid"/>
    <x v="0"/>
    <m/>
  </r>
  <r>
    <n v="785"/>
    <x v="94"/>
    <s v="Mohamed Abdallah"/>
    <x v="0"/>
    <s v="HSE "/>
    <x v="0"/>
    <x v="9"/>
    <x v="3"/>
    <s v="Housekeeping improvement is required."/>
    <x v="0"/>
    <s v="Adjusted the position of the beams , the metal sheet is properly rested on beams and secured "/>
    <m/>
    <m/>
    <m/>
    <m/>
    <s v="Invalid"/>
    <x v="0"/>
    <m/>
  </r>
  <r>
    <n v="786"/>
    <x v="94"/>
    <s v="Mohamed Abdallah"/>
    <x v="0"/>
    <s v="HSE "/>
    <x v="0"/>
    <x v="4"/>
    <x v="18"/>
    <s v="Observed that grinding motor cable without color code"/>
    <x v="0"/>
    <s v="Infromed Grinding sup to inspect grinding motor cables and put the valid color code "/>
    <m/>
    <m/>
    <m/>
    <m/>
    <s v="Invalid"/>
    <x v="0"/>
    <m/>
  </r>
  <r>
    <n v="787"/>
    <x v="95"/>
    <s v="Ibrahim Hamed"/>
    <x v="0"/>
    <s v="HSE "/>
    <x v="3"/>
    <x v="3"/>
    <x v="9"/>
    <s v="quick reposne from PTJ by providing proper lighting during the night shift"/>
    <x v="5"/>
    <s v="Appreciate the good job."/>
    <m/>
    <m/>
    <m/>
    <m/>
    <s v="Invalid"/>
    <x v="1"/>
    <m/>
  </r>
  <r>
    <n v="788"/>
    <x v="95"/>
    <s v="Mohamed Abdallah"/>
    <x v="0"/>
    <s v="HSE "/>
    <x v="0"/>
    <x v="9"/>
    <x v="3"/>
    <s v="Note  Some electrical and welding cables are unused and need to be excluded"/>
    <x v="0"/>
    <s v=" electrical and welding cables were excluded"/>
    <m/>
    <m/>
    <m/>
    <s v="Area Supervisor"/>
    <s v="Invalid"/>
    <x v="0"/>
    <m/>
  </r>
  <r>
    <n v="789"/>
    <x v="95"/>
    <s v="Mohamed Abdallah"/>
    <x v="0"/>
    <s v="HSE "/>
    <x v="0"/>
    <x v="0"/>
    <x v="5"/>
    <s v="observed grinding spark was towards gas cylinder "/>
    <x v="0"/>
    <s v="stopped him to remove cylinder away  from grinding operation area , advised him to focus on the direction of sparks all the time "/>
    <m/>
    <m/>
    <m/>
    <s v="Grinding Supervisor"/>
    <s v="Invalid"/>
    <x v="0"/>
    <m/>
  </r>
  <r>
    <n v="790"/>
    <x v="95"/>
    <s v="Mohamed Abdallah"/>
    <x v="0"/>
    <s v="HSE "/>
    <x v="0"/>
    <x v="0"/>
    <x v="3"/>
    <s v="Observed that there are materials not related to the project stored in the project area"/>
    <x v="0"/>
    <s v="Informed Maintenance Dept to remove it "/>
    <m/>
    <m/>
    <m/>
    <m/>
    <s v="Invalid"/>
    <x v="0"/>
    <m/>
  </r>
  <r>
    <n v="791"/>
    <x v="95"/>
    <s v="Ibrahim Hamed"/>
    <x v="0"/>
    <s v="HSE "/>
    <x v="0"/>
    <x v="9"/>
    <x v="3"/>
    <s v="Small pipe in the access way "/>
    <x v="0"/>
    <s v="it was removed immediately "/>
    <m/>
    <m/>
    <m/>
    <m/>
    <s v="Invalid"/>
    <x v="0"/>
    <m/>
  </r>
  <r>
    <n v="792"/>
    <x v="95"/>
    <s v="Ibrahim Hamed"/>
    <x v="0"/>
    <s v="HSE "/>
    <x v="0"/>
    <x v="9"/>
    <x v="5"/>
    <s v="Gas cylinder with empty bubble test bottle"/>
    <x v="0"/>
    <s v="Informed worker he filled it and advised him to check leakage before using "/>
    <m/>
    <m/>
    <m/>
    <m/>
    <s v="Invalid"/>
    <x v="0"/>
    <m/>
  </r>
  <r>
    <n v="793"/>
    <x v="95"/>
    <s v="Mohamed Abdallah"/>
    <x v="0"/>
    <s v="HSE "/>
    <x v="0"/>
    <x v="0"/>
    <x v="1"/>
    <s v="Observed one scaffold without identifcation scaff tag"/>
    <x v="0"/>
    <s v="called up the scaffold sup to inspect the scaffold and identify the scaff tag"/>
    <m/>
    <m/>
    <m/>
    <m/>
    <s v="Invalid"/>
    <x v="0"/>
    <m/>
  </r>
  <r>
    <n v="794"/>
    <x v="96"/>
    <s v="Ahmed Maher"/>
    <x v="0"/>
    <s v="HSE "/>
    <x v="2"/>
    <x v="4"/>
    <x v="9"/>
    <s v="The team maintain proper houskeeping  between the day and the nightshift"/>
    <x v="5"/>
    <s v=" houskeeping was done immediately"/>
    <m/>
    <m/>
    <m/>
    <m/>
    <s v="Invalid"/>
    <x v="1"/>
    <m/>
  </r>
  <r>
    <n v="795"/>
    <x v="96"/>
    <s v="Ahmed Maher"/>
    <x v="0"/>
    <s v="HSE "/>
    <x v="1"/>
    <x v="1"/>
    <x v="2"/>
    <s v="observed that Pipe fitter was working without proper ppe "/>
    <x v="1"/>
    <s v="Advised the fitter to wear full ppe and he did."/>
    <m/>
    <m/>
    <m/>
    <m/>
    <s v="Invalid"/>
    <x v="0"/>
    <m/>
  </r>
  <r>
    <n v="796"/>
    <x v="86"/>
    <s v="Mohamed Abdallah"/>
    <x v="0"/>
    <s v="HSE "/>
    <x v="1"/>
    <x v="7"/>
    <x v="2"/>
    <s v="One of the workers working without wearing glasses"/>
    <x v="1"/>
    <s v="wear glasses Immediately."/>
    <m/>
    <m/>
    <m/>
    <m/>
    <s v="Invalid"/>
    <x v="0"/>
    <m/>
  </r>
  <r>
    <n v="797"/>
    <x v="87"/>
    <s v="Ibrahim Hamed"/>
    <x v="0"/>
    <s v="HSE "/>
    <x v="1"/>
    <x v="8"/>
    <x v="2"/>
    <s v="ipe fitter was wearing welding faceshield "/>
    <x v="1"/>
    <s v="Stopped him to wear clear face shield"/>
    <m/>
    <m/>
    <m/>
    <m/>
    <s v="Invalid"/>
    <x v="0"/>
    <m/>
  </r>
  <r>
    <n v="798"/>
    <x v="88"/>
    <s v="Ahmed Maher"/>
    <x v="0"/>
    <s v="HSE "/>
    <x v="1"/>
    <x v="9"/>
    <x v="2"/>
    <s v="Observed 2 workers without safety glassess"/>
    <x v="1"/>
    <s v="Stopped them to wear their safety glassess, the issue was highlighted in the next TBT "/>
    <m/>
    <m/>
    <m/>
    <m/>
    <s v="Invalid"/>
    <x v="0"/>
    <m/>
  </r>
  <r>
    <n v="799"/>
    <x v="92"/>
    <s v="Mohamed Abdallah"/>
    <x v="0"/>
    <s v="HSE "/>
    <x v="1"/>
    <x v="1"/>
    <x v="2"/>
    <s v="observed a fitter carrying support without gloves "/>
    <x v="1"/>
    <s v="Adviced hime to wear the gloves  , he did "/>
    <m/>
    <m/>
    <m/>
    <m/>
    <s v="Invalid"/>
    <x v="0"/>
    <m/>
  </r>
  <r>
    <n v="800"/>
    <x v="83"/>
    <s v="Ibrahim Hamed"/>
    <x v="0"/>
    <s v="HSE "/>
    <x v="2"/>
    <x v="0"/>
    <x v="5"/>
    <s v="Safe Handling Of gas cylinder on trollys , secured by chain and provided with protection cap"/>
    <x v="5"/>
    <s v=" Appreciate the good job."/>
    <m/>
    <m/>
    <m/>
    <m/>
    <s v="Invalid"/>
    <x v="1"/>
    <m/>
  </r>
  <r>
    <n v="801"/>
    <x v="83"/>
    <s v="Mohamed Abdallah"/>
    <x v="0"/>
    <s v="HSE "/>
    <x v="0"/>
    <x v="1"/>
    <x v="3"/>
    <s v="Housekeeping improvement is required."/>
    <x v="0"/>
    <s v="housekeeping has been done"/>
    <m/>
    <m/>
    <m/>
    <m/>
    <s v="Invalid"/>
    <x v="0"/>
    <m/>
  </r>
  <r>
    <n v="802"/>
    <x v="87"/>
    <s v="Ibrahim Hamed"/>
    <x v="0"/>
    <s v="HSE "/>
    <x v="0"/>
    <x v="3"/>
    <x v="4"/>
    <s v="Some scaffold plates on scaffold need to be propely installed and fixed "/>
    <x v="0"/>
    <s v="Scaffolders installed and fixed the wooden plates "/>
    <m/>
    <m/>
    <m/>
    <m/>
    <s v="Invalid"/>
    <x v="0"/>
    <m/>
  </r>
  <r>
    <n v="803"/>
    <x v="85"/>
    <s v="Ahmed Maher"/>
    <x v="0"/>
    <s v="HSE "/>
    <x v="0"/>
    <x v="9"/>
    <x v="3"/>
    <s v="Improper wast management "/>
    <x v="0"/>
    <s v="Highlighted the issue with work force to carry out waste management "/>
    <m/>
    <m/>
    <m/>
    <m/>
    <s v="Invalid"/>
    <x v="0"/>
    <m/>
  </r>
  <r>
    <n v="804"/>
    <x v="90"/>
    <s v="Mohamed Abdallah"/>
    <x v="0"/>
    <s v="HSE "/>
    <x v="0"/>
    <x v="7"/>
    <x v="5"/>
    <s v="one Prpopane  cylinder hose without installation clip"/>
    <x v="0"/>
    <s v="Infromed welding sup to install the hose by clip"/>
    <m/>
    <m/>
    <m/>
    <m/>
    <s v="Invalid"/>
    <x v="0"/>
    <m/>
  </r>
  <r>
    <n v="805"/>
    <x v="89"/>
    <s v="Mohamed Abdallah"/>
    <x v="0"/>
    <s v="HSE "/>
    <x v="0"/>
    <x v="9"/>
    <x v="8"/>
    <s v="Observed crane blocking the access way and will remain in the same position."/>
    <x v="0"/>
    <s v="Another access way was made in the project area"/>
    <m/>
    <m/>
    <m/>
    <m/>
    <s v="Invalid"/>
    <x v="0"/>
    <m/>
  </r>
  <r>
    <n v="806"/>
    <x v="83"/>
    <s v="Ibrahim Hamed"/>
    <x v="0"/>
    <s v="HSE "/>
    <x v="0"/>
    <x v="7"/>
    <x v="3"/>
    <s v="Observed some welding electrodes thrown on the ground."/>
    <x v="0"/>
    <s v="Issue was highlighted on Tuesday TBT."/>
    <m/>
    <m/>
    <m/>
    <m/>
    <s v="Invalid"/>
    <x v="0"/>
    <m/>
  </r>
  <r>
    <n v="807"/>
    <x v="83"/>
    <s v="Ibrahim Hamed"/>
    <x v="0"/>
    <s v="HSE "/>
    <x v="0"/>
    <x v="7"/>
    <x v="3"/>
    <s v="Observed scattered welding electrodes residue on top of scaffolds and under structures"/>
    <x v="0"/>
    <s v="Buckets were provided to welders to maintain good housekeeping"/>
    <m/>
    <m/>
    <m/>
    <m/>
    <s v="Invalid"/>
    <x v="0"/>
    <m/>
  </r>
  <r>
    <n v="808"/>
    <x v="92"/>
    <s v="Mohamed Abdallah"/>
    <x v="0"/>
    <s v="HSE "/>
    <x v="0"/>
    <x v="1"/>
    <x v="3"/>
    <s v="poor  Cable Management "/>
    <x v="0"/>
    <s v="Cable Management has been done Immediately."/>
    <m/>
    <m/>
    <m/>
    <m/>
    <s v="Invalid"/>
    <x v="0"/>
    <m/>
  </r>
  <r>
    <n v="809"/>
    <x v="97"/>
    <s v="Ahmed Maher"/>
    <x v="0"/>
    <s v="HSE "/>
    <x v="0"/>
    <x v="3"/>
    <x v="4"/>
    <s v="The area around the lifting was not Completely barriered-off for the safe work"/>
    <x v="0"/>
    <s v="Work was stopped and barriers were put"/>
    <m/>
    <m/>
    <m/>
    <m/>
    <s v="Invalid"/>
    <x v="0"/>
    <m/>
  </r>
  <r>
    <n v="810"/>
    <x v="83"/>
    <s v="Ahmed Maher"/>
    <x v="0"/>
    <s v="HSE "/>
    <x v="0"/>
    <x v="9"/>
    <x v="5"/>
    <s v="observed Acytelene cylinder without cap "/>
    <x v="0"/>
    <s v="the cylinder was secured by protection cap"/>
    <m/>
    <m/>
    <m/>
    <m/>
    <s v="Invalid"/>
    <x v="0"/>
    <m/>
  </r>
  <r>
    <n v="811"/>
    <x v="94"/>
    <s v="Mohamed Abdallah"/>
    <x v="0"/>
    <s v="HSE "/>
    <x v="0"/>
    <x v="7"/>
    <x v="8"/>
    <s v="Observed a weebing sling not color coded "/>
    <x v="0"/>
    <s v="Informed rigging sup to reinspect the weebing sling and put the color code"/>
    <m/>
    <m/>
    <m/>
    <m/>
    <s v="Invalid"/>
    <x v="0"/>
    <m/>
  </r>
  <r>
    <n v="812"/>
    <x v="97"/>
    <s v="Mohamed Abdallah"/>
    <x v="0"/>
    <s v="HSE "/>
    <x v="0"/>
    <x v="9"/>
    <x v="15"/>
    <s v="there wasnot barricades around Scaffold Dismantling area "/>
    <x v="0"/>
    <s v="barricades has been done to identify the line of fire area"/>
    <m/>
    <m/>
    <m/>
    <m/>
    <s v="Invalid"/>
    <x v="0"/>
    <m/>
  </r>
  <r>
    <n v="813"/>
    <x v="83"/>
    <s v="Ahmed Maher"/>
    <x v="0"/>
    <s v="HSE "/>
    <x v="0"/>
    <x v="7"/>
    <x v="8"/>
    <s v="Observed damaged Webbing sling left on site"/>
    <x v="0"/>
    <s v="Removed the wire from the work area, identify it with red color code and put it in the quarantine box."/>
    <m/>
    <m/>
    <m/>
    <m/>
    <s v="Invalid"/>
    <x v="0"/>
    <m/>
  </r>
  <r>
    <n v="814"/>
    <x v="91"/>
    <s v="Ahmed Maher"/>
    <x v="0"/>
    <s v="HSE "/>
    <x v="0"/>
    <x v="7"/>
    <x v="3"/>
    <s v="sharp edges need to  be cut "/>
    <x v="0"/>
    <s v="The issue was highlighted in the next TBT with lifting team"/>
    <m/>
    <m/>
    <m/>
    <m/>
    <s v="Invalid"/>
    <x v="0"/>
    <m/>
  </r>
  <r>
    <n v="815"/>
    <x v="81"/>
    <s v="Mohamed Abdallah"/>
    <x v="0"/>
    <s v="HSE "/>
    <x v="0"/>
    <x v="1"/>
    <x v="1"/>
    <s v="some cables are in the access ot  scaffold ladder "/>
    <x v="0"/>
    <s v="Cable management was done and the access to scaffold ladder was clear"/>
    <m/>
    <m/>
    <m/>
    <m/>
    <s v="Invalid"/>
    <x v="0"/>
    <m/>
  </r>
  <r>
    <n v="816"/>
    <x v="80"/>
    <s v="Ibrahim Hamed"/>
    <x v="0"/>
    <s v="HSE "/>
    <x v="0"/>
    <x v="3"/>
    <x v="13"/>
    <s v="Empty eyewash, need to be refilled."/>
    <x v="0"/>
    <s v="eye wash station has been refilled "/>
    <m/>
    <m/>
    <m/>
    <m/>
    <s v="Invalid"/>
    <x v="0"/>
    <m/>
  </r>
  <r>
    <n v="817"/>
    <x v="79"/>
    <s v="Ahmed Maher"/>
    <x v="0"/>
    <s v="HSE "/>
    <x v="0"/>
    <x v="9"/>
    <x v="3"/>
    <s v="poor  Cable Management "/>
    <x v="0"/>
    <s v="Cable Management has been done Immediately."/>
    <m/>
    <m/>
    <m/>
    <m/>
    <s v="Invalid"/>
    <x v="0"/>
    <m/>
  </r>
  <r>
    <n v="818"/>
    <x v="78"/>
    <s v="Mohamed Abdallah"/>
    <x v="0"/>
    <s v="HSE "/>
    <x v="0"/>
    <x v="7"/>
    <x v="5"/>
    <s v="Observed that welding machine nearby the fabrication activity,"/>
    <x v="0"/>
    <s v="Spoke to rigging supervisor to relocate the welding machine, _x000a_They have been relocated."/>
    <m/>
    <m/>
    <m/>
    <m/>
    <s v="Invalid"/>
    <x v="0"/>
    <m/>
  </r>
  <r>
    <n v="819"/>
    <x v="98"/>
    <s v="Ibrahim Hamed"/>
    <x v="0"/>
    <s v="HSE "/>
    <x v="0"/>
    <x v="9"/>
    <x v="3"/>
    <s v="observed that some unused habitat was left between the storage materials causing bad housekeeping in the place"/>
    <x v="0"/>
    <s v="Corrective action was taken immediately."/>
    <m/>
    <m/>
    <m/>
    <m/>
    <s v="Invalid"/>
    <x v="0"/>
    <m/>
  </r>
  <r>
    <n v="820"/>
    <x v="90"/>
    <s v="Mohamed Abdallah"/>
    <x v="0"/>
    <s v="HSE "/>
    <x v="0"/>
    <x v="7"/>
    <x v="5"/>
    <s v="observed Acytelene cylinder without cap "/>
    <x v="0"/>
    <s v="the cylinder was secured by protection cap"/>
    <m/>
    <m/>
    <m/>
    <m/>
    <s v="Invalid"/>
    <x v="0"/>
    <m/>
  </r>
  <r>
    <n v="821"/>
    <x v="83"/>
    <s v="Ibrahim Hamed"/>
    <x v="0"/>
    <s v="HSE "/>
    <x v="0"/>
    <x v="7"/>
    <x v="0"/>
    <s v="Note Some electrical and welding cables are unused and need to be excluded"/>
    <x v="0"/>
    <s v=" electrical and welding cables were excluded"/>
    <m/>
    <m/>
    <m/>
    <m/>
    <s v="Invalid"/>
    <x v="0"/>
    <m/>
  </r>
  <r>
    <n v="822"/>
    <x v="93"/>
    <s v="Ibrahim Hamed"/>
    <x v="0"/>
    <s v="HSE "/>
    <x v="0"/>
    <x v="3"/>
    <x v="15"/>
    <s v="there was not barricades around Scaffold Dismantling area "/>
    <x v="0"/>
    <s v="barricades has been done to identify the line of fire area"/>
    <m/>
    <m/>
    <m/>
    <m/>
    <s v="Invalid"/>
    <x v="0"/>
    <m/>
  </r>
  <r>
    <n v="823"/>
    <x v="83"/>
    <s v="Mohamed Abdallah"/>
    <x v="0"/>
    <s v="HSE "/>
    <x v="0"/>
    <x v="9"/>
    <x v="0"/>
    <s v=" electrical panel do not have the warning signs"/>
    <x v="0"/>
    <s v="Electrical hazard sign is dispalyed on the panel"/>
    <m/>
    <m/>
    <m/>
    <m/>
    <s v="Invalid"/>
    <x v="0"/>
    <m/>
  </r>
  <r>
    <n v="824"/>
    <x v="83"/>
    <s v="Ahmed Maher"/>
    <x v="0"/>
    <s v="HSE "/>
    <x v="0"/>
    <x v="7"/>
    <x v="8"/>
    <s v="Observed a weebing sling not color coded "/>
    <x v="0"/>
    <s v="Informed rigging sup to reinspect the weebing sling and put the color code"/>
    <m/>
    <m/>
    <m/>
    <m/>
    <s v="Invalid"/>
    <x v="0"/>
    <m/>
  </r>
  <r>
    <n v="825"/>
    <x v="93"/>
    <s v="Ahmed Maher"/>
    <x v="0"/>
    <s v="HSE "/>
    <x v="0"/>
    <x v="9"/>
    <x v="3"/>
    <s v="poor  Cable Management "/>
    <x v="0"/>
    <s v="Cable Management has been done Immediately."/>
    <m/>
    <m/>
    <m/>
    <m/>
    <s v="Invalid"/>
    <x v="0"/>
    <m/>
  </r>
  <r>
    <n v="826"/>
    <x v="83"/>
    <s v="Mohamed Abdallah"/>
    <x v="0"/>
    <s v="HSE "/>
    <x v="0"/>
    <x v="7"/>
    <x v="13"/>
    <s v="Empty eyewash, need to be refilled."/>
    <x v="0"/>
    <s v="eye wash station has been refilled "/>
    <m/>
    <m/>
    <m/>
    <m/>
    <s v="Invalid"/>
    <x v="0"/>
    <m/>
  </r>
  <r>
    <n v="827"/>
    <x v="93"/>
    <s v="Ibrahim Hamed"/>
    <x v="0"/>
    <s v="HSE "/>
    <x v="0"/>
    <x v="7"/>
    <x v="4"/>
    <s v="sharp edges need to  be cut "/>
    <x v="0"/>
    <s v="Some of sharp edges were cut and residual protected by traffic cones to avoid contact with sharp edges"/>
    <m/>
    <m/>
    <m/>
    <m/>
    <s v="Invalid"/>
    <x v="0"/>
    <m/>
  </r>
  <r>
    <n v="828"/>
    <x v="99"/>
    <s v="Malcolm Garrington"/>
    <x v="1"/>
    <s v="Project Manager"/>
    <x v="2"/>
    <x v="2"/>
    <x v="3"/>
    <s v="CPY wishes to acknowledge the good housekeeping from PTJ dedicated cleaners within workshops 1 and 2"/>
    <x v="5"/>
    <m/>
    <m/>
    <m/>
    <m/>
    <m/>
    <s v="Invalid"/>
    <x v="1"/>
    <m/>
  </r>
  <r>
    <n v="829"/>
    <x v="99"/>
    <s v="Malcolm Garrington"/>
    <x v="1"/>
    <s v="Project Manager"/>
    <x v="0"/>
    <x v="3"/>
    <x v="8"/>
    <s v="CPY witnessed a lifting operation with PTJ rigging team lifting a piece of steel/plate (circa 200kgs) using a forklift. The piece of steel was not sitting balanced and being pushed through existing scaffolding.The rigging / supervisor are directing the forklift driver to push the steel while several PTJ workers were in the line of fire.Very dangerous activities which should not occur and using the correct mode of lifting and preparations were not addressed."/>
    <x v="3"/>
    <m/>
    <s v="PTJ rigging supervisor to be removed from Total Energies project and PTJ and TFMC HSE to roll out lesson learnt to all workers on body positional, likewise the rigging team on how to do their job safely."/>
    <s v="Medium"/>
    <s v="High"/>
    <m/>
    <d v="2025-05-03T00:00:00"/>
    <x v="0"/>
    <m/>
  </r>
  <r>
    <n v="830"/>
    <x v="100"/>
    <s v="Lance Pretorius"/>
    <x v="1"/>
    <s v="HSE "/>
    <x v="2"/>
    <x v="3"/>
    <x v="2"/>
    <s v="Worker conducting grinding in a safe manner and complete PPE"/>
    <x v="5"/>
    <m/>
    <m/>
    <m/>
    <m/>
    <m/>
    <s v="Invalid"/>
    <x v="1"/>
    <m/>
  </r>
  <r>
    <n v="831"/>
    <x v="101"/>
    <s v="Lance Pretorius"/>
    <x v="1"/>
    <s v="HSE "/>
    <x v="2"/>
    <x v="0"/>
    <x v="4"/>
    <s v="Commended the PTJ HSE Advisor of the area on his initiative to control unsafe conditions."/>
    <x v="5"/>
    <m/>
    <m/>
    <m/>
    <m/>
    <m/>
    <s v="Invalid"/>
    <x v="1"/>
    <m/>
  </r>
  <r>
    <n v="832"/>
    <x v="96"/>
    <s v="Reda Zaghloul"/>
    <x v="1"/>
    <s v="QC"/>
    <x v="2"/>
    <x v="9"/>
    <x v="3"/>
    <s v="Cables in outside fabrication area-4 are properly managed "/>
    <x v="5"/>
    <m/>
    <m/>
    <m/>
    <m/>
    <m/>
    <s v="Invalid"/>
    <x v="1"/>
    <m/>
  </r>
  <r>
    <n v="833"/>
    <x v="96"/>
    <s v="Reda Zaghloul"/>
    <x v="1"/>
    <s v="QC"/>
    <x v="0"/>
    <x v="1"/>
    <x v="3"/>
    <s v="One of access ways @ outside Fab Area 1 was blocked by gas cylinder and access scaffold."/>
    <x v="0"/>
    <s v="I spoke to supervisor and area HSE about these unsafe conditions, and they immediately acted to rectify these unsafe conditions."/>
    <m/>
    <m/>
    <m/>
    <m/>
    <m/>
    <x v="0"/>
    <m/>
  </r>
  <r>
    <n v="834"/>
    <x v="101"/>
    <s v="Lance Pretorius"/>
    <x v="1"/>
    <s v="HSE "/>
    <x v="1"/>
    <x v="0"/>
    <x v="0"/>
    <s v="Pulling of a welding cable that was stuck on a structure without going to actually see what was causing the cable to be stuck"/>
    <x v="1"/>
    <s v="Engaged with the worker to safely suspend his welding and go investigate why his cable was stuck and nit to keep on pulling the cable"/>
    <m/>
    <m/>
    <m/>
    <m/>
    <s v="Invalid"/>
    <x v="0"/>
    <m/>
  </r>
  <r>
    <n v="835"/>
    <x v="101"/>
    <s v="Lance Pretorius"/>
    <x v="1"/>
    <s v="HSE "/>
    <x v="0"/>
    <x v="0"/>
    <x v="7"/>
    <s v="Various sharp steel edges identified in WS#1 areas."/>
    <x v="0"/>
    <s v="_x000a_Engaged with TFMC/PTJ HSE Team to ensure sharp steel edges are identified and closed/buffered on an ongoing basis to eliminate any possibility of  injuries/incidents"/>
    <m/>
    <m/>
    <m/>
    <m/>
    <s v="Invalid"/>
    <x v="0"/>
    <m/>
  </r>
  <r>
    <n v="836"/>
    <x v="102"/>
    <s v="Gamal Abdelgawad "/>
    <x v="1"/>
    <s v="Fabrication"/>
    <x v="0"/>
    <x v="0"/>
    <x v="8"/>
    <s v="CPY observed several pieces of unit weights being manufactured on site. Pieces of scrap metal is being placed within the drums. Thereafter welded shut and without determining the weight or showing any base design report."/>
    <x v="2"/>
    <m/>
    <s v="Ensure that items (Unit weights ) which are subject to lifted to be fully _x000a_inspected and released based on official design report and QC report."/>
    <s v="Medium"/>
    <s v="High"/>
    <m/>
    <d v="2025-04-30T00:00:00"/>
    <x v="0"/>
    <m/>
  </r>
  <r>
    <n v="837"/>
    <x v="102"/>
    <s v="Gamal Abdelgawad "/>
    <x v="1"/>
    <s v="Fabrication"/>
    <x v="2"/>
    <x v="8"/>
    <x v="3"/>
    <s v="CPY observed a proper Housekeeping during preparation of fabrication activities included prefabrication and welding, have been carried out properly, within  outside fabrication area#4."/>
    <x v="5"/>
    <m/>
    <m/>
    <m/>
    <m/>
    <m/>
    <s v="Invalid"/>
    <x v="1"/>
    <m/>
  </r>
  <r>
    <n v="838"/>
    <x v="96"/>
    <s v="Gamal Abdelgawad "/>
    <x v="1"/>
    <s v="Fabrication"/>
    <x v="0"/>
    <x v="2"/>
    <x v="6"/>
    <s v="CPY observed that there is a modification that has been made for some fabrication support which is lifting the structure up from the support not fully rested on it.CPY observed that portable stand has been used for leveling, is locating under the weight block, used during the fabrication / welding activities."/>
    <x v="0"/>
    <s v="CPY approached TFMC / PTJ HSE, to take immediate action to ensure that all structures are fully rested on the fabrication support (full contact points). In addition to that, PTJ to remove the weight block wherever it is located on top of the portable fabrication stands."/>
    <s v="nsure that all structures are fully rested on the _x000a_fabrication support (full contact points). In addition to that, PTJ to remove the weight block wherever it is located on top of the portable fabrication stands."/>
    <s v="Medium"/>
    <s v="Medium"/>
    <m/>
    <d v="2025-05-03T00:00:00"/>
    <x v="0"/>
    <m/>
  </r>
  <r>
    <n v="839"/>
    <x v="73"/>
    <s v="Gamal Abdelgawad"/>
    <x v="1"/>
    <s v="Fabrication"/>
    <x v="3"/>
    <x v="2"/>
    <x v="8"/>
    <s v="CPY observed a proper lifting operation has been carried out, during offloading_x000a_unit weight on top of the structure, inside fabrication workshop#2."/>
    <x v="5"/>
    <s v="CPY approach TFMC / PTJ HSE representative, to encourage the whole team_x000a_have been involved in the lifting operation, for their commitment to HSE rules_x000a_and requirements during the execution."/>
    <s v="Appreciate the good job."/>
    <m/>
    <m/>
    <m/>
    <s v="Invalid"/>
    <x v="1"/>
    <m/>
  </r>
  <r>
    <n v="840"/>
    <x v="73"/>
    <s v="Gamal Abdelgawad"/>
    <x v="1"/>
    <s v="Fabrication"/>
    <x v="3"/>
    <x v="8"/>
    <x v="3"/>
    <s v="CPY observed a proper Housekeeping for fabrication activities included_x000a_prefabrication and welding/NDE, have been carried out properly, inside_x000a_fabrication workshop 4."/>
    <x v="5"/>
    <s v="CPY approach TFMC / PTJ HSE representative, to encourage the whole team_x000a_have been involved in the lifting operation, for their commitment to HSE rules_x000a_and requirements."/>
    <s v="Appreciate the good job."/>
    <m/>
    <m/>
    <m/>
    <s v="Invalid"/>
    <x v="1"/>
    <m/>
  </r>
  <r>
    <n v="841"/>
    <x v="73"/>
    <s v="Gamal Abdelgawad"/>
    <x v="1"/>
    <s v="Fabrication"/>
    <x v="0"/>
    <x v="0"/>
    <x v="2"/>
    <s v="Improper PPE (Dark Glass) been worn by WELDING team, inside main_x000a_fabrication workshop#1."/>
    <x v="0"/>
    <s v="Informed Petrojet TFMC / HSE, to provide a clear glass to the new team."/>
    <s v="Held a quick TBT to encourage the new team for wearing proper PPE inside_x000a_workshop."/>
    <m/>
    <m/>
    <m/>
    <s v="Invalid"/>
    <x v="0"/>
    <m/>
  </r>
  <r>
    <n v="842"/>
    <x v="73"/>
    <s v="Gamal Abdelgawad"/>
    <x v="1"/>
    <s v="Fabrication"/>
    <x v="0"/>
    <x v="0"/>
    <x v="5"/>
    <s v="CPY observed that, there is lack of Portable welding / grinding screens in_x000a_comparison to grinding activities"/>
    <x v="0"/>
    <s v="CPY approached TFMC / PTJ HSE, to Relocate the Portable welding / grinding_x000a_screens in conjunction to the Grinding activities been in progress."/>
    <s v="CPY recommended to reiterate this topic during the TBT to encourage everyone_x000a_coming to the ZB yard for wearing proper PPE inside workshop."/>
    <m/>
    <m/>
    <m/>
    <s v="Invalid"/>
    <x v="0"/>
    <m/>
  </r>
  <r>
    <n v="843"/>
    <x v="73"/>
    <s v="Gamal Abdelgawad"/>
    <x v="1"/>
    <s v="Fabrication"/>
    <x v="3"/>
    <x v="2"/>
    <x v="5"/>
    <s v="CPY observed that, proper handling and storing of grinding machines post of_x000a_grinding process, has been carried out in respect of HSE requirement, inside_x000a_fabrication workshop#2.grinding activities"/>
    <x v="5"/>
    <s v="CPY approach TFMC / PTJ HSE representative, to encourage the whole team_x000a_have been involved in the grinding process, for their commitment to HSE rules_x000a_and requirements during the execution."/>
    <s v="Appreciate the good job."/>
    <m/>
    <m/>
    <m/>
    <s v="Invalid"/>
    <x v="1"/>
    <m/>
  </r>
  <r>
    <n v="844"/>
    <x v="73"/>
    <s v="Lance Pretorius"/>
    <x v="1"/>
    <s v="HSE "/>
    <x v="2"/>
    <x v="9"/>
    <x v="4"/>
    <s v="Very safety barricading administered in Open Area #4"/>
    <x v="5"/>
    <s v="Commended PTJ area HSE for very good safety barricading practices/controls"/>
    <s v="Appreciate the good job."/>
    <m/>
    <m/>
    <m/>
    <s v="Invalid"/>
    <x v="1"/>
    <m/>
  </r>
  <r>
    <n v="845"/>
    <x v="73"/>
    <s v="Lance Pretorius"/>
    <x v="1"/>
    <s v="HSE "/>
    <x v="3"/>
    <x v="2"/>
    <x v="2"/>
    <s v="Worker using a large grinder observed with fully compliant PPE"/>
    <x v="5"/>
    <s v="Commended the worker for safe PPE practices"/>
    <s v="Appreciate the good job."/>
    <m/>
    <m/>
    <m/>
    <s v="Invalid"/>
    <x v="1"/>
    <m/>
  </r>
  <r>
    <n v="846"/>
    <x v="103"/>
    <s v="Lance Pretorius"/>
    <x v="1"/>
    <s v="HSE "/>
    <x v="1"/>
    <x v="4"/>
    <x v="2"/>
    <s v="One PTJ supervisor observed in two workshops not wearing his safety glasses"/>
    <x v="0"/>
    <s v="Intervened together with the TFMC/PTJ HSE area team to ensure the Supervisor_x000a_complies with the full PPE requirements"/>
    <s v="The Supervisor was tutored on the importance of wearing PPE and the impact_x000a_of not wearing PPE and having an incident."/>
    <m/>
    <m/>
    <m/>
    <s v="Invalid"/>
    <x v="0"/>
    <m/>
  </r>
  <r>
    <n v="847"/>
    <x v="103"/>
    <s v="Lance Pretorius"/>
    <x v="1"/>
    <s v="HSE "/>
    <x v="1"/>
    <x v="4"/>
    <x v="5"/>
    <s v="Worker observed doing grinding activities at lower ground area – ergonomically_x000a_unsafe – the worker was handling a 9” heavy grinder whilst performing his_x000a_actvitiy at a low ground lever (100mm oof ground level) – this is deemed as_x000a_ergonomically unsafe – activity suspended"/>
    <x v="3"/>
    <s v="Activity suspended – TFMC/PTJ Area HSE and Supervisor requested to move the_x000a_item being grinded onto a suitable height support for better ergonomical work_x000a_stance."/>
    <s v="The Supervisor was tutored on the importance of wearing PPE and the impact_x000a_of not wearing PPE and having an incident."/>
    <m/>
    <m/>
    <m/>
    <s v="Invalid"/>
    <x v="0"/>
    <m/>
  </r>
  <r>
    <n v="848"/>
    <x v="103"/>
    <s v="Malcolm Garrington"/>
    <x v="1"/>
    <s v="Project Manager"/>
    <x v="2"/>
    <x v="2"/>
    <x v="8"/>
    <s v="CPY noted that a PTJ have installed physical hard barriers are the mobile crane at fab Shop #2 location. Good implementation for safe environment and keeping machinery away from human prevention"/>
    <x v="5"/>
    <s v="Appreciate the good job."/>
    <s v="PTJ to continue the use of hard barriers in all applicable lifting areas"/>
    <m/>
    <m/>
    <m/>
    <s v="Invalid"/>
    <x v="1"/>
    <m/>
  </r>
  <r>
    <n v="849"/>
    <x v="103"/>
    <s v="Malcolm Garrington"/>
    <x v="1"/>
    <s v="Project Manager"/>
    <x v="3"/>
    <x v="0"/>
    <x v="2"/>
    <s v="CPY noted that several PTJ workers (cleaners) wore safety gloves during the housekeeping and lifting of materials which have sharp edges. Good use of correct PPE and elimination of risk, preventing potential cuts and lacerations."/>
    <x v="5"/>
    <s v="Appreciate the good job."/>
    <s v="PTJ to share feedback and peer the cleaning team for their positive safe working"/>
    <m/>
    <m/>
    <m/>
    <s v="Invalid"/>
    <x v="1"/>
    <m/>
  </r>
  <r>
    <n v="850"/>
    <x v="98"/>
    <s v="Johan Kruger"/>
    <x v="1"/>
    <s v="HSE "/>
    <x v="1"/>
    <x v="2"/>
    <x v="6"/>
    <s v="CPY observed a supervisor placing his hand into a piece of structure that was suspended from the overhead crane and being fitted into a secondary part"/>
    <x v="1"/>
    <s v="Immediately intervened and explained to him that should the material move, his hand could be crushed"/>
    <s v="Never place your hands into on onto a suspended piece of equipment to prevent a caught between / crushing incident"/>
    <m/>
    <m/>
    <m/>
    <s v="Invalid"/>
    <x v="0"/>
    <m/>
  </r>
  <r>
    <n v="851"/>
    <x v="89"/>
    <s v="Gamal Abdelgawad"/>
    <x v="1"/>
    <s v="Fabrication"/>
    <x v="0"/>
    <x v="0"/>
    <x v="3"/>
    <s v="CPY observed several pieces of unit weights being manufactured on site. Pieces of scrap metal is being placed within the drums. Thereafter welded shut and without determining the weight or showing any base design report"/>
    <x v="0"/>
    <s v="CPY approached TFMC / PTJ HSE, to take an immediate action to ensure that all safety requirements are in place to prevent such a risk."/>
    <s v="CPY recommended to ensure that items which are subject to lifted to be fully inspected and released based on official design report and QC report"/>
    <m/>
    <m/>
    <m/>
    <s v="Invalid"/>
    <x v="0"/>
    <m/>
  </r>
  <r>
    <n v="852"/>
    <x v="89"/>
    <s v="Gamal Abdelgawad"/>
    <x v="1"/>
    <s v="Fabrication"/>
    <x v="2"/>
    <x v="7"/>
    <x v="3"/>
    <s v="CPY observed a proper Housekeeping during preparation of fabrication activities included prefabrication and welding, have been carried out properly, within outside fabrication area#4."/>
    <x v="5"/>
    <s v="CPY approach TFMC / PTJ HSE representative, to encourage the whole team have been involved in the lifting operation, for their commitment to HSE rules and requirements"/>
    <s v="Appreciate the good job."/>
    <m/>
    <m/>
    <m/>
    <s v="Invalid"/>
    <x v="1"/>
    <m/>
  </r>
  <r>
    <n v="853"/>
    <x v="89"/>
    <s v="Gamal Abdelgawad"/>
    <x v="1"/>
    <s v="Fabrication"/>
    <x v="3"/>
    <x v="0"/>
    <x v="8"/>
    <s v="CPY observed a proper lifting operation has been carried out, during lifting / moving pad eyes using gantry crane, inside main fabrication workshop#1."/>
    <x v="5"/>
    <s v="CPY approach TFMC / PTJ HSE representative, to encourage the whole team have been involved in the lifting operation, for their commitment to HSE rules and requirements during the execution."/>
    <s v="Appreciate the good job."/>
    <m/>
    <m/>
    <m/>
    <s v="Invalid"/>
    <x v="1"/>
    <m/>
  </r>
  <r>
    <n v="854"/>
    <x v="87"/>
    <s v="Malcolm Garrington"/>
    <x v="1"/>
    <s v="Project Manager"/>
    <x v="0"/>
    <x v="0"/>
    <x v="3"/>
    <s v="CPY noted that a lot of rubbish (plastic bottle, broken pieces of wood and other items of waste are unacceptable"/>
    <x v="0"/>
    <s v="CPY requests PTJ to arrange a cleaning team t completely remove all waste from area and ensure a safe working environment"/>
    <s v="CPY requests PTJ personnel to set up a weekly walkaround (internally) and address all fabrication yard areas with corrective actions"/>
    <m/>
    <m/>
    <m/>
    <s v="Invalid"/>
    <x v="0"/>
    <m/>
  </r>
  <r>
    <n v="855"/>
    <x v="87"/>
    <s v="Malcolm Garrington"/>
    <x v="1"/>
    <s v="Project Manager"/>
    <x v="3"/>
    <x v="0"/>
    <x v="8"/>
    <s v="CPY noted that a lifting operation was ongoing within workshop 1 whereas the PTJ rigging team were lifting a structural sub-element. During the lifting activities a PTJ workers (not involved with the lifting) started to walk right into the line of fire and put himself into danger"/>
    <x v="5"/>
    <s v="One of the PTJ rigging team members stopped and interacted, positive behaviour and prevention"/>
    <s v="Appreciate the good job."/>
    <m/>
    <m/>
    <m/>
    <s v="Invalid"/>
    <x v="1"/>
    <m/>
  </r>
  <r>
    <n v="856"/>
    <x v="88"/>
    <s v="Chris Eaton"/>
    <x v="1"/>
    <s v="QC"/>
    <x v="3"/>
    <x v="3"/>
    <x v="19"/>
    <s v="Walking past outside area 3 some ground preparation road side works were being undertaken utilizing an excavator, banksman was controlling personnel entering the area efficiently"/>
    <x v="5"/>
    <s v="Commended the workers on the control and safe working practice"/>
    <s v="Appreciate the good job."/>
    <m/>
    <m/>
    <m/>
    <s v="Invalid"/>
    <x v="1"/>
    <m/>
  </r>
  <r>
    <n v="857"/>
    <x v="88"/>
    <s v="Chris Eaton"/>
    <x v="1"/>
    <s v="QC"/>
    <x v="1"/>
    <x v="2"/>
    <x v="2"/>
    <s v="Working observed walking through workshop 2 without light eye protection"/>
    <x v="1"/>
    <s v="Requested the worker to wear mandatory PPE"/>
    <s v="Soke to the supervisor and requested enforcement of mandatory PPE requirements"/>
    <m/>
    <m/>
    <m/>
    <s v="Invalid"/>
    <x v="0"/>
    <m/>
  </r>
  <r>
    <n v="858"/>
    <x v="88"/>
    <s v="Ehab Ibrahim Hassan"/>
    <x v="1"/>
    <s v="Coating Inspector"/>
    <x v="0"/>
    <x v="5"/>
    <x v="2"/>
    <s v="Outdated helmets were seen when I inspected the PPE of some workers._x000a_2. That is still a repeated issue."/>
    <x v="0"/>
    <s v="Reminded TECHNIP and PETROJET engineer with the importance of resolving this issue at the earliest."/>
    <s v="Subject to be highlighted during the weekly TBT"/>
    <m/>
    <m/>
    <m/>
    <s v="Invalid"/>
    <x v="0"/>
    <m/>
  </r>
  <r>
    <n v="859"/>
    <x v="98"/>
    <s v="Johan Kruger"/>
    <x v="1"/>
    <s v="HSE "/>
    <x v="1"/>
    <x v="3"/>
    <x v="8"/>
    <s v="CPY observed a chain block being used in area # 3 with a faulty safety latch on the hook"/>
    <x v="3"/>
    <s v="Stopped the activity and instructed the supervisor to remove the chain block from site"/>
    <s v="Inspect equipment before use on site"/>
    <m/>
    <m/>
    <m/>
    <s v="Invalid"/>
    <x v="0"/>
    <m/>
  </r>
  <r>
    <n v="860"/>
    <x v="93"/>
    <s v="Abdelhady Ghalwash"/>
    <x v="2"/>
    <s v="HSE "/>
    <x v="0"/>
    <x v="2"/>
    <x v="3"/>
    <s v="Poor housekeeping was observed in the work area, along with inadequate cable management for electrical and welding cables."/>
    <x v="0"/>
    <m/>
    <m/>
    <m/>
    <m/>
    <m/>
    <s v="Invalid"/>
    <x v="0"/>
    <m/>
  </r>
  <r>
    <n v="861"/>
    <x v="97"/>
    <s v="Abdelhady Ghalwash"/>
    <x v="2"/>
    <s v="HSE "/>
    <x v="0"/>
    <x v="4"/>
    <x v="3"/>
    <s v="Chemical materials were observed stored in the workshop in an area not designated for chemical storage"/>
    <x v="2"/>
    <m/>
    <m/>
    <m/>
    <m/>
    <m/>
    <s v="Invalid"/>
    <x v="0"/>
    <m/>
  </r>
  <r>
    <n v="862"/>
    <x v="94"/>
    <s v="Abdelhady Ghalwash"/>
    <x v="2"/>
    <s v="HSE "/>
    <x v="1"/>
    <x v="0"/>
    <x v="17"/>
    <s v="A worker was observed manually handling heavy materials in an unsafe manner, which could lead to potential spinal injuries."/>
    <x v="1"/>
    <m/>
    <m/>
    <m/>
    <m/>
    <m/>
    <s v="Invalid"/>
    <x v="0"/>
    <m/>
  </r>
  <r>
    <n v="863"/>
    <x v="104"/>
    <s v="Abdelhady Ghalwash"/>
    <x v="2"/>
    <s v="HSE "/>
    <x v="0"/>
    <x v="2"/>
    <x v="1"/>
    <s v="It was observed a scaffold with vacation between wooden blanks, this has the_x000a_potential to expose workers for tripping hazards"/>
    <x v="0"/>
    <m/>
    <m/>
    <m/>
    <m/>
    <m/>
    <s v="Invalid"/>
    <x v="0"/>
    <m/>
  </r>
  <r>
    <n v="864"/>
    <x v="95"/>
    <s v="Abdelhady Ghalwash"/>
    <x v="2"/>
    <s v="HSE "/>
    <x v="0"/>
    <x v="0"/>
    <x v="8"/>
    <s v="A lifting sling was observed to be damaged (cut), posing a potential risk of failure during lifting operations."/>
    <x v="0"/>
    <m/>
    <m/>
    <m/>
    <m/>
    <m/>
    <s v="Invalid"/>
    <x v="0"/>
    <m/>
  </r>
  <r>
    <n v="865"/>
    <x v="104"/>
    <s v="Abdelhady Ghalwash"/>
    <x v="2"/>
    <s v="HSE "/>
    <x v="0"/>
    <x v="0"/>
    <x v="0"/>
    <s v="An oxygen cylinder was found leaking, with a damaged pressure gauge."/>
    <x v="3"/>
    <m/>
    <m/>
    <m/>
    <m/>
    <m/>
    <s v="Invalid"/>
    <x v="0"/>
    <m/>
  </r>
  <r>
    <n v="866"/>
    <x v="92"/>
    <s v="Abdelhady Ghalwash"/>
    <x v="2"/>
    <s v="HSE "/>
    <x v="3"/>
    <x v="8"/>
    <x v="2"/>
    <s v="A worker was observed using an angle grinding machine while wearing full_x000a_personal protective equipment (PPE), with a barrier in place to prevent sparks_x000a_from reaching other workers. The work area was clean and well-organized."/>
    <x v="5"/>
    <m/>
    <m/>
    <m/>
    <m/>
    <m/>
    <s v="Invalid"/>
    <x v="1"/>
    <m/>
  </r>
  <r>
    <n v="867"/>
    <x v="95"/>
    <s v="Mahmoud samir"/>
    <x v="2"/>
    <s v="HSE "/>
    <x v="3"/>
    <x v="7"/>
    <x v="8"/>
    <s v="It was observed that the rigging supervisor conducted a survey for the crane documents and held a TBT with the lifting team and check PPE condition for all team."/>
    <x v="5"/>
    <m/>
    <m/>
    <m/>
    <m/>
    <m/>
    <s v="Invalid"/>
    <x v="1"/>
    <m/>
  </r>
  <r>
    <n v="868"/>
    <x v="94"/>
    <s v="Mahmoud samir"/>
    <x v="2"/>
    <s v="HSE "/>
    <x v="0"/>
    <x v="1"/>
    <x v="18"/>
    <s v="It was observed that unsafe hand tools were being used in the workplace"/>
    <x v="0"/>
    <m/>
    <m/>
    <m/>
    <m/>
    <m/>
    <s v="Invalid"/>
    <x v="0"/>
    <m/>
  </r>
  <r>
    <n v="869"/>
    <x v="94"/>
    <s v="Mahmoud samir"/>
    <x v="2"/>
    <s v="HSE "/>
    <x v="1"/>
    <x v="8"/>
    <x v="2"/>
    <s v="It was observed that a grinder during grinding activities without wearing ear plugs and was working in an unsafe position"/>
    <x v="1"/>
    <m/>
    <m/>
    <m/>
    <m/>
    <m/>
    <s v="Invalid"/>
    <x v="0"/>
    <m/>
  </r>
  <r>
    <n v="870"/>
    <x v="104"/>
    <s v="Mahmoud samir"/>
    <x v="2"/>
    <s v="HSE "/>
    <x v="0"/>
    <x v="1"/>
    <x v="4"/>
    <s v="It was observed that chemical materials stored by the PTJ QC department were located near ongoing hot work activities"/>
    <x v="0"/>
    <m/>
    <m/>
    <m/>
    <m/>
    <m/>
    <s v="Invalid"/>
    <x v="0"/>
    <m/>
  </r>
  <r>
    <n v="871"/>
    <x v="93"/>
    <s v="Mahmoud samir"/>
    <x v="2"/>
    <s v="HSE "/>
    <x v="0"/>
    <x v="7"/>
    <x v="6"/>
    <s v="It was observed that some cup supports used for lifting the frame need to re-inspection, as the welding is not yet completed."/>
    <x v="0"/>
    <m/>
    <m/>
    <m/>
    <m/>
    <m/>
    <s v="Invalid"/>
    <x v="0"/>
    <m/>
  </r>
  <r>
    <n v="872"/>
    <x v="95"/>
    <s v="Mahmoud samir"/>
    <x v="2"/>
    <s v="HSE "/>
    <x v="0"/>
    <x v="7"/>
    <x v="1"/>
    <s v="It was observed that a welder was using a scaffold platform that was incomplete and not yet inspected."/>
    <x v="3"/>
    <m/>
    <m/>
    <m/>
    <m/>
    <m/>
    <s v="Invalid"/>
    <x v="0"/>
    <m/>
  </r>
  <r>
    <n v="873"/>
    <x v="92"/>
    <s v="Mahmoud samir"/>
    <x v="2"/>
    <s v="HSE "/>
    <x v="0"/>
    <x v="7"/>
    <x v="3"/>
    <s v="It has been observed during site survey unsafe storage materials on work place. "/>
    <x v="0"/>
    <m/>
    <m/>
    <m/>
    <m/>
    <m/>
    <s v="Invalid"/>
    <x v="0"/>
    <m/>
  </r>
  <r>
    <n v="874"/>
    <x v="79"/>
    <s v="Mahmoud Elshahat"/>
    <x v="2"/>
    <s v="HSE "/>
    <x v="0"/>
    <x v="0"/>
    <x v="5"/>
    <s v="It has been observed grinder during hot work activities using grinding device  with damage cable."/>
    <x v="0"/>
    <m/>
    <m/>
    <m/>
    <m/>
    <m/>
    <s v="Invalid"/>
    <x v="0"/>
    <m/>
  </r>
  <r>
    <n v="875"/>
    <x v="84"/>
    <s v="Mahmoud samir"/>
    <x v="2"/>
    <s v="HSE "/>
    <x v="0"/>
    <x v="1"/>
    <x v="0"/>
    <s v="It has been observed electrical panel without caution signs and not inspected "/>
    <x v="0"/>
    <m/>
    <m/>
    <m/>
    <m/>
    <m/>
    <s v="Invalid"/>
    <x v="0"/>
    <m/>
  </r>
  <r>
    <n v="876"/>
    <x v="82"/>
    <s v="Mahmoud Elshahat"/>
    <x v="2"/>
    <s v="HSE "/>
    <x v="0"/>
    <x v="2"/>
    <x v="18"/>
    <s v="It has been observed there is more workers using damage hand tools ( Hammer ) on work place "/>
    <x v="2"/>
    <m/>
    <m/>
    <m/>
    <m/>
    <m/>
    <s v="Invalid"/>
    <x v="0"/>
    <m/>
  </r>
  <r>
    <n v="877"/>
    <x v="83"/>
    <s v="Mahmoud Elshahat"/>
    <x v="2"/>
    <s v="HSE "/>
    <x v="0"/>
    <x v="0"/>
    <x v="0"/>
    <s v="It has been observed a lot of power equipment’s connected to electrical energy sources during break time."/>
    <x v="2"/>
    <m/>
    <m/>
    <m/>
    <m/>
    <m/>
    <s v="Invalid"/>
    <x v="0"/>
    <m/>
  </r>
  <r>
    <n v="878"/>
    <x v="80"/>
    <s v="Mahmoud Elshahat"/>
    <x v="2"/>
    <s v="HSE "/>
    <x v="1"/>
    <x v="2"/>
    <x v="5"/>
    <s v="It has been observed using trolly for gas cylinders for transportation materials   "/>
    <x v="3"/>
    <m/>
    <m/>
    <m/>
    <m/>
    <m/>
    <s v="Invalid"/>
    <x v="0"/>
    <m/>
  </r>
  <r>
    <n v="879"/>
    <x v="80"/>
    <s v="Abdelhady Ghalwash"/>
    <x v="2"/>
    <s v="HSE "/>
    <x v="0"/>
    <x v="6"/>
    <x v="3"/>
    <s v="It has been observed bad cable management on sandblasting area this will cause tripping hazard or damage during moving or lifting activities  "/>
    <x v="0"/>
    <m/>
    <m/>
    <m/>
    <m/>
    <m/>
    <s v="Invalid"/>
    <x v="0"/>
    <m/>
  </r>
  <r>
    <n v="880"/>
    <x v="83"/>
    <s v="Abdelhady Ghalwash"/>
    <x v="2"/>
    <s v="HSE "/>
    <x v="0"/>
    <x v="6"/>
    <x v="15"/>
    <s v="It has been observed fire hydrant not fitting and  without secure frame. "/>
    <x v="2"/>
    <m/>
    <m/>
    <m/>
    <m/>
    <m/>
    <s v="Invalid"/>
    <x v="0"/>
    <m/>
  </r>
  <r>
    <n v="881"/>
    <x v="82"/>
    <s v="Mahmoud samir"/>
    <x v="2"/>
    <s v="HSE "/>
    <x v="0"/>
    <x v="1"/>
    <x v="10"/>
    <s v="It has been observed manual excavation activities without create specific PTW."/>
    <x v="3"/>
    <m/>
    <m/>
    <m/>
    <m/>
    <m/>
    <s v="Invalid"/>
    <x v="0"/>
    <m/>
  </r>
  <r>
    <n v="882"/>
    <x v="81"/>
    <s v="Mahmoud Elshahat"/>
    <x v="2"/>
    <s v="HSE "/>
    <x v="0"/>
    <x v="0"/>
    <x v="5"/>
    <s v="It has been observed Grinding activity on un-stable pipeline this will cause injury during grinding activities "/>
    <x v="3"/>
    <m/>
    <m/>
    <m/>
    <m/>
    <m/>
    <s v="Invalid"/>
    <x v="0"/>
    <m/>
  </r>
  <r>
    <n v="883"/>
    <x v="83"/>
    <s v="Abdelhady Ghalwash"/>
    <x v="2"/>
    <s v="HSE "/>
    <x v="0"/>
    <x v="3"/>
    <x v="1"/>
    <s v="It has been observed opening on fabrication frame that will cause falling somebody from high level."/>
    <x v="0"/>
    <m/>
    <m/>
    <m/>
    <m/>
    <m/>
    <s v="Invalid"/>
    <x v="0"/>
    <m/>
  </r>
  <r>
    <n v="884"/>
    <x v="83"/>
    <s v="Mahmoud Elshahat"/>
    <x v="2"/>
    <s v="HSE "/>
    <x v="0"/>
    <x v="2"/>
    <x v="8"/>
    <s v="It has been observed lifting activities using damaged web sling  ."/>
    <x v="0"/>
    <m/>
    <m/>
    <m/>
    <m/>
    <m/>
    <s v="Invalid"/>
    <x v="0"/>
    <m/>
  </r>
  <r>
    <n v="885"/>
    <x v="79"/>
    <s v="Mahmoud Elshahat"/>
    <x v="2"/>
    <s v="HSE "/>
    <x v="2"/>
    <x v="2"/>
    <x v="3"/>
    <s v="During site survey it has observed a good condition for access ways and good general housekeeping inside WS 2"/>
    <x v="5"/>
    <m/>
    <m/>
    <m/>
    <m/>
    <m/>
    <s v="Invalid"/>
    <x v="1"/>
    <m/>
  </r>
  <r>
    <n v="886"/>
    <x v="83"/>
    <s v="Abdelhady Ghalwash"/>
    <x v="2"/>
    <s v="HSE "/>
    <x v="0"/>
    <x v="6"/>
    <x v="20"/>
    <s v="It has been observed painting team is doing the mixing operation of painting  inside the chemical storage area ( closed Area allow the vapours accumulation) "/>
    <x v="3"/>
    <m/>
    <m/>
    <m/>
    <m/>
    <m/>
    <s v="Invalid"/>
    <x v="0"/>
    <m/>
  </r>
  <r>
    <n v="887"/>
    <x v="78"/>
    <s v="Abdelhady Ghalwash"/>
    <x v="2"/>
    <s v="HSE "/>
    <x v="3"/>
    <x v="1"/>
    <x v="3"/>
    <s v="It has been observed good ACT, workers making housekeeping on workplace and segregate it on bins "/>
    <x v="5"/>
    <m/>
    <m/>
    <m/>
    <m/>
    <m/>
    <s v="Invalid"/>
    <x v="1"/>
    <m/>
  </r>
  <r>
    <n v="888"/>
    <x v="80"/>
    <s v="Mahmoud samir"/>
    <x v="2"/>
    <s v="HSE "/>
    <x v="1"/>
    <x v="3"/>
    <x v="16"/>
    <s v="It has been observed someone smoking inside welding habitat during hot work activity "/>
    <x v="1"/>
    <m/>
    <m/>
    <m/>
    <m/>
    <m/>
    <s v="Invalid"/>
    <x v="0"/>
    <m/>
  </r>
  <r>
    <n v="889"/>
    <x v="81"/>
    <s v="Abdelhady Ghalwash"/>
    <x v="2"/>
    <s v="HSE "/>
    <x v="0"/>
    <x v="9"/>
    <x v="8"/>
    <s v="It has been observed moving and loading un-secured load by forklift at workplace "/>
    <x v="0"/>
    <m/>
    <m/>
    <m/>
    <m/>
    <m/>
    <s v="Invalid"/>
    <x v="0"/>
    <m/>
  </r>
  <r>
    <n v="890"/>
    <x v="81"/>
    <s v="Mahmoud Elshahat"/>
    <x v="2"/>
    <s v="HSE "/>
    <x v="0"/>
    <x v="2"/>
    <x v="5"/>
    <s v="It has been observed some welding habitat non fixed and there is another one damaged. "/>
    <x v="0"/>
    <m/>
    <m/>
    <m/>
    <m/>
    <m/>
    <s v="Invalid"/>
    <x v="0"/>
    <m/>
  </r>
  <r>
    <n v="891"/>
    <x v="78"/>
    <s v="Mahmoud Elshahat"/>
    <x v="2"/>
    <s v="HSE "/>
    <x v="3"/>
    <x v="0"/>
    <x v="13"/>
    <s v="it has been observed all fire extinguishers at workshops are inspected also electrical supervisor inspect the E-panels by full PPE "/>
    <x v="5"/>
    <m/>
    <m/>
    <m/>
    <m/>
    <m/>
    <s v="Invalid"/>
    <x v="1"/>
    <m/>
  </r>
  <r>
    <n v="892"/>
    <x v="82"/>
    <s v="Mahmoud Elshahat"/>
    <x v="2"/>
    <s v="HSE "/>
    <x v="0"/>
    <x v="8"/>
    <x v="6"/>
    <s v="It has been observed empty fire extinguisher putted on workshop "/>
    <x v="0"/>
    <m/>
    <m/>
    <m/>
    <m/>
    <m/>
    <s v="Invalid"/>
    <x v="0"/>
    <m/>
  </r>
  <r>
    <n v="893"/>
    <x v="78"/>
    <s v="Abdelhady Ghalwash"/>
    <x v="2"/>
    <s v="HSE "/>
    <x v="0"/>
    <x v="3"/>
    <x v="8"/>
    <s v="It has been observed loading &amp; offloading activities by forklift 16 TON need to re-inspection there is no maintenance certificate and daily inspection checklist. "/>
    <x v="3"/>
    <m/>
    <m/>
    <m/>
    <m/>
    <m/>
    <s v="Invalid"/>
    <x v="0"/>
    <m/>
  </r>
  <r>
    <n v="894"/>
    <x v="84"/>
    <s v="Mahmoud samir"/>
    <x v="2"/>
    <s v="HSE "/>
    <x v="0"/>
    <x v="1"/>
    <x v="5"/>
    <s v="During site survey , it was observed that the handle of a gas torch burner (LPG torch) was damaged. "/>
    <x v="3"/>
    <m/>
    <m/>
    <m/>
    <m/>
    <m/>
    <s v="Invalid"/>
    <x v="0"/>
    <m/>
  </r>
  <r>
    <n v="895"/>
    <x v="84"/>
    <s v="Mahmoud samir"/>
    <x v="2"/>
    <s v="HSE "/>
    <x v="0"/>
    <x v="1"/>
    <x v="7"/>
    <s v="Unsafe material storage was observed inside the workshop, where small metal pieces were stacked on top of each other without proper securing."/>
    <x v="0"/>
    <m/>
    <m/>
    <m/>
    <m/>
    <m/>
    <s v="Invalid"/>
    <x v="0"/>
    <m/>
  </r>
  <r>
    <n v="896"/>
    <x v="84"/>
    <s v="Mahmoud Elshahat"/>
    <x v="2"/>
    <s v="HSE "/>
    <x v="0"/>
    <x v="2"/>
    <x v="5"/>
    <s v="It has been observed during site survey there is damage earthing cable for welding machine. "/>
    <x v="3"/>
    <m/>
    <m/>
    <m/>
    <m/>
    <m/>
    <s v="Invalid"/>
    <x v="0"/>
    <m/>
  </r>
  <r>
    <n v="897"/>
    <x v="84"/>
    <s v="Mahmoud Elshahat"/>
    <x v="2"/>
    <s v="HSE "/>
    <x v="0"/>
    <x v="0"/>
    <x v="8"/>
    <s v="It has been observed that loading and offloading activities are being conducted using a forklift, and the load is unsecured."/>
    <x v="3"/>
    <m/>
    <m/>
    <m/>
    <m/>
    <m/>
    <s v="Invalid"/>
    <x v="0"/>
    <m/>
  </r>
  <r>
    <n v="898"/>
    <x v="105"/>
    <s v="Abdelhady Ghalwash"/>
    <x v="2"/>
    <s v="HSE "/>
    <x v="1"/>
    <x v="1"/>
    <x v="8"/>
    <s v="It was observed that maintenance activity was being carried out on the 50-ton crane by the operator without a work permit and without prior notification to the maintenance department."/>
    <x v="3"/>
    <m/>
    <m/>
    <m/>
    <m/>
    <m/>
    <s v="Invalid"/>
    <x v="0"/>
    <m/>
  </r>
  <r>
    <n v="899"/>
    <x v="84"/>
    <s v="Mahmoud samir"/>
    <x v="2"/>
    <s v="HSE "/>
    <x v="1"/>
    <x v="7"/>
    <x v="6"/>
    <s v="During a routine site inspection, it was observed that some workers were smoking within the workplace"/>
    <x v="1"/>
    <m/>
    <m/>
    <m/>
    <m/>
    <m/>
    <s v="Invalid"/>
    <x v="0"/>
    <m/>
  </r>
  <r>
    <n v="900"/>
    <x v="82"/>
    <s v="Mahmoud Elshahat"/>
    <x v="2"/>
    <s v="HSE "/>
    <x v="0"/>
    <x v="2"/>
    <x v="10"/>
    <s v="During a routine site inspection, it was observed that some workers were smoking within the workplace"/>
    <x v="2"/>
    <m/>
    <m/>
    <m/>
    <m/>
    <m/>
    <s v="Invalid"/>
    <x v="0"/>
    <m/>
  </r>
  <r>
    <n v="901"/>
    <x v="105"/>
    <s v="Mahmoud Elshahat"/>
    <x v="2"/>
    <s v="HSE "/>
    <x v="0"/>
    <x v="2"/>
    <x v="5"/>
    <s v="During hot work activities, it was observed that a grinder was in use with a damaged power cable, posing a potential electrical and fire hazard."/>
    <x v="3"/>
    <m/>
    <m/>
    <m/>
    <m/>
    <m/>
    <s v="Invalid"/>
    <x v="0"/>
    <m/>
  </r>
  <r>
    <n v="902"/>
    <x v="83"/>
    <s v="Abdelhady Ghalwash"/>
    <x v="2"/>
    <s v="HSE "/>
    <x v="3"/>
    <x v="6"/>
    <x v="9"/>
    <s v="It has been observed sandblasting supervisor good supervision and follow up."/>
    <x v="5"/>
    <m/>
    <m/>
    <m/>
    <m/>
    <m/>
    <s v="Invalid"/>
    <x v="1"/>
    <m/>
  </r>
  <r>
    <n v="903"/>
    <x v="83"/>
    <s v="Mahmoud Elshahat"/>
    <x v="2"/>
    <s v="HSE "/>
    <x v="0"/>
    <x v="0"/>
    <x v="3"/>
    <s v="It was observed that cables were inadequately managed on walkways, posing potential tripping hazards to workers."/>
    <x v="0"/>
    <m/>
    <m/>
    <m/>
    <m/>
    <m/>
    <s v="Invalid"/>
    <x v="0"/>
    <m/>
  </r>
  <r>
    <n v="904"/>
    <x v="85"/>
    <s v="Mahmoud Elshahat"/>
    <x v="2"/>
    <s v="HSE "/>
    <x v="0"/>
    <x v="0"/>
    <x v="5"/>
    <s v="A gas leak from the cylinder hoses was observed during the gas cylinder testing."/>
    <x v="3"/>
    <m/>
    <m/>
    <m/>
    <m/>
    <m/>
    <s v="Invalid"/>
    <x v="0"/>
    <m/>
  </r>
  <r>
    <n v="905"/>
    <x v="85"/>
    <s v="Mahmoud Elshahat"/>
    <x v="2"/>
    <s v="HSE "/>
    <x v="2"/>
    <x v="0"/>
    <x v="3"/>
    <s v="Good housekeeping was observed, and materials were stored in an organized and safe manner."/>
    <x v="5"/>
    <m/>
    <m/>
    <m/>
    <m/>
    <m/>
    <s v="Invalid"/>
    <x v="1"/>
    <m/>
  </r>
  <r>
    <n v="906"/>
    <x v="85"/>
    <s v="Abdelhady Ghalwash"/>
    <x v="2"/>
    <s v="HSE "/>
    <x v="3"/>
    <x v="3"/>
    <x v="5"/>
    <s v="it has been observed,  grinder was observed performing well and keeping his work area clean and orderly."/>
    <x v="5"/>
    <m/>
    <m/>
    <m/>
    <m/>
    <m/>
    <s v="Invalid"/>
    <x v="1"/>
    <m/>
  </r>
  <r>
    <n v="907"/>
    <x v="83"/>
    <s v="Mahmoud Elshahat"/>
    <x v="2"/>
    <s v="HSE "/>
    <x v="0"/>
    <x v="0"/>
    <x v="5"/>
    <s v="It was observed during the site survey that flashback arrestors were not installed on the hoses of the gas cylinders."/>
    <x v="3"/>
    <m/>
    <m/>
    <m/>
    <m/>
    <m/>
    <s v="Invalid"/>
    <x v="0"/>
    <m/>
  </r>
  <r>
    <n v="908"/>
    <x v="83"/>
    <s v="Mahmoud samir"/>
    <x v="2"/>
    <s v="HSE "/>
    <x v="0"/>
    <x v="1"/>
    <x v="2"/>
    <s v="It was observed during the site survey that some workers were wearing damaged PPE."/>
    <x v="3"/>
    <m/>
    <m/>
    <m/>
    <m/>
    <m/>
    <s v="Invalid"/>
    <x v="0"/>
    <m/>
  </r>
  <r>
    <n v="909"/>
    <x v="85"/>
    <s v="Abdelhady Ghalwash"/>
    <x v="2"/>
    <s v="HSE "/>
    <x v="0"/>
    <x v="3"/>
    <x v="5"/>
    <s v="It was observed that cable management was in poor condition, and the welding habitat was not properly installed."/>
    <x v="0"/>
    <m/>
    <m/>
    <m/>
    <m/>
    <m/>
    <s v="Invalid"/>
    <x v="0"/>
    <m/>
  </r>
  <r>
    <n v="910"/>
    <x v="87"/>
    <s v="Mahmoud samir"/>
    <x v="2"/>
    <s v="HSE "/>
    <x v="0"/>
    <x v="1"/>
    <x v="18"/>
    <s v="During site survey , it was observed that some of the hand tools being used were handmade and lacked proper certification, posing potential safety risks"/>
    <x v="0"/>
    <m/>
    <m/>
    <m/>
    <m/>
    <m/>
    <s v="Invalid"/>
    <x v="0"/>
    <m/>
  </r>
  <r>
    <n v="911"/>
    <x v="86"/>
    <s v="Abdelhady Ghalwash"/>
    <x v="2"/>
    <s v="HSE "/>
    <x v="0"/>
    <x v="3"/>
    <x v="10"/>
    <s v="It was observed that a lifting activity was being carried out without creating a Permit to Work (PTW)."/>
    <x v="3"/>
    <m/>
    <m/>
    <m/>
    <m/>
    <m/>
    <s v="Invalid"/>
    <x v="0"/>
    <m/>
  </r>
  <r>
    <n v="912"/>
    <x v="86"/>
    <s v="Mahmoud Elshahat"/>
    <x v="2"/>
    <s v="HSE "/>
    <x v="3"/>
    <x v="2"/>
    <x v="8"/>
    <s v="A lifting operation was observed, and the workers were wearing their (PPE) and had secured the lifting process properly."/>
    <x v="5"/>
    <m/>
    <m/>
    <m/>
    <m/>
    <m/>
    <s v="Invalid"/>
    <x v="1"/>
    <m/>
  </r>
  <r>
    <n v="913"/>
    <x v="86"/>
    <s v="Mahmoud Elshahat"/>
    <x v="2"/>
    <s v="HSE "/>
    <x v="0"/>
    <x v="2"/>
    <x v="18"/>
    <s v="During the inspection, multiple damaged hand tools were found in the workshop, posing potential safety hazards if used."/>
    <x v="0"/>
    <m/>
    <m/>
    <m/>
    <m/>
    <m/>
    <s v="Invalid"/>
    <x v="0"/>
    <m/>
  </r>
  <r>
    <n v="914"/>
    <x v="86"/>
    <s v="Abdelhady Ghalwash"/>
    <x v="2"/>
    <s v="HSE "/>
    <x v="0"/>
    <x v="6"/>
    <x v="3"/>
    <s v="It was observed that more materials were scattered throughout the sandblasting area, creating a potential tripping hazard."/>
    <x v="2"/>
    <m/>
    <m/>
    <m/>
    <m/>
    <m/>
    <s v="Invalid"/>
    <x v="0"/>
    <m/>
  </r>
  <r>
    <n v="915"/>
    <x v="86"/>
    <s v="Mahmoud samir"/>
    <x v="2"/>
    <s v="HSE "/>
    <x v="3"/>
    <x v="1"/>
    <x v="5"/>
    <s v="During  site survey, the welding supervisor was observed monitoring his team's condition and performance closely, reflecting strong and proactive supervision."/>
    <x v="5"/>
    <m/>
    <m/>
    <m/>
    <m/>
    <m/>
    <s v="Invalid"/>
    <x v="1"/>
    <m/>
  </r>
  <r>
    <n v="916"/>
    <x v="87"/>
    <s v="Mahmoud samir"/>
    <x v="2"/>
    <s v="HSE "/>
    <x v="1"/>
    <x v="7"/>
    <x v="5"/>
    <s v="During site survey, a worker was observed grinding metal without wearing proper eye protection (face shilde)"/>
    <x v="3"/>
    <m/>
    <m/>
    <m/>
    <m/>
    <m/>
    <s v="Invalid"/>
    <x v="0"/>
    <m/>
  </r>
  <r>
    <n v="917"/>
    <x v="86"/>
    <s v="Mahmoud Elshahat"/>
    <x v="2"/>
    <s v="HSE "/>
    <x v="1"/>
    <x v="0"/>
    <x v="5"/>
    <s v="It was observed that during hot work, a grinder was being used with its control handle removed."/>
    <x v="1"/>
    <m/>
    <m/>
    <m/>
    <m/>
    <m/>
    <s v="Invalid"/>
    <x v="0"/>
    <m/>
  </r>
  <r>
    <n v="918"/>
    <x v="87"/>
    <s v="Mahmoud samir"/>
    <x v="2"/>
    <s v="HSE "/>
    <x v="0"/>
    <x v="7"/>
    <x v="8"/>
    <s v="Non-routine lifting activities were observed, and the Permit to Work (documentation was incomplete—specifically, the (TRA) was missing, and the rigging technique did not align with the approved lifting plan."/>
    <x v="0"/>
    <m/>
    <m/>
    <m/>
    <m/>
    <m/>
    <s v="Invalid"/>
    <x v="0"/>
    <m/>
  </r>
  <r>
    <n v="919"/>
    <x v="87"/>
    <s v="Abdelhady Ghalwash"/>
    <x v="2"/>
    <s v="HSE "/>
    <x v="0"/>
    <x v="3"/>
    <x v="6"/>
    <s v="During the site survey, it was observed that a forklift was in operation with a discharged (empty) fire extinguisher, which is a violation of safety requirements."/>
    <x v="3"/>
    <m/>
    <m/>
    <m/>
    <m/>
    <m/>
    <s v="Invalid"/>
    <x v="0"/>
    <m/>
  </r>
  <r>
    <n v="920"/>
    <x v="100"/>
    <s v="Abdelhady Ghalwash"/>
    <x v="2"/>
    <s v="HSE "/>
    <x v="2"/>
    <x v="6"/>
    <x v="0"/>
    <s v="Install S hook for proper cable management"/>
    <x v="5"/>
    <m/>
    <m/>
    <m/>
    <m/>
    <m/>
    <s v="Invalid"/>
    <x v="1"/>
    <m/>
  </r>
  <r>
    <n v="921"/>
    <x v="100"/>
    <s v="Mahmoud Elshahat"/>
    <x v="2"/>
    <s v="HSE "/>
    <x v="3"/>
    <x v="0"/>
    <x v="2"/>
    <s v="The team is complying with required PPE"/>
    <x v="5"/>
    <m/>
    <m/>
    <m/>
    <m/>
    <m/>
    <s v="Invalid"/>
    <x v="1"/>
    <m/>
  </r>
  <r>
    <n v="922"/>
    <x v="100"/>
    <s v="Mahmoud Samir"/>
    <x v="2"/>
    <s v="HSE "/>
    <x v="3"/>
    <x v="9"/>
    <x v="9"/>
    <s v="The team maintain proper houskeeping  between the day and the nightshift"/>
    <x v="5"/>
    <m/>
    <m/>
    <m/>
    <m/>
    <m/>
    <s v="Invalid"/>
    <x v="1"/>
    <m/>
  </r>
  <r>
    <n v="923"/>
    <x v="102"/>
    <s v="Mahmoud Elshahat"/>
    <x v="2"/>
    <s v="HSE "/>
    <x v="0"/>
    <x v="5"/>
    <x v="4"/>
    <s v="it has been observed a jack support with only 3 legs ( rejected at the site)"/>
    <x v="0"/>
    <s v="Get I out the service and conduct a surevy among the rest supports"/>
    <m/>
    <m/>
    <m/>
    <m/>
    <s v="Invalid"/>
    <x v="0"/>
    <m/>
  </r>
  <r>
    <n v="924"/>
    <x v="96"/>
    <s v="Mahmoud Samir"/>
    <x v="2"/>
    <s v="HSE "/>
    <x v="0"/>
    <x v="0"/>
    <x v="3"/>
    <s v="it has been observed poor cable management and workshop 1"/>
    <x v="0"/>
    <s v="Maitain cable management at the area"/>
    <m/>
    <m/>
    <m/>
    <m/>
    <s v="Invalid"/>
    <x v="0"/>
    <m/>
  </r>
  <r>
    <n v="925"/>
    <x v="93"/>
    <s v="Abdelhady Ghalwash"/>
    <x v="2"/>
    <s v="HSE "/>
    <x v="0"/>
    <x v="5"/>
    <x v="0"/>
    <s v="it has been observed a compressed gas cylinder stored in a rack with out being secured"/>
    <x v="0"/>
    <s v="secure the cylinder"/>
    <m/>
    <m/>
    <m/>
    <m/>
    <s v="Invalid"/>
    <x v="0"/>
    <m/>
  </r>
  <r>
    <n v="926"/>
    <x v="99"/>
    <s v="Mahmoud Samir"/>
    <x v="2"/>
    <s v="HSE "/>
    <x v="0"/>
    <x v="5"/>
    <x v="8"/>
    <s v="the wind speed increased at the site that may affect the lifitng operation"/>
    <x v="3"/>
    <s v="suspend lifting operation at the site"/>
    <m/>
    <m/>
    <m/>
    <m/>
    <s v="Invalid"/>
    <x v="0"/>
    <m/>
  </r>
  <r>
    <n v="927"/>
    <x v="101"/>
    <s v="Mahmoud Samir"/>
    <x v="2"/>
    <s v="HSE "/>
    <x v="0"/>
    <x v="5"/>
    <x v="8"/>
    <s v="it has been observed crane operator placed the counter weight the access walkway"/>
    <x v="0"/>
    <m/>
    <m/>
    <m/>
    <m/>
    <m/>
    <s v="Invalid"/>
    <x v="0"/>
    <m/>
  </r>
  <r>
    <n v="928"/>
    <x v="80"/>
    <s v="Mahmoud Elshahat"/>
    <x v="2"/>
    <s v="HSE "/>
    <x v="0"/>
    <x v="5"/>
    <x v="18"/>
    <s v="it has been observed a grinder with out secondry hand"/>
    <x v="0"/>
    <m/>
    <m/>
    <m/>
    <m/>
    <m/>
    <s v="Invalid"/>
    <x v="0"/>
    <m/>
  </r>
  <r>
    <n v="929"/>
    <x v="93"/>
    <s v="Abdelhady Ghalwash"/>
    <x v="2"/>
    <s v="HSE "/>
    <x v="0"/>
    <x v="5"/>
    <x v="10"/>
    <s v="it has been observed a handmade hammer"/>
    <x v="0"/>
    <s v="Get it out of service"/>
    <m/>
    <m/>
    <m/>
    <m/>
    <s v="Invalid"/>
    <x v="0"/>
    <m/>
  </r>
  <r>
    <n v="930"/>
    <x v="102"/>
    <s v="Mahmoud Elshahat"/>
    <x v="2"/>
    <s v="HSE "/>
    <x v="0"/>
    <x v="0"/>
    <x v="0"/>
    <s v="It has been observed  a leaking cylinder at workshop 1"/>
    <x v="3"/>
    <s v="Get the cylinder out the area , to the quarantine area"/>
    <m/>
    <m/>
    <m/>
    <m/>
    <s v="Invalid"/>
    <x v="0"/>
    <m/>
  </r>
  <r>
    <n v="931"/>
    <x v="96"/>
    <s v="Mahmoud Samir"/>
    <x v="2"/>
    <s v="HSE "/>
    <x v="0"/>
    <x v="5"/>
    <x v="5"/>
    <s v="it has been observed bags hanged around the w/s which may be a potential fire"/>
    <x v="0"/>
    <s v="Rempove the bags from the area"/>
    <m/>
    <m/>
    <m/>
    <m/>
    <s v="Invalid"/>
    <x v="0"/>
    <m/>
  </r>
  <r>
    <n v="932"/>
    <x v="102"/>
    <s v="Hany Elashkar"/>
    <x v="2"/>
    <s v="HSE "/>
    <x v="1"/>
    <x v="0"/>
    <x v="1"/>
    <s v="It has been observed a worker working at the plet with out handrail"/>
    <x v="1"/>
    <m/>
    <m/>
    <m/>
    <m/>
    <m/>
    <s v="Invalid"/>
    <x v="0"/>
    <m/>
  </r>
  <r>
    <n v="933"/>
    <x v="102"/>
    <s v="Mahmoud Elshahat"/>
    <x v="2"/>
    <s v="HSE "/>
    <x v="1"/>
    <x v="0"/>
    <x v="2"/>
    <s v="it has been observed the team at the W/S didn’t put in a ear plugs"/>
    <x v="1"/>
    <m/>
    <m/>
    <m/>
    <m/>
    <m/>
    <s v="Invalid"/>
    <x v="0"/>
    <m/>
  </r>
  <r>
    <n v="934"/>
    <x v="102"/>
    <s v="Mahmoud samir"/>
    <x v="2"/>
    <s v="HSE "/>
    <x v="1"/>
    <x v="3"/>
    <x v="18"/>
    <s v="It has been observed a scaffolder using unstardized hand tool"/>
    <x v="1"/>
    <m/>
    <m/>
    <m/>
    <m/>
    <m/>
    <s v="Invalid"/>
    <x v="0"/>
    <m/>
  </r>
  <r>
    <n v="935"/>
    <x v="102"/>
    <s v="Abdelhady Ghalwash"/>
    <x v="2"/>
    <s v="HSE "/>
    <x v="1"/>
    <x v="1"/>
    <x v="18"/>
    <s v="It has been observed  a grinder remvoed the secondary handle of the angle grinder "/>
    <x v="1"/>
    <m/>
    <m/>
    <m/>
    <m/>
    <m/>
    <s v="Invalid"/>
    <x v="0"/>
    <m/>
  </r>
  <r>
    <n v="936"/>
    <x v="83"/>
    <s v="Malcolm Garrington"/>
    <x v="1"/>
    <s v="Project Manager"/>
    <x v="0"/>
    <x v="5"/>
    <x v="7"/>
    <s v="CPY noted that a lot of areas within the fabrication outdoor areas have unsafe_x000a_and in poor condition(s) habitats"/>
    <x v="0"/>
    <m/>
    <m/>
    <m/>
    <m/>
    <m/>
    <s v="Invalid"/>
    <x v="0"/>
    <m/>
  </r>
  <r>
    <n v="937"/>
    <x v="83"/>
    <s v="Malcolm Garrington"/>
    <x v="1"/>
    <s v="Project Manager"/>
    <x v="3"/>
    <x v="6"/>
    <x v="2"/>
    <s v="CPY noted that several painters were conducting their activities in a safe manor. CPY noted that all workers had donned the correct level of PPE such as paper coveralls, breathing masks, glasses, gloves etc."/>
    <x v="5"/>
    <m/>
    <m/>
    <m/>
    <m/>
    <m/>
    <s v="Invalid"/>
    <x v="1"/>
    <m/>
  </r>
  <r>
    <n v="938"/>
    <x v="83"/>
    <s v="Chris Eaton"/>
    <x v="1"/>
    <s v="QC"/>
    <x v="3"/>
    <x v="0"/>
    <x v="2"/>
    <s v="During visit to workshop 1 welders were found to be wearing all mandatory and task based PPE."/>
    <x v="5"/>
    <m/>
    <m/>
    <m/>
    <m/>
    <m/>
    <s v="Invalid"/>
    <x v="1"/>
    <m/>
  </r>
  <r>
    <n v="939"/>
    <x v="83"/>
    <s v="Chris Eaton"/>
    <x v="1"/>
    <s v="QC"/>
    <x v="3"/>
    <x v="2"/>
    <x v="2"/>
    <s v="During visit to outside work area 4 all personnel were found to be wearing_x000a_hearing protection &amp; safety glasses"/>
    <x v="5"/>
    <m/>
    <m/>
    <m/>
    <m/>
    <m/>
    <s v="Invalid"/>
    <x v="1"/>
    <m/>
  </r>
  <r>
    <n v="940"/>
    <x v="82"/>
    <s v="Ehab Ibrahim Hassan"/>
    <x v="1"/>
    <s v="Coating Inspector"/>
    <x v="0"/>
    <x v="6"/>
    <x v="2"/>
    <s v="I noticed Torn pairs of safety shoes worn by 4 technicians from PETROJET."/>
    <x v="0"/>
    <m/>
    <m/>
    <m/>
    <m/>
    <m/>
    <s v="Invalid"/>
    <x v="0"/>
    <m/>
  </r>
  <r>
    <n v="941"/>
    <x v="81"/>
    <s v="Ehab Ibrahim Hassan"/>
    <x v="1"/>
    <s v="Coating Inspector"/>
    <x v="0"/>
    <x v="6"/>
    <x v="2"/>
    <s v="1. Outdated helmets were seen when I inspected the PPE of some workers."/>
    <x v="0"/>
    <m/>
    <m/>
    <m/>
    <m/>
    <m/>
    <s v="Invalid"/>
    <x v="0"/>
    <m/>
  </r>
  <r>
    <n v="942"/>
    <x v="80"/>
    <s v="Gamal Abdelgawad"/>
    <x v="1"/>
    <s v="Fabrication"/>
    <x v="0"/>
    <x v="0"/>
    <x v="3"/>
    <s v="CPY observed that, leftover of Wooden ballet with stand nails at the end of Workshop #1."/>
    <x v="2"/>
    <m/>
    <m/>
    <m/>
    <m/>
    <m/>
    <s v="Invalid"/>
    <x v="0"/>
    <m/>
  </r>
  <r>
    <n v="943"/>
    <x v="80"/>
    <s v="Gamal Abdelgawad"/>
    <x v="1"/>
    <s v="Fabrication"/>
    <x v="0"/>
    <x v="3"/>
    <x v="9"/>
    <s v="CPY observed that, PTJ supervisions not intervening when seeing workers doing unsafe act;"/>
    <x v="2"/>
    <m/>
    <m/>
    <m/>
    <m/>
    <m/>
    <s v="Invalid"/>
    <x v="0"/>
    <m/>
  </r>
  <r>
    <n v="944"/>
    <x v="81"/>
    <s v="Gamal Abdelgawad"/>
    <x v="1"/>
    <s v="Fabrication"/>
    <x v="0"/>
    <x v="5"/>
    <x v="6"/>
    <s v="CPY observed that, there is a modification has been made for some fabrication support which is lifting the structure up from the support and not fully rested on it. CPY observed that portable stand has been used for leveling, is locating under the weight block, used during the fabrication / welding activities."/>
    <x v="2"/>
    <m/>
    <m/>
    <m/>
    <m/>
    <m/>
    <s v="Invalid"/>
    <x v="0"/>
    <m/>
  </r>
  <r>
    <n v="945"/>
    <x v="80"/>
    <s v="Gamal Abdelgawad"/>
    <x v="1"/>
    <s v="Fabrication"/>
    <x v="0"/>
    <x v="4"/>
    <x v="3"/>
    <s v="CPY observed several pieces of unit weights being manufactured on site. Pieces_x000a_of scrap metal is being placed within the drums. Thereafter welded shut and_x000a_without determining the weight or showing any base design report."/>
    <x v="2"/>
    <m/>
    <m/>
    <m/>
    <m/>
    <m/>
    <s v="Invalid"/>
    <x v="0"/>
    <m/>
  </r>
  <r>
    <n v="946"/>
    <x v="80"/>
    <s v="Gamal Abdelgawad"/>
    <x v="1"/>
    <s v="Fabrication"/>
    <x v="0"/>
    <x v="0"/>
    <x v="10"/>
    <s v="CPY observed that, PTJ workers copious amounts resting/relaxing and not focused on fabrication activities during normal working hours."/>
    <x v="0"/>
    <m/>
    <m/>
    <m/>
    <m/>
    <m/>
    <s v="Invalid"/>
    <x v="0"/>
    <m/>
  </r>
  <r>
    <n v="947"/>
    <x v="80"/>
    <s v="Johan Kruger"/>
    <x v="1"/>
    <s v="HSE "/>
    <x v="3"/>
    <x v="7"/>
    <x v="2"/>
    <s v="Observed scaffold team in open area 2, wearing PPE and being tied off whilst erecting scaffolding for shaded area"/>
    <x v="5"/>
    <m/>
    <m/>
    <m/>
    <m/>
    <m/>
    <s v="Invalid"/>
    <x v="1"/>
    <m/>
  </r>
  <r>
    <n v="948"/>
    <x v="80"/>
    <s v="Johan Kruger"/>
    <x v="1"/>
    <s v="HSE "/>
    <x v="3"/>
    <x v="0"/>
    <x v="5"/>
    <s v="Observed grinder operator containing sparks from his task, by properly placing a barrier shield to prevent a shower of sparks around his work area."/>
    <x v="5"/>
    <m/>
    <m/>
    <m/>
    <m/>
    <m/>
    <s v="Invalid"/>
    <x v="1"/>
    <m/>
  </r>
  <r>
    <n v="949"/>
    <x v="98"/>
    <s v="Johan Kruger"/>
    <x v="1"/>
    <s v="HSE "/>
    <x v="0"/>
    <x v="0"/>
    <x v="0"/>
    <s v="CPY observed a gas cylinder with a faulty pressure gauge, as well as the pressure adjustment knob was faulty."/>
    <x v="3"/>
    <s v="Stopped the activity and instructed the safety officer to remove the faulty equipment from site."/>
    <m/>
    <m/>
    <m/>
    <m/>
    <s v="Invalid"/>
    <x v="0"/>
    <m/>
  </r>
  <r>
    <n v="950"/>
    <x v="98"/>
    <s v="Johan Kruger"/>
    <x v="1"/>
    <s v="HSE "/>
    <x v="1"/>
    <x v="0"/>
    <x v="2"/>
    <s v="CPY observed two workers sorting and placing small pieces of metal onto a pallet without wearing any hand gloves."/>
    <x v="3"/>
    <s v="Stopped the activity and instructed the two workers to wear hand gloves when performing their task."/>
    <m/>
    <m/>
    <m/>
    <m/>
    <s v="Invalid"/>
    <x v="0"/>
    <m/>
  </r>
  <r>
    <n v="951"/>
    <x v="98"/>
    <s v="Malcolm Garrington"/>
    <x v="1"/>
    <s v="Project Manager"/>
    <x v="0"/>
    <x v="2"/>
    <x v="3"/>
    <s v="CPY noted that outside fabrication shops 1 and 2 is in poor condition and requires cleaning up with removal of material / rubbish."/>
    <x v="2"/>
    <s v="PTJ to organize and supervisor the yard  housekeeping conditions and not let the conditions become in a poor state."/>
    <m/>
    <m/>
    <m/>
    <m/>
    <s v="Invalid"/>
    <x v="0"/>
    <m/>
  </r>
  <r>
    <n v="952"/>
    <x v="98"/>
    <s v="Malcolm Garrington"/>
    <x v="1"/>
    <s v="Project Manager"/>
    <x v="1"/>
    <x v="5"/>
    <x v="16"/>
    <s v="CPY noted that copious amounts of PTJ workers are sitting and using mobile phones in very exposed (risk) areas._x000a_CPY observations are that workers are not focused and sitting underneath or beside structures where hotworks/lifting activities are ongoing therefore putting their position in a dangerous place."/>
    <x v="2"/>
    <s v="CPY requests PTJ Management/supervision to take control and hold smaller TBT(s) on relevant topic to stop this occurrence. CPY has advised PTJ on so many previous times."/>
    <m/>
    <m/>
    <m/>
    <m/>
    <s v="Invalid"/>
    <x v="0"/>
    <m/>
  </r>
  <r>
    <n v="953"/>
    <x v="98"/>
    <s v="Malcolm Garrington"/>
    <x v="1"/>
    <s v="Project Manager"/>
    <x v="1"/>
    <x v="5"/>
    <x v="2"/>
    <s v="CPY noted that copious amounts of PTJ workers are notwearing their safety glasses as part of the minimum PPE requirement within any fabrication area._x000a_CPY also noted that a higher number of PTJ workers arewearing dark safety  lasses within the fabrication shops."/>
    <x v="1"/>
    <s v="CPY requested all workers to wear the safety glasses or change to clear glasses and remove dark glasses"/>
    <m/>
    <m/>
    <m/>
    <m/>
    <s v="Invalid"/>
    <x v="0"/>
    <m/>
  </r>
  <r>
    <n v="954"/>
    <x v="98"/>
    <s v="Malcolm Garrington"/>
    <x v="1"/>
    <s v="Project Manager"/>
    <x v="0"/>
    <x v="5"/>
    <x v="3"/>
    <s v="CPY noted that a lot of areas within the fabrication shops are in poor housekeeping condition.CPY was advised that the last day of working 26th or 27th of March PTJ would _x000a_conduct a thorough housekeeping of all areas. This was not completed (obviously) due to the poor conditions within all fabrication shops as off early this morning."/>
    <x v="0"/>
    <s v="CPY discussed with PTJ HSE Manager and Supervisor to implement correct housekeeping actions. CPY advised that no housekeeping personnel are present."/>
    <m/>
    <m/>
    <m/>
    <m/>
    <s v="Invalid"/>
    <x v="0"/>
    <m/>
  </r>
  <r>
    <n v="955"/>
    <x v="78"/>
    <s v="Reda Zaghloul"/>
    <x v="1"/>
    <s v="QC"/>
    <x v="1"/>
    <x v="3"/>
    <x v="5"/>
    <s v="Grinder was noticed smoking at non-dedicated smoke area"/>
    <x v="1"/>
    <s v="I spoke to him and his supervisor about this unsafe act."/>
    <m/>
    <m/>
    <m/>
    <m/>
    <m/>
    <x v="0"/>
    <m/>
  </r>
  <r>
    <n v="956"/>
    <x v="78"/>
    <s v="Reda Zaghloul "/>
    <x v="1"/>
    <s v="QC"/>
    <x v="0"/>
    <x v="3"/>
    <x v="3"/>
    <s v="Poor cables management was observed in outside fabrication area-3"/>
    <x v="2"/>
    <m/>
    <m/>
    <m/>
    <m/>
    <m/>
    <m/>
    <x v="0"/>
    <m/>
  </r>
  <r>
    <n v="957"/>
    <x v="78"/>
    <s v="Gamal Abdelgawad "/>
    <x v="1"/>
    <s v="Fabrication"/>
    <x v="0"/>
    <x v="3"/>
    <x v="4"/>
    <s v="CPY observed that, there is a risk of fallen objects where thefree end underneath of the steel plate ring being grinded, not fully clamped onto the _x000a_table used to support the steel plate ring._x000a_CPY observed that items which are subject to drill it hasprotentional risk of fallen object"/>
    <x v="0"/>
    <s v="CPY approached TFMC / PTJ HSE, to take an immediate action to ensure that allsafety requirements are in place to prevent such a risk"/>
    <m/>
    <m/>
    <m/>
    <m/>
    <s v="Invalid"/>
    <x v="0"/>
    <m/>
  </r>
  <r>
    <n v="958"/>
    <x v="78"/>
    <s v="Gamal Abdelgawad "/>
    <x v="1"/>
    <s v="Fabrication"/>
    <x v="0"/>
    <x v="3"/>
    <x v="5"/>
    <s v="CPY observed that, there is lack of Portable welding / grinding screens in comparison to grinding activities"/>
    <x v="0"/>
    <s v="ImmediateCPY approached TFMC / PTJ HSE, to Relocate the Portable welding / grinding screens in conjunction to the Grinding activities been in progress."/>
    <m/>
    <m/>
    <m/>
    <m/>
    <s v="Invalid"/>
    <x v="0"/>
    <m/>
  </r>
  <r>
    <n v="959"/>
    <x v="78"/>
    <s v="Gamal Abdelgawad "/>
    <x v="1"/>
    <s v="Fabrication"/>
    <x v="0"/>
    <x v="5"/>
    <x v="4"/>
    <s v="CPY observed that, there is a modification has been made for some fabrication support which is lifting the structure up from the support and not fully rested _x000a_on it.CPY observed that portable stand has been used for leveling, is locating under the weight block, used during the fabrication / welding activities."/>
    <x v="2"/>
    <s v="CPY approached TFMC / PTJ HSE, to take an immediate action to ensure that all structures are fully rested on the fabrication support (full contact points). In _x000a_addition to that, PTJ to remove the weight block wherever located on top of the portable fabrication stands."/>
    <m/>
    <m/>
    <m/>
    <m/>
    <s v="Invalid"/>
    <x v="0"/>
    <m/>
  </r>
  <r>
    <n v="960"/>
    <x v="92"/>
    <s v="Gamal Abdelgawad"/>
    <x v="1"/>
    <s v="Fabrication"/>
    <x v="0"/>
    <x v="0"/>
    <x v="4"/>
    <s v="CPY continuously observed several pieces of unit weights being manufactured on site. Pieces of scrap metal are placed within the drums. Thereafter partially welded shut and without determining the weight or showing any base design report."/>
    <x v="0"/>
    <s v="CPY approached TFMC / PTJ HSE, to take an immediate action to ensure that all safety requirements are in place to prevent such a risk."/>
    <m/>
    <m/>
    <m/>
    <m/>
    <s v="Invalid"/>
    <x v="0"/>
    <m/>
  </r>
  <r>
    <n v="961"/>
    <x v="97"/>
    <s v="Gamal Abdelgawad"/>
    <x v="1"/>
    <s v="Fabrication"/>
    <x v="0"/>
    <x v="9"/>
    <x v="3"/>
    <s v="CPY observed a proper Housekeeping during preparation of fabrication activities included prefabrication and welding, have been carried out properly, within outside fabrication area#4."/>
    <x v="2"/>
    <s v="CPY approach TFMC / PTJ HSE representative, to encourage the whole team have been involved in the lifting operation, for their commitment to HSE rules and requirements."/>
    <m/>
    <m/>
    <m/>
    <m/>
    <s v="Invalid"/>
    <x v="0"/>
    <m/>
  </r>
  <r>
    <n v="962"/>
    <x v="97"/>
    <s v="Gamal Abdelgawad"/>
    <x v="1"/>
    <s v="Fabrication"/>
    <x v="0"/>
    <x v="5"/>
    <x v="4"/>
    <s v="CPY observed that, there is a modification has been made for some fabrication support which is lifting the structure up from the support and not fully rested on it. CPY observed that portable stand has been used for leveling, is locating under the weight block, used during the fabrication / welding activities."/>
    <x v="0"/>
    <s v="CPY approached TFMC / PTJ HSE, to take an immediate action to ensure that all structures are fully rested on the fabrication support (full contact points). In addition to that, PTJ to remove the weight block wherever located on top of the portable fabrication stands"/>
    <m/>
    <m/>
    <m/>
    <m/>
    <s v="Invalid"/>
    <x v="0"/>
    <m/>
  </r>
  <r>
    <n v="963"/>
    <x v="97"/>
    <s v="Gamal Abdelgawad"/>
    <x v="1"/>
    <s v="Fabrication"/>
    <x v="0"/>
    <x v="5"/>
    <x v="3"/>
    <s v="CPY observed that several cables were found on the ground without any arrangement / cable management through cable management platform."/>
    <x v="0"/>
    <s v="Informed PTJ / TFMC HSE, to postpone the activities, to do all necessary for proper housekeeping all over the cable arrangement / cable management through cable management platform."/>
    <m/>
    <m/>
    <m/>
    <m/>
    <s v="Invalid"/>
    <x v="0"/>
    <m/>
  </r>
  <r>
    <n v="964"/>
    <x v="97"/>
    <s v="Malcolm Garrington"/>
    <x v="1"/>
    <s v="Project Manager"/>
    <x v="0"/>
    <x v="15"/>
    <x v="3"/>
    <s v="Poor Housekeeping from tarpaulins and other items at location"/>
    <x v="0"/>
    <s v="Dedicated personnel / supervisor in charge to make regular overview and proactive rectifications progressively"/>
    <m/>
    <m/>
    <m/>
    <m/>
    <s v="Invalid"/>
    <x v="0"/>
    <m/>
  </r>
  <r>
    <n v="965"/>
    <x v="97"/>
    <s v="Malcolm Garrington"/>
    <x v="1"/>
    <s v="Project Manager"/>
    <x v="0"/>
    <x v="2"/>
    <x v="6"/>
    <s v="CPY wishes to acknowledge the layout of the workshop 2 structures._x000a_Positive / safe layout to ensure personnel are not restricted or put at risk during SIMPOS."/>
    <x v="2"/>
    <s v="PTJ to keep up the safe working arrangements."/>
    <m/>
    <m/>
    <m/>
    <m/>
    <s v="Invalid"/>
    <x v="0"/>
    <m/>
  </r>
  <r>
    <n v="966"/>
    <x v="97"/>
    <s v="Ehab Ibrahim Hassan"/>
    <x v="1"/>
    <s v="Coating Inspector"/>
    <x v="1"/>
    <x v="6"/>
    <x v="2"/>
    <s v="One of TECHNIP engineers came to PETROJET site office in sneakers forgetting to wear his safety shoes."/>
    <x v="1"/>
    <s v="He was reminded and it was clear it was not intentional violation, he went back to his office and picked his safety shoes immediately."/>
    <m/>
    <m/>
    <m/>
    <m/>
    <s v="Invalid"/>
    <x v="0"/>
    <m/>
  </r>
  <r>
    <n v="967"/>
    <x v="97"/>
    <s v="Ehab Ibrahim Hassan"/>
    <x v="1"/>
    <s v="Coating Inspector"/>
    <x v="1"/>
    <x v="6"/>
    <x v="2"/>
    <s v="A technician was grinding mechanical defects in the blasting yard not wearing the proper mask."/>
    <x v="1"/>
    <s v="He was taken off the work area after advising PETROJET in charge."/>
    <m/>
    <m/>
    <m/>
    <m/>
    <s v="Invalid"/>
    <x v="0"/>
    <m/>
  </r>
  <r>
    <n v="968"/>
    <x v="97"/>
    <s v="Ehab Ibrahim Hassan"/>
    <x v="1"/>
    <s v="Coating Inspector"/>
    <x v="0"/>
    <x v="6"/>
    <x v="15"/>
    <s v="Blasting area was not barricaded properly"/>
    <x v="0"/>
    <s v="I spoke to PETROJET safety who immediately set barriers and no enterance signs and all people not involved in the job was evacuated."/>
    <m/>
    <m/>
    <m/>
    <m/>
    <s v="Invalid"/>
    <x v="0"/>
    <m/>
  </r>
  <r>
    <n v="969"/>
    <x v="94"/>
    <s v="Johan Kruger"/>
    <x v="1"/>
    <s v="HSE "/>
    <x v="3"/>
    <x v="0"/>
    <x v="2"/>
    <s v="Housekeeper was sweeping workshop # 1, wearing full PPE and in addition a dust mask."/>
    <x v="5"/>
    <s v="Approached the housekeeper and thanked him for working safely and taking the additional precaution to prevent dust inhalation"/>
    <m/>
    <m/>
    <m/>
    <m/>
    <s v="Invalid"/>
    <x v="1"/>
    <m/>
  </r>
  <r>
    <n v="970"/>
    <x v="95"/>
    <s v="Johan Kruger"/>
    <x v="1"/>
    <s v="HSE "/>
    <x v="3"/>
    <x v="8"/>
    <x v="2"/>
    <s v="Observed grinding operation being conducted using proper screens to contain flying sparks"/>
    <x v="5"/>
    <s v="approached the operator and thanked him for working safely to contain the sparks."/>
    <m/>
    <m/>
    <m/>
    <m/>
    <s v="Invalid"/>
    <x v="1"/>
    <m/>
  </r>
  <r>
    <n v="971"/>
    <x v="94"/>
    <s v="Johan Kruger"/>
    <x v="1"/>
    <s v="HSE "/>
    <x v="3"/>
    <x v="2"/>
    <x v="21"/>
    <s v="PTJ have taken proactive measures by placing a freezer in workshop # 2 filled with 1,5l water bottles for workers consumption"/>
    <x v="5"/>
    <s v="Thanked PTJ HSE Manager Mahmoud for taking a proactive approach to the prevention of heat stress at site"/>
    <m/>
    <m/>
    <m/>
    <m/>
    <s v="Invalid"/>
    <x v="1"/>
    <m/>
  </r>
  <r>
    <n v="972"/>
    <x v="106"/>
    <s v="Gamal Abdelgawad"/>
    <x v="1"/>
    <s v="Fabrication"/>
    <x v="0"/>
    <x v="8"/>
    <x v="2"/>
    <s v="Lack of wearing basic / mandatory PPE safety burning goggles, while using flame cutting machine."/>
    <x v="2"/>
    <s v="Discussed the point in person with the team, then informed PTJ/ TFMC HSE, to provide a basic / mandatory PPE to the team."/>
    <m/>
    <m/>
    <m/>
    <m/>
    <s v="Invalid"/>
    <x v="0"/>
    <m/>
  </r>
  <r>
    <n v="973"/>
    <x v="79"/>
    <s v="Gamal Abdelgawad"/>
    <x v="1"/>
    <s v="Fabrication"/>
    <x v="0"/>
    <x v="9"/>
    <x v="3"/>
    <s v="CPY observed that several cables were found on the ground without any arrangement / cable management through cable management platform."/>
    <x v="2"/>
    <s v="Informed PTJ / TFMC HSE, to postpone the activities, to do all necessary for proper housekeeping all over the cable arrangement / cable management through cable management platform."/>
    <m/>
    <m/>
    <m/>
    <m/>
    <s v="Invalid"/>
    <x v="0"/>
    <m/>
  </r>
  <r>
    <n v="974"/>
    <x v="99"/>
    <s v="Malcolm Garrington"/>
    <x v="1"/>
    <s v="Project Manager"/>
    <x v="3"/>
    <x v="0"/>
    <x v="3"/>
    <s v="CPY wishes to acknowledge the good housekeeping from PTJ dedicated cleaners within workshops 1 and 2"/>
    <x v="5"/>
    <s v="PTJ to show appreciation for these cleaners and provide small incentives to boost their moral and appreciation"/>
    <m/>
    <m/>
    <m/>
    <m/>
    <s v="Invalid"/>
    <x v="1"/>
    <m/>
  </r>
  <r>
    <n v="975"/>
    <x v="99"/>
    <s v="Malcolm Garrington"/>
    <x v="1"/>
    <s v="Project Manager"/>
    <x v="0"/>
    <x v="3"/>
    <x v="4"/>
    <s v="CPY witnessed a lifting operation with PTJ rigging team lifting a piece of steel/plate (circa 200kgs) using a forklift. The piece of steel was not sitting balanced and being pushed through existing scaffolding. _x000a_The rigging / supervisor are directing the forklift driver to push the steel while several PTJ workers were in the line of fire. _x000a_Very dangerous activities which should not occur and using the correct mode of lifting and preparations were not addressed"/>
    <x v="2"/>
    <s v="PTJ rigging supervisor to be removed from Total Energies project and PTJ and TFMC HSE to roll out lesson learnt to all workers on body positional, likewise the rigging team on how to do their job safely"/>
    <m/>
    <m/>
    <m/>
    <m/>
    <s v="Invalid"/>
    <x v="0"/>
    <m/>
  </r>
  <r>
    <n v="976"/>
    <x v="100"/>
    <s v="Lance Pretorius"/>
    <x v="1"/>
    <s v="HSE "/>
    <x v="3"/>
    <x v="3"/>
    <x v="10"/>
    <s v="A worker conducting grinding activities was observed working safely and with full PPE"/>
    <x v="5"/>
    <s v="Commended the worker on his safe working act and conditions"/>
    <m/>
    <m/>
    <m/>
    <m/>
    <s v="Invalid"/>
    <x v="1"/>
    <m/>
  </r>
  <r>
    <n v="977"/>
    <x v="101"/>
    <s v="Lance Pretorius"/>
    <x v="1"/>
    <s v="HSE "/>
    <x v="1"/>
    <x v="0"/>
    <x v="10"/>
    <s v="Excess materials at the front of WS#4 has been seen to be well barricaded to ensure no workers enter the area"/>
    <x v="5"/>
    <s v="Commended the PTJ HSE Advisor of the area on his initiative to control unsafe conditions"/>
    <m/>
    <m/>
    <m/>
    <m/>
    <s v="Invalid"/>
    <x v="0"/>
    <m/>
  </r>
  <r>
    <n v="978"/>
    <x v="96"/>
    <s v="Reda Zaghloul"/>
    <x v="1"/>
    <s v="QC"/>
    <x v="2"/>
    <x v="9"/>
    <x v="5"/>
    <s v="Cables in outside fabrication area-4 are properly managed"/>
    <x v="5"/>
    <s v="Spoke to the involved team and encouraged them to continue safe works in such manners"/>
    <m/>
    <m/>
    <m/>
    <m/>
    <s v="Invalid"/>
    <x v="1"/>
    <m/>
  </r>
  <r>
    <n v="979"/>
    <x v="96"/>
    <s v="Reda Zaghloul"/>
    <x v="1"/>
    <s v="QC"/>
    <x v="0"/>
    <x v="1"/>
    <x v="3"/>
    <s v="One of access ways @ outside Fab Area 1 was blocked by gas cylinder and access scaffold"/>
    <x v="2"/>
    <s v="I spoke to supervisor and area HSE about these unsafe conditions, and they immediately acted to rectify these unsafe conditions_x000a_These unsafe conditions were brought to the attention of PTJ area HSE officer"/>
    <m/>
    <m/>
    <m/>
    <m/>
    <m/>
    <x v="0"/>
    <m/>
  </r>
  <r>
    <n v="980"/>
    <x v="101"/>
    <s v="Lance Pretorius"/>
    <x v="1"/>
    <s v="HSE "/>
    <x v="1"/>
    <x v="0"/>
    <x v="5"/>
    <s v="Pulling of a welding cable that was stuck on a structure without going to actually see what was causing the cable to be stuck"/>
    <x v="1"/>
    <s v="Engaged with the worker to safely suspend his welding and go investigate why his cable was stuck and nit to keep on pulling the cable_x000a_Engaged with TFMC/PTJ site safety teams to ensure suitable communications to the workers to not simply pull at their cables when stuck – go and investigate why the cable is stuck/caught and then release it safely"/>
    <m/>
    <m/>
    <m/>
    <m/>
    <s v="Invalid"/>
    <x v="0"/>
    <m/>
  </r>
  <r>
    <n v="981"/>
    <x v="101"/>
    <s v="Lance Pretorius"/>
    <x v="1"/>
    <s v="HSE "/>
    <x v="0"/>
    <x v="0"/>
    <x v="7"/>
    <s v="Various sharp steel edges identified in WS#1 areas"/>
    <x v="2"/>
    <s v="Engaged with TFMC/PTJ HSE Team to ensure sharp steel edges are identified and closed/buffered on an ongoing basis to eliminate any possibility of injuries/incidents_x000a_Engaged with TFMC/PTJ site safety teams to ensure suitable sharp edges buffering/closures"/>
    <m/>
    <m/>
    <m/>
    <m/>
    <s v="Invalid"/>
    <x v="0"/>
    <m/>
  </r>
  <r>
    <n v="982"/>
    <x v="102"/>
    <s v="Gamal Abdelgawad"/>
    <x v="1"/>
    <s v="Fabrication"/>
    <x v="0"/>
    <x v="0"/>
    <x v="12"/>
    <s v="CPY observed several pieces of unit weights being manufactured on site. Pieces of scrap metal is being placed within the drums. Thereafter welded shut and without determining the weight or showing any base design report"/>
    <x v="2"/>
    <s v="CPY approached TFMC / PTJ HSE, to take an immediate action to ensure that all safety requirements are in place to prevent such a risk_x000a_CPY recommended to ensure that items which are subject to lifted to be fully inspected and released based on official design report and QC report"/>
    <m/>
    <m/>
    <m/>
    <m/>
    <s v="Invalid"/>
    <x v="0"/>
    <m/>
  </r>
  <r>
    <n v="983"/>
    <x v="102"/>
    <s v="Gamal Abdelgawad"/>
    <x v="1"/>
    <s v="Fabrication"/>
    <x v="2"/>
    <x v="8"/>
    <x v="5"/>
    <s v="CPY observed a proper Housekeeping during preparation of fabrication activities included prefabrication and welding, have been carried out properly, within outside fabrication area#4"/>
    <x v="5"/>
    <s v="CPY approach TFMC / PTJ HSE representative, to encourage the whole team have been involved in the lifting operation, for their commitment to HSE rules and requirements"/>
    <m/>
    <m/>
    <m/>
    <m/>
    <s v="Invalid"/>
    <x v="1"/>
    <m/>
  </r>
  <r>
    <n v="984"/>
    <x v="96"/>
    <s v="Gamal Abdelgawad"/>
    <x v="1"/>
    <s v="Fabrication"/>
    <x v="0"/>
    <x v="2"/>
    <x v="12"/>
    <s v="CPY observed that there is a modification that has been made for some fabrication support which is lifting the structure up from the support not fully rested on it.  _x000a_CPY observed that portable stand has been used for leveling, is locating under the weight block, used during the fabrication / welding activities"/>
    <x v="2"/>
    <s v="CPY approached TFMC / PTJ HSE, to take immediate action to ensure that all structures are fully rested on the fabrication support (full contact points).  In addition to that, PTJ to remove the weight block wherever it is located on top of the portable fabrication stands_x000a_CPY recommended to ensure that all structures are fully rested on the fabrication support (full contact points).  In addition to that, PTJ to remove the weight block wherever it is located on top of the portable fabrication stands"/>
    <m/>
    <m/>
    <m/>
    <m/>
    <s v="Invalid"/>
    <x v="0"/>
    <m/>
  </r>
  <r>
    <n v="985"/>
    <x v="107"/>
    <s v="Malcolm Garrington"/>
    <x v="1"/>
    <s v="Project Manager"/>
    <x v="0"/>
    <x v="9"/>
    <x v="8"/>
    <s v="CPY witnessed a suspended hook and rigging slings which were with an elevation at head height. _x000a_The crane driver was in cab, (on mobile phone) not focused on position of his “hook”, further to the dangerous positioning the location of suspension was right-out side a barrier walkway which increased the severity of risk"/>
    <x v="1"/>
    <s v="CPY intervened with on site TFMC and PTJ HSE Advisors (who maybe did not notice) and requested crane to boom up or reposition boom/hook and rigging slings into a more safe static location_x000a_PTJ rigging supervisor to ensure his rigging crew and crane drivers are focused and mitigate about any potential risk of injury/incident to follow workers etc"/>
    <m/>
    <m/>
    <m/>
    <m/>
    <s v="Invalid"/>
    <x v="0"/>
    <m/>
  </r>
  <r>
    <n v="986"/>
    <x v="107"/>
    <s v="Malcolm Garrington"/>
    <x v="1"/>
    <s v="Project Manager"/>
    <x v="2"/>
    <x v="0"/>
    <x v="17"/>
    <s v="CPY witnessed a safe transfer of material (small size square plates) which was being transferred within workshop.  CPY noted that 2 PTJ workers were using a manual trolly which was being pushed / steered. Good use of manual safe movement lifting operations"/>
    <x v="5"/>
    <s v="PTJ supervision to show and recognize / acknowledge the workers safe manual _x000a_handling methodologies"/>
    <m/>
    <m/>
    <m/>
    <m/>
    <s v="Invalid"/>
    <x v="1"/>
    <m/>
  </r>
  <r>
    <n v="987"/>
    <x v="107"/>
    <s v="Malcolm Garrington"/>
    <x v="1"/>
    <s v="Project Manager"/>
    <x v="0"/>
    <x v="2"/>
    <x v="3"/>
    <s v="CPY noted that outside area (between workshop 2 and 3) all collected fab shop floor debris (welding electrodes / rubbish) was just placed in an uncontrolled manor with personnel having to step on these derbies. _x000a_Slips, trips and falls are extremely a high percentage of daily incidents"/>
    <x v="2"/>
    <s v="PTJ supervision to ensure housekeeping is maintained, but consideration to correct environmental disposal. _x000a_Not just thrown and left in a poor condition"/>
    <m/>
    <m/>
    <m/>
    <m/>
    <s v="Invalid"/>
    <x v="0"/>
    <m/>
  </r>
  <r>
    <n v="988"/>
    <x v="108"/>
    <s v="Mohamed Kamal"/>
    <x v="1"/>
    <s v="QC"/>
    <x v="0"/>
    <x v="7"/>
    <x v="18"/>
    <s v="During a site inspection in Outside Fabrication Area #2, it was observed one fitter Forman use magnetic drill without safety belt"/>
    <x v="1"/>
    <s v="I stopped him and contacted TFMC HSE rep., and he took the corrective action"/>
    <m/>
    <m/>
    <m/>
    <m/>
    <s v="Invalid"/>
    <x v="0"/>
    <m/>
  </r>
  <r>
    <n v="989"/>
    <x v="109"/>
    <s v="Mohamed Kamal"/>
    <x v="1"/>
    <s v="QC"/>
    <x v="1"/>
    <x v="2"/>
    <x v="1"/>
    <s v="During a site inspection in WS # 02, It was observed one welder standing on top of the MADMAT framing beam outside the barrier during welding process"/>
    <x v="1"/>
    <s v="I stopped him and contacted TFMC HSE rep., and he took all the corrective action required"/>
    <m/>
    <m/>
    <m/>
    <m/>
    <s v="Invalid"/>
    <x v="0"/>
    <m/>
  </r>
  <r>
    <n v="990"/>
    <x v="110"/>
    <s v="Olivier Toupin"/>
    <x v="1"/>
    <s v="QC"/>
    <x v="0"/>
    <x v="7"/>
    <x v="1"/>
    <s v="Wrong tag color (blue) on scaffolding access (ladder)"/>
    <x v="1"/>
    <s v="Talk with the supervisor to replace the tag_x000a_Talk with the supervisor to replace the tag"/>
    <m/>
    <m/>
    <m/>
    <m/>
    <s v="Invalid"/>
    <x v="0"/>
    <m/>
  </r>
  <r>
    <n v="991"/>
    <x v="110"/>
    <s v="Olivier Toupin"/>
    <x v="1"/>
    <s v="QC"/>
    <x v="0"/>
    <x v="7"/>
    <x v="1"/>
    <s v="Wrong tag color (blue) on scaffolding access (ladder)"/>
    <x v="1"/>
    <s v="Talk with the supervisor to replace the tag_x000a_Talk with the supervisor to replace the tag"/>
    <m/>
    <m/>
    <m/>
    <m/>
    <s v="Invalid"/>
    <x v="0"/>
    <m/>
  </r>
  <r>
    <n v="992"/>
    <x v="109"/>
    <s v="Olivier Toupin"/>
    <x v="1"/>
    <s v="QC"/>
    <x v="0"/>
    <x v="3"/>
    <x v="1"/>
    <s v="A worker was on the first step (1.5m) of a scaffolding with a belt too long to stop the fall "/>
    <x v="1"/>
    <s v="Talk with the worker &amp; the supervisor"/>
    <m/>
    <m/>
    <m/>
    <m/>
    <s v="Invalid"/>
    <x v="0"/>
    <m/>
  </r>
  <r>
    <n v="993"/>
    <x v="100"/>
    <s v="Mohamed El Sawah "/>
    <x v="1"/>
    <s v="QC"/>
    <x v="0"/>
    <x v="15"/>
    <x v="3"/>
    <s v="During site inspection, CPY noticed WK#5, where the CPI(s) are stored, it’s full of sand and dust and rest of foods from the workers"/>
    <x v="2"/>
    <s v="I notified PTJ safety officer and he told that he will take the corrective action"/>
    <m/>
    <m/>
    <m/>
    <m/>
    <s v="Invalid"/>
    <x v="0"/>
    <m/>
  </r>
  <r>
    <n v="994"/>
    <x v="101"/>
    <s v="Mohamed El Sawah "/>
    <x v="1"/>
    <s v="QC"/>
    <x v="0"/>
    <x v="0"/>
    <x v="3"/>
    <s v="While site inspection I noticed plates stacked in a bad position in WK#1, along the side of the walk way"/>
    <x v="2"/>
    <s v="I informed safety officer and he took the corrective action and redo the stacking from the beginning in a proper manner"/>
    <m/>
    <m/>
    <m/>
    <m/>
    <s v="Invalid"/>
    <x v="0"/>
    <m/>
  </r>
  <r>
    <n v="995"/>
    <x v="107"/>
    <s v="Lance Pretorius"/>
    <x v="1"/>
    <s v="HSE "/>
    <x v="3"/>
    <x v="3"/>
    <x v="8"/>
    <s v="Forklift driver stopped and checked for seatbelt compliance - in place"/>
    <x v="5"/>
    <s v="Commended the forklift operator on his awareness to using a seatbelt whilst in operation"/>
    <m/>
    <m/>
    <m/>
    <m/>
    <s v="Invalid"/>
    <x v="1"/>
    <m/>
  </r>
  <r>
    <n v="996"/>
    <x v="107"/>
    <s v="Lance Pretorius"/>
    <x v="1"/>
    <s v="HSE "/>
    <x v="2"/>
    <x v="6"/>
    <x v="2"/>
    <s v="Worker clearing blasting garnet observed wearing required PPE"/>
    <x v="5"/>
    <s v="Commended the workers on safe PPE practices"/>
    <m/>
    <m/>
    <m/>
    <m/>
    <s v="Invalid"/>
    <x v="1"/>
    <m/>
  </r>
  <r>
    <n v="997"/>
    <x v="107"/>
    <s v="Lance Pretorius"/>
    <x v="1"/>
    <s v="HSE "/>
    <x v="0"/>
    <x v="8"/>
    <x v="3"/>
    <s v="Cables not being placed correctly on ground level and being left suspended off cable bridges creating tripping hazards"/>
    <x v="2"/>
    <s v="PTJ HSE requested to ensure improved cable management in all areas effected"/>
    <m/>
    <m/>
    <m/>
    <m/>
    <s v="Invalid"/>
    <x v="0"/>
    <m/>
  </r>
  <r>
    <n v="998"/>
    <x v="107"/>
    <s v="Lance Pretorius"/>
    <x v="1"/>
    <s v="HSE "/>
    <x v="0"/>
    <x v="2"/>
    <x v="5"/>
    <s v="A worker observed conducting grinding creating sparks into the safe walkway inside the workshop area"/>
    <x v="1"/>
    <s v="Suspended the activity – requested TFMC/PTJ HSE and the worker to place a suitable grinding spark barrier to deflect the sparks out of the safe walkway area _x000a_TFMC/PTJ HSE and the worker tutored on the importance of being aware of the area working in and to ensure his area is safe and areas that might be affected at all times"/>
    <m/>
    <m/>
    <m/>
    <m/>
    <s v="Invalid"/>
    <x v="0"/>
    <m/>
  </r>
  <r>
    <n v="999"/>
    <x v="111"/>
    <s v="Ehab Ibrahim Hassan"/>
    <x v="1"/>
    <s v="Coating Inspector"/>
    <x v="2"/>
    <x v="6"/>
    <x v="2"/>
    <s v="All technicians involved in stripe coat activities were seen wearing chemical masks during a surprising inspection visit and not just dust masks. When discussed, they confirmed they have not had enough chemical masks in the past but they kept after their management until they got full set of them"/>
    <x v="5"/>
    <m/>
    <m/>
    <m/>
    <m/>
    <m/>
    <s v="Invalid"/>
    <x v="1"/>
    <m/>
  </r>
  <r>
    <n v="1000"/>
    <x v="109"/>
    <s v="Ehab Ibrahim Hassan"/>
    <x v="1"/>
    <s v="Coating Inspector"/>
    <x v="1"/>
    <x v="6"/>
    <x v="2"/>
    <s v="One of PETROJET technicians was doing housekeeping in the yard not wearing his safety glasses"/>
    <x v="1"/>
    <s v="He was reminded with the importance of protecting his eyes from dust and elements during work and he immediately obliged to the site safety rules_x000a_Subject to be highlighted during the weekly TBT"/>
    <m/>
    <m/>
    <m/>
    <m/>
    <s v="Invalid"/>
    <x v="0"/>
    <m/>
  </r>
  <r>
    <n v="1001"/>
    <x v="112"/>
    <s v="Ehab Ibrahim Hassan"/>
    <x v="1"/>
    <s v="Coating Inspector"/>
    <x v="1"/>
    <x v="0"/>
    <x v="2"/>
    <s v="Many of the workers did not wear hearing protection"/>
    <x v="2"/>
    <s v="I spoke to PETROJET safety who immediately conveyed the message to all of them and handed earplugs to the one who do not have_x000a_Subject to be highlighted during the weekly TBT"/>
    <m/>
    <m/>
    <m/>
    <m/>
    <s v="Invalid"/>
    <x v="0"/>
    <m/>
  </r>
  <r>
    <n v="1002"/>
    <x v="112"/>
    <s v="Ehab Ibrahim Hassan"/>
    <x v="1"/>
    <s v="Coating Inspector"/>
    <x v="1"/>
    <x v="16"/>
    <x v="1"/>
    <s v="Some rigger was standing in the box of a truck crane at relatively 1.5M height without fixing his belt to the cage box. He was planning to fix the project board hanged on some post"/>
    <x v="1"/>
    <s v="Immediately talked to him and his supervisor and he shackled his belt_x000a_Subject to be highlighted during the weekly TBT"/>
    <m/>
    <m/>
    <m/>
    <m/>
    <s v="Invalid"/>
    <x v="0"/>
    <m/>
  </r>
  <r>
    <n v="1003"/>
    <x v="113"/>
    <s v="Ehab Ibrahim Hassan"/>
    <x v="1"/>
    <s v="Coating Inspector"/>
    <x v="1"/>
    <x v="0"/>
    <x v="16"/>
    <s v="2 welders were using the mobile phones in the work area, one sitting on the structure (WS1) and the other one under the structure(WS2)"/>
    <x v="1"/>
    <s v="Immediately stopped them and spoke to PETROJET safety officer_x000a_Subject to be highlighted during the weekly TBT"/>
    <m/>
    <m/>
    <m/>
    <m/>
    <s v="Invalid"/>
    <x v="0"/>
    <m/>
  </r>
  <r>
    <n v="1004"/>
    <x v="113"/>
    <s v="Ehab Ibrahim Hassan"/>
    <x v="1"/>
    <s v="Coating Inspector"/>
    <x v="1"/>
    <x v="0"/>
    <x v="2"/>
    <s v="Some technician was doing cutting process using the grinding disk without facial mask"/>
    <x v="1"/>
    <s v="Immediately talked to him and stopped work until he wore the facial mask_x000a_Subject to be highlighted during the weekly TBT"/>
    <m/>
    <m/>
    <m/>
    <m/>
    <s v="Invalid"/>
    <x v="0"/>
    <m/>
  </r>
  <r>
    <n v="1005"/>
    <x v="110"/>
    <s v="Abdelhady Ghalwash"/>
    <x v="2"/>
    <s v="HSE "/>
    <x v="0"/>
    <x v="0"/>
    <x v="3"/>
    <s v="Poor storage of materials was observed in Workshop 1"/>
    <x v="1"/>
    <s v="The materials were reorganized to clear pathways and ensure safe access throughout the workshop"/>
    <m/>
    <m/>
    <m/>
    <m/>
    <s v="Invalid"/>
    <x v="0"/>
    <m/>
  </r>
  <r>
    <n v="1006"/>
    <x v="110"/>
    <s v="Abdelhady Ghalwash"/>
    <x v="2"/>
    <s v="HSE "/>
    <x v="0"/>
    <x v="2"/>
    <x v="4"/>
    <s v="Insufficient cups were observed under a steel structure (Mudmat) in Workshop 2, posing a risk of instability or collapse."/>
    <x v="1"/>
    <s v="Work was immediately stopped, and additional cups were installed to stabilize the structure."/>
    <m/>
    <m/>
    <m/>
    <m/>
    <s v="Invalid"/>
    <x v="0"/>
    <m/>
  </r>
  <r>
    <n v="1007"/>
    <x v="110"/>
    <s v="Abdelhady Ghalwash"/>
    <x v="2"/>
    <s v="HSE "/>
    <x v="0"/>
    <x v="2"/>
    <x v="18"/>
    <s v="A lack of sufficient control measures was observed in the unauthorized risk assessment for the magnetic drilling machine"/>
    <x v="2"/>
    <s v="The issue was reported to the PTJ safety department for immediate action. The current risk assessment is being reviewed and updated to include adequate safety controls"/>
    <m/>
    <m/>
    <m/>
    <m/>
    <s v="Invalid"/>
    <x v="0"/>
    <m/>
  </r>
  <r>
    <n v="1008"/>
    <x v="110"/>
    <s v="Abdelhady Ghalwash"/>
    <x v="2"/>
    <s v="HSE "/>
    <x v="0"/>
    <x v="8"/>
    <x v="8"/>
    <s v="A damaged webbing sling was observed in Workshop 4, posing a potential lifting hazard"/>
    <x v="1"/>
    <s v="The damaged sling was immediately removed from service and replaced with a certified one. Workers were reminded to inspect all lifting equipment, including webbing slings, before each use and report any defects."/>
    <m/>
    <m/>
    <m/>
    <m/>
    <s v="Invalid"/>
    <x v="0"/>
    <m/>
  </r>
  <r>
    <n v="1009"/>
    <x v="107"/>
    <s v="Abdelhady Ghalwash"/>
    <x v="2"/>
    <s v="HSE "/>
    <x v="0"/>
    <x v="2"/>
    <x v="13"/>
    <s v="A fire extinguisher does not exist in the designated smoking area in front of Workshop 2, which poses a potential fire safety risk."/>
    <x v="1"/>
    <s v="The safety team was notified, and a fire extinguisher was immediately installed in the designated area. Workers were reminded of fire safety rules applicable to smoking zones."/>
    <m/>
    <m/>
    <m/>
    <m/>
    <s v="Invalid"/>
    <x v="0"/>
    <m/>
  </r>
  <r>
    <n v="1010"/>
    <x v="107"/>
    <s v="Abdelhady Ghalwash"/>
    <x v="2"/>
    <s v="HSE "/>
    <x v="2"/>
    <x v="0"/>
    <x v="15"/>
    <s v="A caution tape was observed installed along the cable routes in Workshop 1, enhancing protection and reducing the risk of electrical hazards."/>
    <x v="5"/>
    <m/>
    <m/>
    <m/>
    <m/>
    <m/>
    <s v="Invalid"/>
    <x v="1"/>
    <m/>
  </r>
  <r>
    <n v="1011"/>
    <x v="107"/>
    <s v="Abdelhady Ghalwash"/>
    <x v="2"/>
    <s v="HSE "/>
    <x v="1"/>
    <x v="0"/>
    <x v="1"/>
    <s v="Workers were observed working at height without fall protection measures in place"/>
    <x v="1"/>
    <s v="Work was stopped, and both the supervisor and safety team were informed. _x000a_A handrail was installed, and workers were briefed on the hazards associated with working at heights."/>
    <m/>
    <m/>
    <m/>
    <m/>
    <s v="Invalid"/>
    <x v="0"/>
    <m/>
  </r>
  <r>
    <n v="1012"/>
    <x v="109"/>
    <s v="Mahmoud Elshahat"/>
    <x v="2"/>
    <s v="HSE "/>
    <x v="1"/>
    <x v="1"/>
    <x v="8"/>
    <s v="A crane was being guided by an unauthorized individual instead of a designated pankes man."/>
    <x v="1"/>
    <s v="instructed the crane driver to only be guided by a designated banksman"/>
    <m/>
    <m/>
    <m/>
    <m/>
    <s v="Invalid"/>
    <x v="0"/>
    <m/>
  </r>
  <r>
    <n v="1013"/>
    <x v="112"/>
    <s v="Mahmoud Elshahat"/>
    <x v="2"/>
    <s v="HSE "/>
    <x v="0"/>
    <x v="4"/>
    <x v="8"/>
    <s v="A cut was observed on the rigging cable during the lifting operation_x000a_"/>
    <x v="1"/>
    <s v="The lifting operation was hald and the equipment was removed from the workshop."/>
    <m/>
    <m/>
    <m/>
    <m/>
    <s v="Invalid"/>
    <x v="0"/>
    <m/>
  </r>
  <r>
    <n v="1014"/>
    <x v="112"/>
    <s v="Mahmoud Elshahat"/>
    <x v="2"/>
    <s v="HSE "/>
    <x v="0"/>
    <x v="7"/>
    <x v="5"/>
    <s v="observed the magnetic drill installed in a side position without securing it, posing a risk of the drill falling in the event of a power failure."/>
    <x v="1"/>
    <s v="_x000a_The operation was hald, the drill was removed from the work area, and a securing strap was provided to ensure safe operation."/>
    <m/>
    <m/>
    <m/>
    <m/>
    <s v="Invalid"/>
    <x v="0"/>
    <m/>
  </r>
  <r>
    <n v="1015"/>
    <x v="112"/>
    <s v="Mahmoud Elshahat"/>
    <x v="2"/>
    <s v="HSE "/>
    <x v="0"/>
    <x v="1"/>
    <x v="5"/>
    <s v="The ground cable of a welding machine was found to be severed."/>
    <x v="1"/>
    <s v="The welding machine was taken out of service, and the electrical department was notified to repair the cable. Additionally, all cables in the work area were inspected to ensure safety."/>
    <m/>
    <m/>
    <m/>
    <m/>
    <s v="Invalid"/>
    <x v="0"/>
    <m/>
  </r>
  <r>
    <n v="1016"/>
    <x v="112"/>
    <s v="Mahmoud Elshahat"/>
    <x v="2"/>
    <s v="HSE "/>
    <x v="0"/>
    <x v="7"/>
    <x v="5"/>
    <s v="A grinding motor was observed to have a crack in its casing."/>
    <x v="1"/>
    <s v="The grinding motor was removed from service, and all other grindings in the work area were inspected for similar defects to prevent potential hazard"/>
    <m/>
    <m/>
    <m/>
    <m/>
    <s v="Invalid"/>
    <x v="0"/>
    <m/>
  </r>
  <r>
    <n v="1017"/>
    <x v="113"/>
    <s v="Mahmoud Elshahat"/>
    <x v="2"/>
    <s v="HSE "/>
    <x v="0"/>
    <x v="1"/>
    <x v="5"/>
    <s v="A compressed gas cylinder was found to be leaking during a routine inspection"/>
    <x v="1"/>
    <s v="The leaking cylinder was removed from service, and all compressed gas cylinders in the area were inspected to ensure they were free from leaks and other defects."/>
    <m/>
    <m/>
    <m/>
    <m/>
    <s v="Invalid"/>
    <x v="0"/>
    <m/>
  </r>
  <r>
    <n v="1018"/>
    <x v="114"/>
    <s v="Gamal Abdelgawad"/>
    <x v="1"/>
    <s v="Fabrication"/>
    <x v="2"/>
    <x v="6"/>
    <x v="3"/>
    <s v="CPY observed proper Housekeeping during preparation of fabrication activities included prefabrication and welding, have been carried out properly, within outside fabrication blasting and painting area. "/>
    <x v="5"/>
    <s v="CPY approach TFMC / PTJ HSE representative, to encourage the whole team have been involved in the lifting operation, for their commitment to HSE rules and requirements.  "/>
    <m/>
    <m/>
    <m/>
    <m/>
    <s v="Invalid"/>
    <x v="1"/>
    <m/>
  </r>
  <r>
    <n v="1019"/>
    <x v="114"/>
    <s v="Gamal Abdelgawad"/>
    <x v="1"/>
    <s v="Fabrication"/>
    <x v="0"/>
    <x v="8"/>
    <x v="3"/>
    <s v="CPY observed that, leftover of Wooden sign with stand nails at the end of Workshop #4. "/>
    <x v="2"/>
    <s v="Informed Petrojet TFMC / HSE, to do all necessary for proper housekeeping for this specific part of Workshop #4. _x000a_Ensure this topic will be re-highlighted during TBT, to encourage PTJ workers to keep all yard facilities clean inline with HSE CPY requirements"/>
    <m/>
    <m/>
    <m/>
    <m/>
    <s v="Invalid"/>
    <x v="0"/>
    <m/>
  </r>
  <r>
    <n v="1020"/>
    <x v="115"/>
    <s v="Gamal Abdelgawad"/>
    <x v="1"/>
    <s v="Fabrication"/>
    <x v="0"/>
    <x v="2"/>
    <x v="8"/>
    <s v="CPY observed that during lifting operation for top plate of hub tower, there was unsafe positioning of people/workforce who were not directly involved in the actual lifting operation positioned in areas of direct line of fire and general unsafe positions"/>
    <x v="1"/>
    <s v="CPY asked TFMC/PTJ HSE to stop the activity and discuss the CPY identified risks with PTJ rigging team as this was deemed to be unsafe condition due to a hazardous environment as well as the possibility of being classified as an unsafe act, if the individuals have knowingly entered the area despite warnings – both conditions would contribute to heightened risks._x000a_TFMC/PTJ instructed to reiterate this topic and risks during a dedicated TBT, to improve PTJ workers awareness and acknowledgement"/>
    <m/>
    <m/>
    <m/>
    <m/>
    <s v="Invalid"/>
    <x v="0"/>
    <m/>
  </r>
  <r>
    <n v="1021"/>
    <x v="114"/>
    <s v="Gamal Abdelgawad"/>
    <x v="1"/>
    <s v="Fabrication"/>
    <x v="0"/>
    <x v="1"/>
    <x v="3"/>
    <s v="CPY observed that several cables were found on the ground without any arrangement / cable management through cable management platform."/>
    <x v="1"/>
    <s v="Informed PTJ / TFMC HSE, to postpone the activities, to do all necessary for proper housekeeping all over the cable arrangement / cable management through cable management platform._x000a_Ensure that all crew who involved in the activities inside this area are fully aware and acknowledge that housekeeping is a daily routine activity to be done by end of each shift."/>
    <m/>
    <m/>
    <m/>
    <m/>
    <s v="Invalid"/>
    <x v="0"/>
    <m/>
  </r>
  <r>
    <n v="1022"/>
    <x v="116"/>
    <s v="Ehab Ibrahim Hassan"/>
    <x v="1"/>
    <s v="Coating Inspector"/>
    <x v="3"/>
    <x v="6"/>
    <x v="10"/>
    <s v="PETROJET lead blaster managing style, for long time I have been witnessing how is guiding the new blasters how to deliver a safe and quality job "/>
    <x v="5"/>
    <s v="Subject was taken to TECHNIP coating inspector who promised to reward him in the next TBT"/>
    <m/>
    <m/>
    <m/>
    <m/>
    <s v="Invalid"/>
    <x v="1"/>
    <m/>
  </r>
  <r>
    <n v="1023"/>
    <x v="117"/>
    <s v="Ehab Ibrahim Hassan"/>
    <x v="1"/>
    <s v="Coating Inspector"/>
    <x v="1"/>
    <x v="16"/>
    <x v="4"/>
    <s v="2 engineers were noticed talking on the phone while walking opposite of PETROJET main office going to the fab workshops "/>
    <x v="1"/>
    <s v="They were reminded never to use the mobile phone while walking_x000a_They promised not to repeat it again. "/>
    <m/>
    <m/>
    <m/>
    <m/>
    <s v="Invalid"/>
    <x v="0"/>
    <m/>
  </r>
  <r>
    <n v="1024"/>
    <x v="117"/>
    <s v="Malcolm Garrington"/>
    <x v="1"/>
    <s v="Project Manager"/>
    <x v="0"/>
    <x v="7"/>
    <x v="8"/>
    <s v="CPY noted that a lifting operation was ongoing within the outside area #2 when CPY passed.  CPY noted that PTJ had attempted to put some barriers up, however, barriers had blown down and crane was exposed for workers to become in line of fire. _x000a_A PTJ workers passed the back of the crane weight block, workers completely disobeyed the crane lifting activities.  No PTJ HSE and No TFMC were present. _x000a_Poor SEZ and poor rigging team awareness, CPY extremely concerned at how poor the lifting activities are within ZB Yard. "/>
    <x v="1"/>
    <s v="CPY proceeded to STOP the lifting activities, acquired TFMC and PTJ HSE Advisors to implemented hardened barriers and explained the conditions. _x000a_PTJ supervision / management to start to act accordingly and take appropriate actions to prevent such reoccurring unsafe lifting activities."/>
    <m/>
    <m/>
    <m/>
    <m/>
    <s v="Invalid"/>
    <x v="0"/>
    <m/>
  </r>
  <r>
    <n v="1025"/>
    <x v="117"/>
    <s v="Malcolm Garrington"/>
    <x v="1"/>
    <s v="Project Manager"/>
    <x v="0"/>
    <x v="2"/>
    <x v="8"/>
    <s v="CPY noted that a lifting operation was ongoing within the outside area between workshop #2 and #3 when CPY passed.  CPY noted that PTJ had not installed / arranged any safe exclusion zone or barriers prior to lifting activities commenced.  _x000a_Several personnel (including CPY) walked right into this lifting activity and were unaware due to no barriers. _x000a_No PTJ HSE and No TFMC were present.  However, upon looking CPY noted that a PTJ HSE advisor was not too far away with zero interaction and shortly after a TFMC HSE Advisor passed but was on his mobile phone and passed without looking _x000a_Poor SEZ and poor rigging team awareness, CPY extremely concerned at how poor the lifting activities are within ZB Yard."/>
    <x v="2"/>
    <s v="CPY Did not take any action and wanted to see if any other party interacted prior to the lift being taken place. However No other person of company did any interactions._x000a_PTJ supervision / management to start to act accordingly and take appropriate actions to prevent such reoccurring unsafe lifting activities."/>
    <m/>
    <m/>
    <m/>
    <m/>
    <s v="Invalid"/>
    <x v="0"/>
    <m/>
  </r>
  <r>
    <n v="1026"/>
    <x v="114"/>
    <s v="Mohamed Kamal"/>
    <x v="1"/>
    <s v="QC"/>
    <x v="1"/>
    <x v="1"/>
    <x v="2"/>
    <s v="During a site inspection in outside fabrication area # 1, it was observed grinder used a pencil grinding machine on the hammer head eyes."/>
    <x v="1"/>
    <s v="I stopped him and contacted TFMC HSE rep., and he took all the corrective action required."/>
    <m/>
    <m/>
    <m/>
    <m/>
    <s v="Invalid"/>
    <x v="0"/>
    <m/>
  </r>
  <r>
    <n v="1027"/>
    <x v="114"/>
    <s v="Mohamed Kamal"/>
    <x v="1"/>
    <s v="QC"/>
    <x v="1"/>
    <x v="1"/>
    <x v="2"/>
    <s v="During a site inspection in outside fabrication area # 1, it was observed welder sat under a piping support frame without wearing a safety helmet or a welding face shield."/>
    <x v="1"/>
    <s v="I stopped him and contacted TFMC HSE rep., and he took all the corrective action required."/>
    <m/>
    <m/>
    <m/>
    <m/>
    <s v="Invalid"/>
    <x v="0"/>
    <m/>
  </r>
  <r>
    <n v="1028"/>
    <x v="114"/>
    <s v="Mohamed Kamal"/>
    <x v="1"/>
    <s v="QC"/>
    <x v="1"/>
    <x v="1"/>
    <x v="2"/>
    <s v="During a site inspection in outside fabrication area # 1, it was observed grinder used grinding machine without wearing hand protection gloves."/>
    <x v="1"/>
    <s v="I stopped him and contacted TFMC HSE rep., and he took all the corrective action required."/>
    <m/>
    <m/>
    <m/>
    <m/>
    <s v="Invalid"/>
    <x v="0"/>
    <m/>
  </r>
  <r>
    <n v="1029"/>
    <x v="116"/>
    <s v="Olivier Toupin"/>
    <x v="1"/>
    <s v="QC"/>
    <x v="0"/>
    <x v="3"/>
    <x v="5"/>
    <s v="A worker pre heating a structure, the connection of gas manometer leaking._x000a_Strong smell in the workshop"/>
    <x v="1"/>
    <s v="Talk with the worker &amp; the supervisor  "/>
    <m/>
    <m/>
    <m/>
    <m/>
    <s v="Invalid"/>
    <x v="0"/>
    <m/>
  </r>
  <r>
    <n v="1030"/>
    <x v="117"/>
    <s v="Lance Pretorius"/>
    <x v="1"/>
    <s v="HSE "/>
    <x v="3"/>
    <x v="3"/>
    <x v="8"/>
    <s v="Forklift driver wearing his seatbelt as per procedure "/>
    <x v="5"/>
    <s v="Commended the forklift driver for his safe actions"/>
    <m/>
    <m/>
    <m/>
    <m/>
    <s v="Invalid"/>
    <x v="1"/>
    <m/>
  </r>
  <r>
    <n v="1031"/>
    <x v="115"/>
    <s v="Lance Pretorius"/>
    <x v="1"/>
    <s v="HSE "/>
    <x v="3"/>
    <x v="2"/>
    <x v="2"/>
    <s v="Welder observed wearing his full PPE and in good condition "/>
    <x v="5"/>
    <s v="Commended the welder on good PPE safety"/>
    <m/>
    <m/>
    <m/>
    <m/>
    <s v="Invalid"/>
    <x v="1"/>
    <m/>
  </r>
  <r>
    <n v="1032"/>
    <x v="115"/>
    <s v="Lance Pretorius"/>
    <x v="1"/>
    <s v="HSE "/>
    <x v="0"/>
    <x v="1"/>
    <x v="3"/>
    <s v="Housekeeping under the PLET in Open Area #1 was found to be in a bad condition. "/>
    <x v="1"/>
    <s v="TFMC/PTJ HSE representatives requested to temporarily suspend activities and ensure a mini housekeeping campaign"/>
    <m/>
    <m/>
    <m/>
    <m/>
    <s v="Invalid"/>
    <x v="0"/>
    <m/>
  </r>
  <r>
    <n v="1033"/>
    <x v="115"/>
    <s v="Lance Pretorius"/>
    <x v="1"/>
    <s v="HSE "/>
    <x v="0"/>
    <x v="2"/>
    <x v="5"/>
    <s v="A worker grinding did not protect his sparks from reaching the safe walkway area, causing an unsafe condition"/>
    <x v="1"/>
    <s v="Activity suspended and requested that a grinding screen be erected, and the grinding worked to change his position of activity _x000a_Tutored the grinding personnel on the importance of using grinding screens at all times "/>
    <m/>
    <m/>
    <m/>
    <m/>
    <s v="Invalid"/>
    <x v="0"/>
    <m/>
  </r>
  <r>
    <n v="1034"/>
    <x v="115"/>
    <s v="Mahmoud Elshahat"/>
    <x v="2"/>
    <s v="HSE "/>
    <x v="0"/>
    <x v="0"/>
    <x v="15"/>
    <s v="A support was found to be non-compliant with the approved design and had incomplete welding joints"/>
    <x v="1"/>
    <s v="Work on the steel structure was immediately suspended. The workshop supervisor was instructed to follow the approved design strictly. A full inspection of all supports within the workshop was conducted to ensure compliance and safety."/>
    <m/>
    <m/>
    <m/>
    <m/>
    <s v="Invalid"/>
    <x v="0"/>
    <m/>
  </r>
  <r>
    <n v="1035"/>
    <x v="115"/>
    <s v="Mahmoud Elshahat"/>
    <x v="2"/>
    <s v="HSE "/>
    <x v="0"/>
    <x v="2"/>
    <x v="7"/>
    <s v="Flammable materials were discovered stored inside the supports beneath the structure, posing fire hazard."/>
    <x v="1"/>
    <s v="The workshop supervisor was instructed to remove all flammable materials immediately. Workers were warned and educated on the importance of disposing of combustible waste only in designated containers and areas to prevent fire risks"/>
    <m/>
    <m/>
    <m/>
    <m/>
    <s v="Invalid"/>
    <x v="0"/>
    <m/>
  </r>
  <r>
    <n v="1036"/>
    <x v="114"/>
    <s v="Mahmoud Elshahat"/>
    <x v="2"/>
    <s v="HSE "/>
    <x v="0"/>
    <x v="1"/>
    <x v="8"/>
    <s v="Lifting activities were being conducted without securing the lifting area or installing safety barriers around the crane"/>
    <x v="1"/>
    <s v="The lifting operation was halted immediately. A toolbox talk was conducted to raise awareness among workers about the importance of isolating the lifting zone and using barriers before initiating any lifting activity"/>
    <m/>
    <m/>
    <m/>
    <m/>
    <s v="Invalid"/>
    <x v="0"/>
    <m/>
  </r>
  <r>
    <n v="1037"/>
    <x v="118"/>
    <s v="Mahmoud Elshahat"/>
    <x v="2"/>
    <s v="HSE "/>
    <x v="1"/>
    <x v="2"/>
    <x v="5"/>
    <s v="A welder was observed performing hot work without wearing a welding apron, exposing himself to burns and injury"/>
    <x v="1"/>
    <s v="A safety briefing was held for all workers involved in hot work to stress the mandatory use of PPE, including welding aprons, to comply with safety standards and reduce injury risk"/>
    <m/>
    <m/>
    <m/>
    <m/>
    <s v="Invalid"/>
    <x v="0"/>
    <m/>
  </r>
  <r>
    <n v="1038"/>
    <x v="118"/>
    <s v="Mahmoud Elshahat"/>
    <x v="2"/>
    <s v="HSE "/>
    <x v="0"/>
    <x v="2"/>
    <x v="3"/>
    <s v="Electrical cables in the workshop were found to be disorganized and scattered, creating a tripping hazard for workers"/>
    <x v="1"/>
    <s v="The workshop supervisor was instructed to organize and secure all electrical cables properly to eliminate tripping hazards and ensure a safe working environment"/>
    <m/>
    <m/>
    <m/>
    <m/>
    <s v="Invalid"/>
    <x v="0"/>
    <m/>
  </r>
  <r>
    <n v="1039"/>
    <x v="119"/>
    <s v="Mahmoud Elshahat"/>
    <x v="2"/>
    <s v="HSE "/>
    <x v="0"/>
    <x v="0"/>
    <x v="3"/>
    <s v="materials inside the workshop were not properly arranged, and there were no barriers around them, increasing the risk of collision and injury"/>
    <x v="1"/>
    <s v="The supervisor was directed to organize all materials and install barriers around them to maintain a safe and orderly workspace, reducing the risk of worker collisions and material damage"/>
    <m/>
    <m/>
    <m/>
    <m/>
    <s v="Invalid"/>
    <x v="0"/>
    <m/>
  </r>
  <r>
    <n v="1040"/>
    <x v="120"/>
    <s v="Mahmoud samir"/>
    <x v="2"/>
    <s v="HSE "/>
    <x v="0"/>
    <x v="6"/>
    <x v="8"/>
    <s v="It has been observed that loading and offloading activities involving a forklift were carried out, but the load was not properly secured. "/>
    <x v="1"/>
    <s v="Immediately stop all loading and offloading activities involving forklifts. Conduct  (TBT) with the rigging supervisor, flagmen, and forklift operators to reinforce the importance of proper load securing and safe handling practices "/>
    <m/>
    <m/>
    <m/>
    <m/>
    <s v="Invalid"/>
    <x v="0"/>
    <m/>
  </r>
  <r>
    <n v="1041"/>
    <x v="116"/>
    <s v="Mahmoud samir"/>
    <x v="2"/>
    <s v="HSE "/>
    <x v="1"/>
    <x v="1"/>
    <x v="1"/>
    <s v="It has been observed that a scaffolder was working at height without wearing a safety harness. "/>
    <x v="1"/>
    <s v="Immediately suspend the work and ensure the scaffolder is brought down safely, Conduct a disciplinary action with him. "/>
    <m/>
    <m/>
    <m/>
    <m/>
    <s v="Invalid"/>
    <x v="0"/>
    <m/>
  </r>
  <r>
    <n v="1042"/>
    <x v="117"/>
    <s v="Mahmoud samir"/>
    <x v="2"/>
    <s v="HSE "/>
    <x v="0"/>
    <x v="9"/>
    <x v="2"/>
    <s v="It has been observed that access to the scaffold platform was blocked due to excessive cable storage and poor PPE conditions. "/>
    <x v="1"/>
    <s v="The Area Supervisor was informed immediately. The access way to the scaffold platform was cleared by removing excess cables and ensuring proper cable management. Additionally, all PPE was inspected, and any damaged or non-compliant items were replaced "/>
    <m/>
    <m/>
    <m/>
    <m/>
    <s v="Invalid"/>
    <x v="0"/>
    <m/>
  </r>
  <r>
    <n v="1043"/>
    <x v="115"/>
    <s v="Mahmoud samir"/>
    <x v="2"/>
    <s v="HSE "/>
    <x v="0"/>
    <x v="7"/>
    <x v="8"/>
    <s v="It has been observed that a lifting activity was being carried out using a crawler crane, but the lifting area was not properly barricaded. "/>
    <x v="1"/>
    <s v="The lifting supervisor was informed immediately and instructed to take corrective action. A soft barrier was installed around the lifting area. _x000a_I have given the supervisor a verbal warning, and informed him that disciplinary action will be taken if the violation is repeated"/>
    <m/>
    <m/>
    <m/>
    <m/>
    <s v="Invalid"/>
    <x v="0"/>
    <m/>
  </r>
  <r>
    <n v="1044"/>
    <x v="115"/>
    <s v="Mahmoud samir"/>
    <x v="2"/>
    <s v="HSE "/>
    <x v="0"/>
    <x v="3"/>
    <x v="3"/>
    <s v="It has been observed that hot work activities were being carried out using a damaged welding habitat, with poor housekeeping inside the habitat. "/>
    <x v="1"/>
    <s v="Replace the damaged welding habitat immediately to ensure a safe environment for hot work activities. Conduct (TBT) with the workers to address the importance of proper workplace arrangement and housekeeping. "/>
    <m/>
    <m/>
    <m/>
    <m/>
    <s v="Invalid"/>
    <x v="0"/>
    <m/>
  </r>
  <r>
    <n v="1045"/>
    <x v="114"/>
    <s v="Mahmoud samir"/>
    <x v="2"/>
    <s v="HSE "/>
    <x v="0"/>
    <x v="1"/>
    <x v="3"/>
    <s v="It has been observed that there is poor cable management and housekeeping inside the workshop. "/>
    <x v="1"/>
    <s v="Immediately conduct a Toolbox Talk with the fabrication team, and implement the necessary corrective actions. "/>
    <m/>
    <m/>
    <m/>
    <m/>
    <s v="Invalid"/>
    <x v="0"/>
    <m/>
  </r>
  <r>
    <n v="1046"/>
    <x v="118"/>
    <s v="Mahmoud samir"/>
    <x v="2"/>
    <s v="HSE "/>
    <x v="3"/>
    <x v="9"/>
    <x v="10"/>
    <s v="It has been observed that at the beginning of the day, the Area Supervisor was checking the team's PPE condition and providing good supervision at the site. "/>
    <x v="5"/>
    <s v=" The Area Supervisor was encouraged to keep up the good work and was given positive feedback for his proactive safety efforts. "/>
    <m/>
    <m/>
    <m/>
    <m/>
    <s v="Invalid"/>
    <x v="1"/>
    <m/>
  </r>
  <r>
    <n v="1047"/>
    <x v="121"/>
    <s v="Gamal Abdelgawad"/>
    <x v="1"/>
    <s v="Fabrication"/>
    <x v="2"/>
    <x v="9"/>
    <x v="5"/>
    <s v="CPY observed proper Housekeeping during preparation of fabrication activities included prefabrication and welding, have been carried out properly, within outside fabrication areas"/>
    <x v="5"/>
    <s v="CPY approach TFMC / PTJ HSE representative, to encourage the whole team have been involved in the lifting operation, for their commitment to HSE rules and requirements"/>
    <m/>
    <m/>
    <m/>
    <m/>
    <s v="Invalid"/>
    <x v="1"/>
    <m/>
  </r>
  <r>
    <n v="1048"/>
    <x v="121"/>
    <s v="Gamal Abdelgawad"/>
    <x v="1"/>
    <s v="Fabrication"/>
    <x v="1"/>
    <x v="0"/>
    <x v="2"/>
    <s v="Improper PPE (Dark Glass) been worn by welders, inside all fabrication workshops - WS 1 &amp; 2"/>
    <x v="1"/>
    <s v="Discussed the point in person with the welder, then informed PTJ/ TFMC HSE, to provide a clear glass to the new team_x000a_Reiterate this topic during the TBT to encourage the new team for wearing proper PPE inside workshops"/>
    <m/>
    <m/>
    <m/>
    <m/>
    <s v="Invalid"/>
    <x v="0"/>
    <m/>
  </r>
  <r>
    <n v="1049"/>
    <x v="122"/>
    <s v="Gamal Abdelgawad"/>
    <x v="1"/>
    <s v="Fabrication"/>
    <x v="1"/>
    <x v="8"/>
    <x v="5"/>
    <s v="CPY observed that, there is lack of Portable welding / grinding screens in comparison to grinding activities"/>
    <x v="2"/>
    <s v="CPY approached TFMC / PTJ HSE, to Relocate the Portable welding / grinding screens in conjunction to the Grinding activities been in progress"/>
    <m/>
    <m/>
    <m/>
    <m/>
    <s v="Invalid"/>
    <x v="0"/>
    <m/>
  </r>
  <r>
    <n v="1050"/>
    <x v="122"/>
    <s v="Gamal Abdelgawad"/>
    <x v="1"/>
    <s v="Fabrication"/>
    <x v="0"/>
    <x v="1"/>
    <x v="2"/>
    <s v="Lack of wearing basic / mandatory PPE safety burning goggles, while using flame cutting machine"/>
    <x v="1"/>
    <s v="Discussed the point in person with the team, then informed PTJ/ TFMC HSE, to provide a basic / mandatory PPE to the team_x000a_CPY recommended to reiterate this topic during the TBT to encourage the new team for wearing proper PPE inside workshop"/>
    <m/>
    <m/>
    <m/>
    <m/>
    <s v="Invalid"/>
    <x v="0"/>
    <m/>
  </r>
  <r>
    <n v="1051"/>
    <x v="123"/>
    <s v="Ehab Ibrahim Hassan"/>
    <x v="1"/>
    <s v="Coating Inspector"/>
    <x v="0"/>
    <x v="6"/>
    <x v="1"/>
    <s v="Scaffold for mechanical repairs work was not up to TOTAL standard"/>
    <x v="2"/>
    <s v="Issue was raised to our HSE management who took immediate action by enforcing stop work"/>
    <m/>
    <m/>
    <m/>
    <m/>
    <s v="Invalid"/>
    <x v="0"/>
    <m/>
  </r>
  <r>
    <n v="1052"/>
    <x v="121"/>
    <s v="Ehab Ibrahim Hassan"/>
    <x v="1"/>
    <s v="Coating Inspector"/>
    <x v="0"/>
    <x v="0"/>
    <x v="5"/>
    <s v="Some technicians were performing cutting and grinding without wearing masks"/>
    <x v="1"/>
    <s v="Advised them to wear masks to avoid inhaling smoke or any air-born products during cutting and grinding jobs"/>
    <m/>
    <m/>
    <m/>
    <m/>
    <s v="Invalid"/>
    <x v="0"/>
    <m/>
  </r>
  <r>
    <n v="1053"/>
    <x v="118"/>
    <s v="Olivier Toupin"/>
    <x v="1"/>
    <s v="QC"/>
    <x v="1"/>
    <x v="2"/>
    <x v="1"/>
    <s v="NDT inspector working outside scaffolding"/>
    <x v="1"/>
    <s v="We talked with the worker to inform him that he shall request scaffolding modification or wear an harness"/>
    <m/>
    <m/>
    <m/>
    <m/>
    <s v="Invalid"/>
    <x v="0"/>
    <m/>
  </r>
  <r>
    <n v="1054"/>
    <x v="124"/>
    <s v="Olivier Toupin"/>
    <x v="1"/>
    <s v="QC"/>
    <x v="1"/>
    <x v="5"/>
    <x v="14"/>
    <s v="Truck driver driving in reverse while focused only on his mobile phone"/>
    <x v="1"/>
    <s v="We stopped the driver and talked to him_x000a_Reinforcement of PTJ HSE personnel"/>
    <m/>
    <m/>
    <m/>
    <m/>
    <s v="Invalid"/>
    <x v="0"/>
    <m/>
  </r>
  <r>
    <n v="1055"/>
    <x v="122"/>
    <s v="Malcolm Garrington"/>
    <x v="1"/>
    <s v="Project Manager"/>
    <x v="1"/>
    <x v="9"/>
    <x v="2"/>
    <s v="CPY noted that a PTJ workers was smoking and not wearing correct PPE while in the PTW/Hotwork area within outside area 4"/>
    <x v="1"/>
    <s v="CPY intervened and requested PTJ workers to stop smoking and correctly wear his PPE.  CPY also insisted that workers went to see the PTJ HSE for guidance and understanding of rules and procedures_x000a_PTJ supervision / management put the focus to how the PTJ workers do their business and coordinate a training session to mitigate against offenders breaking the set criteria"/>
    <m/>
    <m/>
    <m/>
    <m/>
    <s v="Invalid"/>
    <x v="0"/>
    <m/>
  </r>
  <r>
    <n v="1056"/>
    <x v="122"/>
    <s v="Malcolm Garrington"/>
    <x v="1"/>
    <s v="Project Manager"/>
    <x v="0"/>
    <x v="15"/>
    <x v="3"/>
    <s v="CPY noted that this workshop is in an extremely poor housekeeping condition"/>
    <x v="2"/>
    <s v="CPY advised HSE advisor who was near by_x000a_PTJ supervision / management to enforce their supervision to ensure good housekeeping is maintained.  Likewise for PTJ/TFMC HSE advisors to intervene and request PTJ to make working environment acceptable"/>
    <m/>
    <m/>
    <m/>
    <m/>
    <s v="Invalid"/>
    <x v="0"/>
    <m/>
  </r>
  <r>
    <n v="1057"/>
    <x v="125"/>
    <s v="Malcolm Garrington"/>
    <x v="1"/>
    <s v="Project Manager"/>
    <x v="0"/>
    <x v="17"/>
    <x v="1"/>
    <s v="CPY noted that a very dangerous scaffolding condition existed outside area 5 due to high winds. _x000a_Observations that scaffold tie-in-cup may have not been installed correctly and came loose due to fairly high winds"/>
    <x v="1"/>
    <s v="CPY immediately reached out to TFMC and HSE to rectify and make safe, which was completed_x000a_PTJ scaffolding supervision and/or scaffolding inspector to physically check the scaffold once it has been assembled.  We have just had a case in Maadia due to the same case (maybe) on lack of installation/assembly as per standard scaffolding methodologies"/>
    <m/>
    <m/>
    <m/>
    <m/>
    <s v="Invalid"/>
    <x v="0"/>
    <m/>
  </r>
  <r>
    <n v="1058"/>
    <x v="123"/>
    <s v="Abdelhady Ghalwash"/>
    <x v="2"/>
    <s v="HSE "/>
    <x v="1"/>
    <x v="9"/>
    <x v="1"/>
    <s v="A scaffolding technician was observed working at height without any fall protection measures, standing directly on a scaffold tube. This represents a serious fall hazard"/>
    <x v="1"/>
    <s v="The technician was immediately instructed to stop work. The safety team intervened, and the worker was provided with proper fall protection equipment. A toolbox talk was conducted to reinforce safe working-at-height practices_x000a_Ensure all workers working at height use appropriate fall protection systems at all times. Regularly monitor scaffolding activities and conduct refresher training sessions to prevent recurrence of such unsafe behaviors"/>
    <m/>
    <m/>
    <m/>
    <m/>
    <s v="Invalid"/>
    <x v="0"/>
    <m/>
  </r>
  <r>
    <n v="1059"/>
    <x v="121"/>
    <s v="Abdelhady Ghalwash"/>
    <x v="2"/>
    <s v="HSE "/>
    <x v="3"/>
    <x v="3"/>
    <x v="11"/>
    <s v="During lifting operations, warning tapes were properly placed around the lifting zone to prevent unauthorized personnel from entering"/>
    <x v="5"/>
    <m/>
    <m/>
    <m/>
    <m/>
    <m/>
    <s v="Invalid"/>
    <x v="1"/>
    <m/>
  </r>
  <r>
    <n v="1060"/>
    <x v="122"/>
    <s v="Abdelhady Ghalwash"/>
    <x v="2"/>
    <s v="HSE "/>
    <x v="0"/>
    <x v="9"/>
    <x v="1"/>
    <s v="An incomplete platform was observed on a scaffold located in Open Area 4, posing a significant fall hazard"/>
    <x v="3"/>
    <s v="Work in the area was immediately stopped, and the issue was reported to the scaffolding supervisor. The scaffold was tagged as unsafe and access was restricted until the platform was completed and inspected by a competent person"/>
    <m/>
    <m/>
    <m/>
    <m/>
    <s v="Invalid"/>
    <x v="0"/>
    <m/>
  </r>
  <r>
    <n v="1061"/>
    <x v="126"/>
    <s v="Abdelhady Ghalwash"/>
    <x v="2"/>
    <s v="HSE "/>
    <x v="0"/>
    <x v="9"/>
    <x v="0"/>
    <s v="A damaged electrical cable was observed on an angle grinder, posing a potential electrical hazard"/>
    <x v="1"/>
    <s v="The tool was immediately removed from the worksite to prevent use until proper maintenance and cable replacement are completed. The issue was reported to the maintenance team for corrective action"/>
    <m/>
    <m/>
    <m/>
    <m/>
    <s v="Invalid"/>
    <x v="0"/>
    <m/>
  </r>
  <r>
    <n v="1062"/>
    <x v="126"/>
    <s v="Mahmoud Elshahat"/>
    <x v="2"/>
    <s v="HSE "/>
    <x v="0"/>
    <x v="0"/>
    <x v="8"/>
    <s v="A hydraulic jack was being used in fabrication work without a valid calibration certificate"/>
    <x v="1"/>
    <s v="The jack was removed from the work area, and workers were instructed not to use it until a valid calibration certificate is provided"/>
    <m/>
    <m/>
    <m/>
    <m/>
    <s v="Invalid"/>
    <x v="0"/>
    <m/>
  </r>
  <r>
    <n v="1063"/>
    <x v="126"/>
    <s v="Mahmoud Elshahat"/>
    <x v="2"/>
    <s v="HSE "/>
    <x v="0"/>
    <x v="0"/>
    <x v="1"/>
    <s v="Unsafe wooden board was placed on a working platform and used by a welder, creating a fall hazard"/>
    <x v="1"/>
    <s v="The worker was stopped, and it was instructed to use only approved working platforms without any modifications"/>
    <m/>
    <m/>
    <m/>
    <m/>
    <s v="Invalid"/>
    <x v="0"/>
    <m/>
  </r>
  <r>
    <n v="1064"/>
    <x v="126"/>
    <s v="Mahmoud Elshahat"/>
    <x v="2"/>
    <s v="HSE "/>
    <x v="0"/>
    <x v="2"/>
    <x v="5"/>
    <s v="Poor cable management and housekeeping were observed inside the workshop, leading to potential tripping and electrical hazards"/>
    <x v="1"/>
    <s v="All electrical cables were arranged properly, and general housekeeping was carried out to"/>
    <m/>
    <m/>
    <m/>
    <m/>
    <s v="Invalid"/>
    <x v="0"/>
    <m/>
  </r>
  <r>
    <n v="1065"/>
    <x v="126"/>
    <s v="Mahmoud Elshahat"/>
    <x v="2"/>
    <s v="HSE "/>
    <x v="0"/>
    <x v="2"/>
    <x v="20"/>
    <s v="Flammable materials were found stored near the designated smoking area, posing fire hazard"/>
    <x v="1"/>
    <s v="All flammable materials were removed from the area, and the space was secured to ensure fire safety"/>
    <m/>
    <m/>
    <m/>
    <m/>
    <s v="Invalid"/>
    <x v="0"/>
    <m/>
  </r>
  <r>
    <n v="1066"/>
    <x v="123"/>
    <s v="Mahmoud samir"/>
    <x v="2"/>
    <s v="HSE "/>
    <x v="0"/>
    <x v="1"/>
    <x v="1"/>
    <s v="It was observed that a scaffold platform was incomplete but had a green tag attached"/>
    <x v="1"/>
    <s v="Scaffold-related activities were suspended, and HSE was informed to stop all work on the platform until it is re-inspected by a competent person"/>
    <m/>
    <m/>
    <m/>
    <m/>
    <s v="Invalid"/>
    <x v="0"/>
    <m/>
  </r>
  <r>
    <n v="1067"/>
    <x v="121"/>
    <s v="Mahmoud samir"/>
    <x v="2"/>
    <s v="HSE "/>
    <x v="0"/>
    <x v="7"/>
    <x v="8"/>
    <s v="It was observed that the frame was being lifted manually using a cavalet on uneven ground"/>
    <x v="3"/>
    <s v="Fabrication activities were stopped, and the frame was secured with a soft barrier placed around it until the lifting team takes the necessary action"/>
    <m/>
    <m/>
    <m/>
    <m/>
    <s v="Invalid"/>
    <x v="0"/>
    <m/>
  </r>
  <r>
    <n v="1068"/>
    <x v="125"/>
    <s v="Mahmoud samir"/>
    <x v="2"/>
    <s v="HSE "/>
    <x v="0"/>
    <x v="1"/>
    <x v="2"/>
    <s v="It was observed that a grinder was being used during hot work activities, and the worker's PPE was in unsafe condition"/>
    <x v="3"/>
    <s v="The hot work activity was stopped immediately. The worker was instructed to replace the damaged or inadequate PPE_x000a_HSE PTJ instructed that make site survey for PPE condition"/>
    <m/>
    <m/>
    <m/>
    <m/>
    <s v="Invalid"/>
    <x v="0"/>
    <m/>
  </r>
  <r>
    <n v="1069"/>
    <x v="126"/>
    <s v="Mahmoud samir"/>
    <x v="2"/>
    <s v="HSE "/>
    <x v="1"/>
    <x v="1"/>
    <x v="8"/>
    <s v="It was observed unsafe manual lifting by some grinders using tagline for lift the frame"/>
    <x v="1"/>
    <s v="Instruct the grinders to stop using taglines for manual lifting of the frame immediately and take disciplinary action with them"/>
    <m/>
    <m/>
    <m/>
    <m/>
    <s v="Invalid"/>
    <x v="0"/>
    <m/>
  </r>
  <r>
    <n v="1070"/>
    <x v="125"/>
    <s v="Mahmoud samir"/>
    <x v="2"/>
    <s v="HSE "/>
    <x v="0"/>
    <x v="1"/>
    <x v="1"/>
    <s v="It was observed that scaffold materials were stored unsafely in the workplace, and there is a damaged scaffold barrier"/>
    <x v="3"/>
    <s v="Stop the activities and the materials were reorganized and scaffold team make re inspection for scaffold barrier"/>
    <m/>
    <m/>
    <m/>
    <m/>
    <s v="Invalid"/>
    <x v="0"/>
    <m/>
  </r>
  <r>
    <n v="1071"/>
    <x v="127"/>
    <s v="Ehab Ibrahim Hassan"/>
    <x v="1"/>
    <s v="Coating Inspector"/>
    <x v="0"/>
    <x v="6"/>
    <x v="21"/>
    <s v="With the noticeable rise of temp during the last 2 days, there was no electrolyte drink seen in the site"/>
    <x v="2"/>
    <s v="I brought the issue to the attention of PTJ in charge, that they have to provide the technicians with electrolyte drink. People were advised with drinking lots of water as well. "/>
    <s v="The yard supervisor promised to take action and request the logistics to supply the site with the proper drinks. "/>
    <m/>
    <m/>
    <m/>
    <s v="Invalid"/>
    <x v="0"/>
    <m/>
  </r>
  <r>
    <n v="1072"/>
    <x v="128"/>
    <s v="Ehab Ibrahim Hassan"/>
    <x v="1"/>
    <s v="Coating Inspector"/>
    <x v="0"/>
    <x v="6"/>
    <x v="2"/>
    <s v="Some technicians (#2) wearing torn safety shoes."/>
    <x v="1"/>
    <s v="They were asked to leave the yard immediately until they wear proper ones"/>
    <s v="Issue to be highlighted in the subcontractor pre-job TBT."/>
    <m/>
    <m/>
    <m/>
    <s v="Invalid"/>
    <x v="0"/>
    <m/>
  </r>
  <r>
    <n v="1073"/>
    <x v="127"/>
    <s v="Malcolm Garrington"/>
    <x v="1"/>
    <s v="Project Manager"/>
    <x v="0"/>
    <x v="7"/>
    <x v="8"/>
    <s v="CPY noted that during a (ready to go) lifting operation at outside work area #2 it was observed that PTJ HSE and TFMC had approved the lifting operation of a 14mT structural load with lifting shackles being of two (2) different colours. _x000a__x000a_CPY has reraised this concern on several occasions to ensure PTJ/TFMC have only one (1) lifting colour on rigging equipment."/>
    <x v="3"/>
    <s v="CPY immediately intervened and held site discussion whereas PTJ HSE Manager agreed this was not per procedure. CPY discussed with TFMC HSE and PTJ Construction Manager to ensure PTJ Rigging Supervisor is accountable. "/>
    <s v="PTJ rigging supervision / lifting specialist to complete a full lifting equipment audit and share to TFM that PTJ have completed their due diligence and continuous compliance to safety / rigging/lifting procedure(s). "/>
    <m/>
    <m/>
    <m/>
    <s v="Invalid"/>
    <x v="0"/>
    <m/>
  </r>
  <r>
    <n v="1074"/>
    <x v="127"/>
    <s v="Malcolm Garrington"/>
    <x v="1"/>
    <s v="Project Manager"/>
    <x v="0"/>
    <x v="2"/>
    <x v="8"/>
    <s v="CPY noted that during a lifting operation at workshop #2 it was observed that PTJ Banksman was giving signals to the crane (correct procedure) however the tag line person who was wearing a banksmen yellow jacket was performing hand signals to the crane driver at the same time. _x000a__x000a_Additionally, what was concerning as well was the arrival of the PTJ rigging supervisor who also was given hand signals to the lifting assigned banksmen.  This is completely in none compliance with correct lifting operations whereas 2 additional persons giving instructions to the crane banksmen."/>
    <x v="2"/>
    <m/>
    <s v="PTJ rigging supervision / lifting specialist to reinforce the correct communications and advise why this occurs on several occasions."/>
    <m/>
    <m/>
    <m/>
    <s v="Invalid"/>
    <x v="0"/>
    <m/>
  </r>
  <r>
    <n v="1075"/>
    <x v="129"/>
    <s v="Lance Pretorius"/>
    <x v="1"/>
    <s v="HSE "/>
    <x v="3"/>
    <x v="8"/>
    <x v="5"/>
    <s v="Observed a worker using the correct tool to remove a grinding disc from his 9” grinder – safe act conducted"/>
    <x v="5"/>
    <s v="Encouraged the worker to ensure continued focus on safe tool practices"/>
    <m/>
    <m/>
    <m/>
    <m/>
    <s v="Invalid"/>
    <x v="1"/>
    <m/>
  </r>
  <r>
    <n v="1076"/>
    <x v="129"/>
    <s v="Lance Pretorius"/>
    <x v="1"/>
    <s v="HSE "/>
    <x v="3"/>
    <x v="2"/>
    <x v="2"/>
    <s v="It has been observed that the workers in WS#2 area are wearing the required PPE"/>
    <x v="5"/>
    <s v="Encouraged the team to ensure continued focus on the correct use of PPE"/>
    <m/>
    <m/>
    <m/>
    <m/>
    <s v="Invalid"/>
    <x v="1"/>
    <m/>
  </r>
  <r>
    <n v="1077"/>
    <x v="128"/>
    <s v="Lance Pretorius"/>
    <x v="1"/>
    <s v="HSE "/>
    <x v="1"/>
    <x v="2"/>
    <x v="2"/>
    <s v="Observed a worker not wearing his safety gloves whilst shifting small steel components"/>
    <x v="1"/>
    <s v="Suspended the activity to ensure the worker wore his correct safety gloves and tutored him on the importance of wearing his PPE at all times – together with TFMC/PTJ HSE Advisor of the area "/>
    <s v="Ensure both PTJ/TFMC are aware of safe PPE usage"/>
    <m/>
    <m/>
    <m/>
    <s v="Invalid"/>
    <x v="0"/>
    <m/>
  </r>
  <r>
    <n v="1078"/>
    <x v="128"/>
    <s v="Lance Pretorius"/>
    <x v="1"/>
    <s v="HSE "/>
    <x v="0"/>
    <x v="3"/>
    <x v="7"/>
    <s v="Observed a workers safety helmets flying off in high wind conditions"/>
    <x v="2"/>
    <m/>
    <s v="raised SHOC Card for TFMS/PTJ awareness to instruct workers to use helmet strap"/>
    <m/>
    <m/>
    <m/>
    <s v="Invalid"/>
    <x v="0"/>
    <m/>
  </r>
  <r>
    <n v="1079"/>
    <x v="124"/>
    <s v="Mahmoud samir"/>
    <x v="2"/>
    <s v="HSE "/>
    <x v="3"/>
    <x v="7"/>
    <x v="8"/>
    <s v="It has been observed that the Rigger Supervisor conducted a good toolbox talk with his team, facilitated a productive discussion, and also checked the condition of the PPE"/>
    <x v="5"/>
    <s v="The good supervision was appreciated, and the supervisor was encouraged to keep up the excellent work"/>
    <m/>
    <m/>
    <m/>
    <m/>
    <s v="Invalid"/>
    <x v="1"/>
    <m/>
  </r>
  <r>
    <n v="1080"/>
    <x v="122"/>
    <s v="Abdelhady Ghalwash"/>
    <x v="2"/>
    <s v="HSE "/>
    <x v="2"/>
    <x v="3"/>
    <x v="3"/>
    <s v="Good housekeeping, cable management, and materials management were observed in the sandblasting and painting area"/>
    <x v="5"/>
    <m/>
    <m/>
    <m/>
    <m/>
    <m/>
    <s v="Invalid"/>
    <x v="1"/>
    <m/>
  </r>
  <r>
    <n v="1081"/>
    <x v="126"/>
    <s v="Mahmoud Elshahat"/>
    <x v="2"/>
    <s v="HSE "/>
    <x v="1"/>
    <x v="2"/>
    <x v="5"/>
    <s v="A welder was observed performing hot work without wearing a welding apron and thermal gloves, exposing himself to burns and injury"/>
    <x v="1"/>
    <s v="A safety briefing was held for all workers involved in hot work to stress the mandatory use of PPE, including welding aprons and thermal gloves, to comply with safety standards and reduce injury risk"/>
    <m/>
    <m/>
    <m/>
    <m/>
    <s v="Invalid"/>
    <x v="0"/>
    <m/>
  </r>
  <r>
    <n v="1082"/>
    <x v="128"/>
    <s v="Mohamed Barakat"/>
    <x v="2"/>
    <s v="QC"/>
    <x v="0"/>
    <x v="0"/>
    <x v="4"/>
    <s v="Due to high wind speed, the main gate of Workshop-1 has been displaced from its original position and is currently not properly fixed or supported. Kindly take the necessary action to secure and repair it as soon as possible to ensure safety and avoid further damage"/>
    <x v="2"/>
    <s v="I was informed the concerned department (construction Department)"/>
    <m/>
    <m/>
    <m/>
    <m/>
    <s v="Invalid"/>
    <x v="0"/>
    <m/>
  </r>
  <r>
    <n v="1083"/>
    <x v="130"/>
    <s v="Mahmoud Nasr"/>
    <x v="2"/>
    <s v="HSE "/>
    <x v="1"/>
    <x v="6"/>
    <x v="2"/>
    <s v="I have observed the workers without required PPE while the work procced"/>
    <x v="2"/>
    <s v="Inform HSE PTJ to take action with this issue and stop repeat it again."/>
    <m/>
    <m/>
    <m/>
    <m/>
    <s v="Invalid"/>
    <x v="0"/>
    <m/>
  </r>
  <r>
    <n v="1084"/>
    <x v="131"/>
    <s v="Mahmoud Nasr"/>
    <x v="2"/>
    <s v="HSE "/>
    <x v="0"/>
    <x v="6"/>
    <x v="0"/>
    <s v="I have observed the frame and stand for welding machines without earthing , And the door for electrical panel not fixed"/>
    <x v="2"/>
    <s v="Inform HSE PTJ to take action with this issue and isolate the electrical panel and stope working until fix the earthing for stand and the frame"/>
    <m/>
    <m/>
    <m/>
    <m/>
    <s v="Invalid"/>
    <x v="0"/>
    <m/>
  </r>
  <r>
    <n v="1085"/>
    <x v="129"/>
    <s v="Mahmoud Nasr"/>
    <x v="2"/>
    <s v="HSE "/>
    <x v="0"/>
    <x v="18"/>
    <x v="3"/>
    <s v="I have observed piping without safe securing , unclear accessway and poor cable management"/>
    <x v="2"/>
    <s v="Inform HSE PTJ to stop the work and rearrange this situation immediately"/>
    <m/>
    <m/>
    <m/>
    <m/>
    <s v="Invalid"/>
    <x v="0"/>
    <m/>
  </r>
  <r>
    <n v="1086"/>
    <x v="128"/>
    <s v="Mahmoud Nasr"/>
    <x v="2"/>
    <s v="HSE "/>
    <x v="0"/>
    <x v="6"/>
    <x v="7"/>
    <s v="I have observed blending painting without using dip tray and that unsafe for the environmental"/>
    <x v="2"/>
    <s v="Inform HSE PTJ to take action work and rearrange this situation immediately."/>
    <m/>
    <m/>
    <m/>
    <m/>
    <s v="Invalid"/>
    <x v="0"/>
    <m/>
  </r>
  <r>
    <n v="1087"/>
    <x v="128"/>
    <s v="Mahmoud Nasr"/>
    <x v="2"/>
    <s v="HSE "/>
    <x v="0"/>
    <x v="3"/>
    <x v="5"/>
    <s v="I have observed the position for work unsafe for using angle grinder"/>
    <x v="2"/>
    <s v="Inform HSE PTJ to take action work and rearrange this situation immediately."/>
    <m/>
    <m/>
    <m/>
    <m/>
    <s v="Invalid"/>
    <x v="0"/>
    <m/>
  </r>
  <r>
    <n v="1088"/>
    <x v="132"/>
    <s v="Mahmoud Nasr"/>
    <x v="2"/>
    <s v="HSE "/>
    <x v="0"/>
    <x v="3"/>
    <x v="4"/>
    <s v="I have observed the supports for frame uncomplete the welding for support as mention on the supports design"/>
    <x v="2"/>
    <s v="Inform HSE PTJ to stop the work on this frame and rearrange this situation _x000a_immediately"/>
    <m/>
    <m/>
    <m/>
    <m/>
    <s v="Invalid"/>
    <x v="0"/>
    <m/>
  </r>
  <r>
    <n v="1089"/>
    <x v="133"/>
    <s v="Ibrahim Hamed"/>
    <x v="0"/>
    <s v="HSE "/>
    <x v="2"/>
    <x v="1"/>
    <x v="8"/>
    <s v="good handling / material storage "/>
    <x v="5"/>
    <s v="Appreciate the good job."/>
    <m/>
    <m/>
    <m/>
    <m/>
    <s v="Invalid"/>
    <x v="1"/>
    <m/>
  </r>
  <r>
    <n v="1090"/>
    <x v="108"/>
    <s v="Mohamed Abdallah"/>
    <x v="0"/>
    <s v="HSE "/>
    <x v="1"/>
    <x v="3"/>
    <x v="2"/>
    <s v="Worker was using grinding motor without any face protection"/>
    <x v="0"/>
    <s v="Stopped him to wear full ppe"/>
    <m/>
    <m/>
    <m/>
    <m/>
    <s v="Invalid"/>
    <x v="0"/>
    <m/>
  </r>
  <r>
    <n v="1091"/>
    <x v="108"/>
    <s v="Omar Elmokhtar"/>
    <x v="0"/>
    <s v="Fitter"/>
    <x v="1"/>
    <x v="9"/>
    <x v="8"/>
    <s v="observed a worker transporting an electric panel without any assisstance"/>
    <x v="0"/>
    <s v="Stopped him and called another worker to help him carrying the panel "/>
    <m/>
    <m/>
    <m/>
    <m/>
    <s v="Invalid"/>
    <x v="0"/>
    <m/>
  </r>
  <r>
    <n v="1092"/>
    <x v="110"/>
    <s v="Ahmed Maher"/>
    <x v="0"/>
    <s v="HSE "/>
    <x v="0"/>
    <x v="7"/>
    <x v="8"/>
    <s v="Observed  a crane hook without colorcode."/>
    <x v="0"/>
    <s v="Asked the supervisor to put the required colorcode based on the hook condition and certificate."/>
    <m/>
    <m/>
    <m/>
    <m/>
    <s v="Invalid"/>
    <x v="0"/>
    <m/>
  </r>
  <r>
    <n v="1093"/>
    <x v="133"/>
    <s v="Mohamed Abdallah"/>
    <x v="0"/>
    <s v="HSE "/>
    <x v="0"/>
    <x v="1"/>
    <x v="0"/>
    <s v="Electric cables were running through a scaffolding structure"/>
    <x v="1"/>
    <s v=" the welders  removed the cables away."/>
    <m/>
    <m/>
    <m/>
    <m/>
    <s v="Invalid"/>
    <x v="0"/>
    <m/>
  </r>
  <r>
    <n v="1094"/>
    <x v="107"/>
    <s v="Ibrahim Hamed"/>
    <x v="0"/>
    <s v="HSE "/>
    <x v="0"/>
    <x v="3"/>
    <x v="5"/>
    <s v="using wooden support in grinding operation"/>
    <x v="0"/>
    <s v="Wooden supports were removed and replaced"/>
    <m/>
    <m/>
    <m/>
    <m/>
    <s v="Invalid"/>
    <x v="0"/>
    <m/>
  </r>
  <r>
    <n v="1095"/>
    <x v="110"/>
    <s v="Ahmed Maher"/>
    <x v="0"/>
    <s v="HSE "/>
    <x v="2"/>
    <x v="9"/>
    <x v="5"/>
    <s v=" Grinder make sure that all welders are away before  grinding,"/>
    <x v="5"/>
    <s v="encourage workers to keep up good standard "/>
    <m/>
    <m/>
    <m/>
    <m/>
    <s v="Invalid"/>
    <x v="1"/>
    <m/>
  </r>
  <r>
    <n v="1096"/>
    <x v="108"/>
    <s v="Mohamed Abdallah"/>
    <x v="0"/>
    <s v="HSE "/>
    <x v="1"/>
    <x v="7"/>
    <x v="18"/>
    <s v="observed a fitter using improper hammering tools"/>
    <x v="1"/>
    <s v="stopped him immediately, inform the sup to instruct the workers to use proper tools ."/>
    <m/>
    <m/>
    <m/>
    <m/>
    <s v="Invalid"/>
    <x v="0"/>
    <m/>
  </r>
  <r>
    <n v="1097"/>
    <x v="133"/>
    <s v="Ibrahim Hamed"/>
    <x v="0"/>
    <s v="HSE "/>
    <x v="1"/>
    <x v="1"/>
    <x v="18"/>
    <s v="one grinder was grinding by cutting desk"/>
    <x v="3"/>
    <s v="stopped him to change the grinding disk to prevent disk breaking "/>
    <m/>
    <m/>
    <m/>
    <m/>
    <s v="Invalid"/>
    <x v="0"/>
    <m/>
  </r>
  <r>
    <n v="1098"/>
    <x v="107"/>
    <s v="Ahmed Maher"/>
    <x v="0"/>
    <s v="HSE "/>
    <x v="0"/>
    <x v="3"/>
    <x v="0"/>
    <s v="Electric cables were running through a scaffolding structure."/>
    <x v="0"/>
    <s v="Inform PTJ HSE Officer and he informed the welders to remove the cables away and carry out proper cable management "/>
    <m/>
    <m/>
    <m/>
    <m/>
    <s v="Invalid"/>
    <x v="0"/>
    <m/>
  </r>
  <r>
    <n v="1099"/>
    <x v="110"/>
    <s v="Mohamed Abdallah"/>
    <x v="0"/>
    <s v="HSE "/>
    <x v="0"/>
    <x v="9"/>
    <x v="18"/>
    <s v="observed that  wrong  replacing method of  grinding disk."/>
    <x v="0"/>
    <s v="Instructed the Grinders to use dedicaded tool  for changing grinding disks"/>
    <m/>
    <m/>
    <m/>
    <m/>
    <s v="Invalid"/>
    <x v="0"/>
    <m/>
  </r>
  <r>
    <n v="1100"/>
    <x v="108"/>
    <s v="Ibrahim Hamed"/>
    <x v="0"/>
    <s v="HSE "/>
    <x v="0"/>
    <x v="7"/>
    <x v="3"/>
    <s v="some scrap Was found  on the ground causing some  tripping hazard "/>
    <x v="0"/>
    <s v="The supervisor was informed and removed immediately."/>
    <m/>
    <m/>
    <m/>
    <m/>
    <s v="Invalid"/>
    <x v="0"/>
    <m/>
  </r>
  <r>
    <n v="1101"/>
    <x v="108"/>
    <s v="Mohamed Abdallah"/>
    <x v="0"/>
    <s v="HSE "/>
    <x v="0"/>
    <x v="1"/>
    <x v="8"/>
    <s v="During a lifting operation, a rigger was using his cell phone wihile holding the tagline."/>
    <x v="0"/>
    <s v="Immediately stopped him and instruct him not to use his cell phone during operation or in Working site ."/>
    <m/>
    <m/>
    <m/>
    <m/>
    <s v="Invalid"/>
    <x v="0"/>
    <m/>
  </r>
  <r>
    <n v="1102"/>
    <x v="107"/>
    <s v="Ibrahim Hamed"/>
    <x v="0"/>
    <s v="HSE "/>
    <x v="2"/>
    <x v="3"/>
    <x v="8"/>
    <s v="banks man guide the fork lift operator as required "/>
    <x v="5"/>
    <s v="Appreciate the good work"/>
    <m/>
    <m/>
    <m/>
    <m/>
    <s v="Invalid"/>
    <x v="1"/>
    <m/>
  </r>
  <r>
    <n v="1103"/>
    <x v="108"/>
    <s v="Ibrahim Hamed"/>
    <x v="0"/>
    <s v="HSE "/>
    <x v="1"/>
    <x v="9"/>
    <x v="2"/>
    <s v="One of the workers working without wearing glasses"/>
    <x v="0"/>
    <s v="He was stoped  from work and instructed to wear"/>
    <m/>
    <m/>
    <m/>
    <m/>
    <s v="Invalid"/>
    <x v="0"/>
    <m/>
  </r>
  <r>
    <n v="1104"/>
    <x v="108"/>
    <s v="Mohamed Abdallah"/>
    <x v="0"/>
    <s v="HSE "/>
    <x v="0"/>
    <x v="7"/>
    <x v="0"/>
    <s v="Electrical cable in bad condition."/>
    <x v="0"/>
    <s v="Cable to be replaced as an immediate action. Ensure good housekeeping and cable management in the area."/>
    <m/>
    <m/>
    <m/>
    <m/>
    <s v="Invalid"/>
    <x v="0"/>
    <m/>
  </r>
  <r>
    <n v="1105"/>
    <x v="133"/>
    <s v="Ahmed Maher"/>
    <x v="0"/>
    <s v="HSE "/>
    <x v="0"/>
    <x v="1"/>
    <x v="3"/>
    <s v="many cables welding machines laid on the floor unorganized which could lead to the tripping hazard."/>
    <x v="3"/>
    <s v="Work stopped, HSE officer was informed and supervised the condition"/>
    <m/>
    <m/>
    <m/>
    <m/>
    <s v="Invalid"/>
    <x v="0"/>
    <m/>
  </r>
  <r>
    <n v="1106"/>
    <x v="110"/>
    <s v="Ahmed Maher"/>
    <x v="0"/>
    <s v="HSE "/>
    <x v="0"/>
    <x v="3"/>
    <x v="0"/>
    <s v="It has been observed that many electrical plugs with out plastic cover"/>
    <x v="0"/>
    <s v=" change the plugs with proper plugs with cover"/>
    <m/>
    <m/>
    <m/>
    <m/>
    <s v="Invalid"/>
    <x v="0"/>
    <m/>
  </r>
  <r>
    <n v="1107"/>
    <x v="110"/>
    <s v="Mohamed Abdallah"/>
    <x v="0"/>
    <s v="HSE "/>
    <x v="0"/>
    <x v="9"/>
    <x v="3"/>
    <s v="observed scrap box was full"/>
    <x v="1"/>
    <s v="informed the sup to keep it empty "/>
    <m/>
    <m/>
    <m/>
    <m/>
    <s v="Invalid"/>
    <x v="0"/>
    <m/>
  </r>
  <r>
    <n v="1108"/>
    <x v="108"/>
    <s v="Ibrahim Hamed"/>
    <x v="0"/>
    <s v="HSE "/>
    <x v="0"/>
    <x v="7"/>
    <x v="3"/>
    <s v="observed improper housekeeping "/>
    <x v="0"/>
    <s v="housekeeping has been done"/>
    <m/>
    <m/>
    <m/>
    <m/>
    <s v="Invalid"/>
    <x v="0"/>
    <m/>
  </r>
  <r>
    <n v="1109"/>
    <x v="107"/>
    <s v="Ahmed Maher"/>
    <x v="0"/>
    <s v="HSE "/>
    <x v="0"/>
    <x v="1"/>
    <x v="3"/>
    <s v="Observed poor welding cable management"/>
    <x v="0"/>
    <s v="proper cable management was done"/>
    <m/>
    <m/>
    <m/>
    <m/>
    <s v="Invalid"/>
    <x v="0"/>
    <m/>
  </r>
  <r>
    <n v="1110"/>
    <x v="110"/>
    <s v="Omar Elmokhtar"/>
    <x v="0"/>
    <s v="Fitter"/>
    <x v="2"/>
    <x v="3"/>
    <x v="2"/>
    <s v="grinder work with full PPE  "/>
    <x v="5"/>
    <s v="Appreciate the good job."/>
    <m/>
    <m/>
    <m/>
    <m/>
    <s v="Invalid"/>
    <x v="1"/>
    <m/>
  </r>
  <r>
    <n v="1111"/>
    <x v="133"/>
    <s v="Ibrahim Hamed"/>
    <x v="0"/>
    <s v="HSE "/>
    <x v="1"/>
    <x v="9"/>
    <x v="2"/>
    <s v="Observed a grinder working without his Leather sleeves "/>
    <x v="3"/>
    <s v="Stopped him and let him wear his it immediately."/>
    <m/>
    <m/>
    <m/>
    <m/>
    <s v="Invalid"/>
    <x v="0"/>
    <m/>
  </r>
  <r>
    <n v="1112"/>
    <x v="107"/>
    <s v="Omar Elmokhtar"/>
    <x v="0"/>
    <s v="Fitter"/>
    <x v="0"/>
    <x v="7"/>
    <x v="5"/>
    <s v="oxygen and acetlyene hoses were near hot surface during cutting stell plates"/>
    <x v="1"/>
    <s v="Job stopped , hoses were secured away from the hot surfaces"/>
    <m/>
    <m/>
    <m/>
    <m/>
    <s v="Invalid"/>
    <x v="0"/>
    <m/>
  </r>
  <r>
    <n v="1113"/>
    <x v="108"/>
    <s v="Ibrahim Hamed"/>
    <x v="0"/>
    <s v="HSE "/>
    <x v="0"/>
    <x v="1"/>
    <x v="0"/>
    <s v="Unsafe earthing connection was found in the area."/>
    <x v="0"/>
    <s v="the connection was safely repaired by clamp"/>
    <m/>
    <m/>
    <m/>
    <m/>
    <s v="Invalid"/>
    <x v="0"/>
    <m/>
  </r>
  <r>
    <n v="1114"/>
    <x v="107"/>
    <s v="Ibrahim Hamed"/>
    <x v="0"/>
    <s v="HSE "/>
    <x v="0"/>
    <x v="3"/>
    <x v="8"/>
    <s v="Chain hoist without safety latch"/>
    <x v="0"/>
    <s v="It was removed from work area and identified it with red color code"/>
    <m/>
    <m/>
    <m/>
    <m/>
    <s v="Invalid"/>
    <x v="0"/>
    <m/>
  </r>
  <r>
    <n v="1115"/>
    <x v="108"/>
    <s v="Mohamed Abdallah"/>
    <x v="0"/>
    <s v="HSE "/>
    <x v="0"/>
    <x v="9"/>
    <x v="18"/>
    <s v="Grinding machine with broken cover "/>
    <x v="1"/>
    <s v="Grinding supervisor replaced the cover"/>
    <m/>
    <m/>
    <m/>
    <m/>
    <s v="Invalid"/>
    <x v="0"/>
    <m/>
  </r>
  <r>
    <n v="1116"/>
    <x v="107"/>
    <s v="Ahmed Maher"/>
    <x v="0"/>
    <s v="HSE "/>
    <x v="0"/>
    <x v="7"/>
    <x v="3"/>
    <s v="Observed electrical Cable for welding cabinet may lead to tripping hazard"/>
    <x v="0"/>
    <s v="Relocated the welding cabinet very close to  the main electrical panel."/>
    <m/>
    <m/>
    <m/>
    <m/>
    <s v="Invalid"/>
    <x v="0"/>
    <m/>
  </r>
  <r>
    <n v="1117"/>
    <x v="110"/>
    <s v="Ahmed Maher"/>
    <x v="0"/>
    <s v="HSE "/>
    <x v="0"/>
    <x v="1"/>
    <x v="3"/>
    <s v="Improper storage of material in the work area lead to poor access"/>
    <x v="1"/>
    <s v="Removed the material to the dedicated storage area."/>
    <m/>
    <m/>
    <m/>
    <m/>
    <s v="Invalid"/>
    <x v="0"/>
    <m/>
  </r>
  <r>
    <n v="1118"/>
    <x v="133"/>
    <s v="Mohamed Abdallah"/>
    <x v="0"/>
    <s v="HSE "/>
    <x v="0"/>
    <x v="3"/>
    <x v="5"/>
    <s v="observed grinder was working , grinding machine spark was toward gas bottle hoses may lead to Fire Hazard "/>
    <x v="0"/>
    <s v="instructed him to focus all the time to the direction of spark to be away from workers, electric panels , cables , gas bottles"/>
    <m/>
    <m/>
    <m/>
    <m/>
    <s v="Invalid"/>
    <x v="0"/>
    <m/>
  </r>
  <r>
    <n v="1119"/>
    <x v="107"/>
    <s v="Ibrahim Hamed"/>
    <x v="0"/>
    <s v="HSE "/>
    <x v="0"/>
    <x v="9"/>
    <x v="1"/>
    <s v="observed The Scaffolding ladder was not fixed well"/>
    <x v="0"/>
    <s v="stopped work and inform the sup of area to fixed it and check all scaffold in the site work"/>
    <m/>
    <m/>
    <m/>
    <m/>
    <s v="Invalid"/>
    <x v="0"/>
    <s v="Environmental"/>
  </r>
  <r>
    <n v="1120"/>
    <x v="110"/>
    <s v="Mohamed Abdallah"/>
    <x v="0"/>
    <s v="HSE "/>
    <x v="2"/>
    <x v="7"/>
    <x v="5"/>
    <s v="Flash back arrestors are installed as required,"/>
    <x v="5"/>
    <s v="Appreciate the good job."/>
    <m/>
    <m/>
    <m/>
    <m/>
    <s v="Invalid"/>
    <x v="1"/>
    <m/>
  </r>
  <r>
    <n v="1121"/>
    <x v="109"/>
    <s v="Mostafa Abdelgany"/>
    <x v="0"/>
    <s v="HSE "/>
    <x v="0"/>
    <x v="7"/>
    <x v="10"/>
    <s v="The barricade around our area have some gaps "/>
    <x v="1"/>
    <s v="Notify the scaffolder supervisor  to complete the barricade"/>
    <m/>
    <m/>
    <m/>
    <m/>
    <s v="Invalid"/>
    <x v="0"/>
    <m/>
  </r>
  <r>
    <n v="1122"/>
    <x v="112"/>
    <s v="Omar Ahmed Omar"/>
    <x v="0"/>
    <s v="HSE "/>
    <x v="0"/>
    <x v="9"/>
    <x v="3"/>
    <s v="observed scaffolding material scattered on the working area without arrangement"/>
    <x v="0"/>
    <s v="materials has been arranged  "/>
    <m/>
    <m/>
    <m/>
    <m/>
    <s v="Invalid"/>
    <x v="0"/>
    <m/>
  </r>
  <r>
    <n v="1123"/>
    <x v="113"/>
    <s v="Mostafa Abdelgany"/>
    <x v="0"/>
    <s v="HSE "/>
    <x v="0"/>
    <x v="1"/>
    <x v="0"/>
    <s v="Observed poor welding cables management"/>
    <x v="0"/>
    <s v="proper cable management was done"/>
    <m/>
    <m/>
    <m/>
    <m/>
    <s v="Invalid"/>
    <x v="0"/>
    <m/>
  </r>
  <r>
    <n v="1124"/>
    <x v="116"/>
    <s v="Ahmed ibrahim"/>
    <x v="0"/>
    <s v="HSE "/>
    <x v="0"/>
    <x v="3"/>
    <x v="5"/>
    <s v="gas cylinder without protection cap "/>
    <x v="0"/>
    <s v="telling to Welding Sup and he put cap on it "/>
    <m/>
    <m/>
    <m/>
    <m/>
    <s v="Invalid"/>
    <x v="0"/>
    <m/>
  </r>
  <r>
    <n v="1125"/>
    <x v="120"/>
    <s v="Ibrahim Hamed"/>
    <x v="0"/>
    <s v="HSE "/>
    <x v="0"/>
    <x v="1"/>
    <x v="0"/>
    <s v="It has been observed that there some welding cables are damaged"/>
    <x v="3"/>
    <s v="inform welding supervisor to change the damaged cables."/>
    <m/>
    <m/>
    <m/>
    <m/>
    <s v="Invalid"/>
    <x v="0"/>
    <m/>
  </r>
  <r>
    <n v="1126"/>
    <x v="117"/>
    <s v="Omar Ahmed Omar"/>
    <x v="0"/>
    <s v="HSE "/>
    <x v="0"/>
    <x v="7"/>
    <x v="3"/>
    <s v="Observed poor House keeping and improper material arrangement "/>
    <x v="0"/>
    <s v="materials has been arranged  "/>
    <m/>
    <m/>
    <m/>
    <m/>
    <s v="Invalid"/>
    <x v="0"/>
    <m/>
  </r>
  <r>
    <n v="1127"/>
    <x v="115"/>
    <s v="Hamdy Ahmed"/>
    <x v="0"/>
    <s v="HSE "/>
    <x v="0"/>
    <x v="5"/>
    <x v="5"/>
    <s v="Propane gauge wasnot working well"/>
    <x v="0"/>
    <s v="Informmed worker and sup to replace it , They  replaced it "/>
    <m/>
    <m/>
    <m/>
    <m/>
    <s v="Invalid"/>
    <x v="0"/>
    <m/>
  </r>
  <r>
    <n v="1128"/>
    <x v="114"/>
    <s v="Ahmed ibrahim"/>
    <x v="0"/>
    <s v="HSE "/>
    <x v="0"/>
    <x v="0"/>
    <x v="3"/>
    <s v="scaffolding material in the access"/>
    <x v="0"/>
    <s v="ask the scaffolding sup to clean the acces"/>
    <m/>
    <m/>
    <m/>
    <m/>
    <s v="Invalid"/>
    <x v="0"/>
    <m/>
  </r>
  <r>
    <n v="1129"/>
    <x v="118"/>
    <s v="Mostafa Abdelgany"/>
    <x v="0"/>
    <s v="HSE "/>
    <x v="0"/>
    <x v="4"/>
    <x v="8"/>
    <s v="While site inspection it was observed that one of the soft slings has minor sign of damage"/>
    <x v="3"/>
    <s v="Asked the rigging supervisor to change the sling and he did,"/>
    <m/>
    <m/>
    <m/>
    <m/>
    <s v="Invalid"/>
    <x v="0"/>
    <m/>
  </r>
  <r>
    <n v="1130"/>
    <x v="123"/>
    <s v="Kareem Ehab"/>
    <x v="0"/>
    <s v="Welding Sup"/>
    <x v="0"/>
    <x v="9"/>
    <x v="0"/>
    <s v="Cabels were found in bad condition"/>
    <x v="0"/>
    <s v="Cabel management was conducted"/>
    <m/>
    <m/>
    <m/>
    <m/>
    <s v="Invalid"/>
    <x v="0"/>
    <m/>
  </r>
  <r>
    <n v="1131"/>
    <x v="121"/>
    <s v="Mahmoud Abdelnaser"/>
    <x v="0"/>
    <s v="HSE "/>
    <x v="0"/>
    <x v="2"/>
    <x v="1"/>
    <s v="Scaffold was having open spots not covered by timber boards creating a falling hazards."/>
    <x v="3"/>
    <s v="openings were protected by timber boards"/>
    <m/>
    <m/>
    <m/>
    <m/>
    <s v="Invalid"/>
    <x v="0"/>
    <m/>
  </r>
  <r>
    <n v="1132"/>
    <x v="122"/>
    <s v="Hassan said "/>
    <x v="0"/>
    <s v="HSE "/>
    <x v="0"/>
    <x v="7"/>
    <x v="3"/>
    <s v="Observed pipes and beams which are blocked the access ways "/>
    <x v="0"/>
    <s v="Informed Lifting sup, he removed it immediately"/>
    <m/>
    <m/>
    <m/>
    <m/>
    <s v="Invalid"/>
    <x v="0"/>
    <m/>
  </r>
  <r>
    <n v="1133"/>
    <x v="125"/>
    <s v="Kareem Ehab"/>
    <x v="0"/>
    <s v="Welding Sup"/>
    <x v="0"/>
    <x v="9"/>
    <x v="0"/>
    <s v="Observed damaged cable for portable electrical panel"/>
    <x v="3"/>
    <s v="Replaced the portable electrical panel"/>
    <m/>
    <m/>
    <m/>
    <m/>
    <s v="Invalid"/>
    <x v="0"/>
    <m/>
  </r>
  <r>
    <n v="1134"/>
    <x v="126"/>
    <s v="Mohamed Abdallah"/>
    <x v="0"/>
    <s v="HSE "/>
    <x v="0"/>
    <x v="1"/>
    <x v="3"/>
    <s v="some scarb need to be reomved "/>
    <x v="0"/>
    <s v="informed Riiging sup and he removed scrap"/>
    <m/>
    <m/>
    <m/>
    <m/>
    <s v="Invalid"/>
    <x v="0"/>
    <m/>
  </r>
  <r>
    <n v="1135"/>
    <x v="124"/>
    <s v="Hassan said "/>
    <x v="0"/>
    <s v="HSE "/>
    <x v="0"/>
    <x v="3"/>
    <x v="3"/>
    <s v="observed long earthing cable lead to tripping Hazard "/>
    <x v="0"/>
    <s v="Informed electrician and he buried the cable"/>
    <m/>
    <m/>
    <m/>
    <m/>
    <s v="Invalid"/>
    <x v="0"/>
    <m/>
  </r>
  <r>
    <n v="1136"/>
    <x v="130"/>
    <s v="Mohamed Abdallah"/>
    <x v="0"/>
    <s v="HSE "/>
    <x v="0"/>
    <x v="1"/>
    <x v="3"/>
    <s v="observed welding cables need to be arranged "/>
    <x v="0"/>
    <s v="cable management has been performed"/>
    <m/>
    <m/>
    <m/>
    <m/>
    <s v="Invalid"/>
    <x v="0"/>
    <m/>
  </r>
  <r>
    <n v="1137"/>
    <x v="131"/>
    <s v="Ahmed Sobhy "/>
    <x v="0"/>
    <s v="HSE "/>
    <x v="0"/>
    <x v="7"/>
    <x v="1"/>
    <s v="Incomplete hand rail of work step"/>
    <x v="0"/>
    <s v="Informed Scaffold Sup to complete the work step, and Scaffold Sup complete it"/>
    <m/>
    <m/>
    <m/>
    <m/>
    <s v="Invalid"/>
    <x v="0"/>
    <m/>
  </r>
  <r>
    <n v="1138"/>
    <x v="127"/>
    <s v="Mohamed Abdallah"/>
    <x v="0"/>
    <s v="HSE "/>
    <x v="0"/>
    <x v="5"/>
    <x v="3"/>
    <s v="Observed poor House keeping and improper material arrangement"/>
    <x v="1"/>
    <s v="materials has been arranged  "/>
    <m/>
    <m/>
    <m/>
    <m/>
    <s v="Invalid"/>
    <x v="0"/>
    <m/>
  </r>
  <r>
    <n v="1139"/>
    <x v="115"/>
    <s v="Ibrahim Hamed"/>
    <x v="0"/>
    <s v="HSE "/>
    <x v="0"/>
    <x v="0"/>
    <x v="3"/>
    <s v="observed  welding rods on the ground"/>
    <x v="0"/>
    <s v="housekeeping was done"/>
    <m/>
    <m/>
    <m/>
    <m/>
    <s v="Invalid"/>
    <x v="0"/>
    <m/>
  </r>
  <r>
    <n v="1140"/>
    <x v="114"/>
    <s v="Mostafa Abdelgany"/>
    <x v="0"/>
    <s v="HSE "/>
    <x v="0"/>
    <x v="4"/>
    <x v="0"/>
    <s v="observed damaged grinding cable "/>
    <x v="3"/>
    <s v="Stopped the grinder , instructed him to send the machine to electric dept to change the cable  , he did"/>
    <m/>
    <m/>
    <m/>
    <m/>
    <s v="Invalid"/>
    <x v="0"/>
    <m/>
  </r>
  <r>
    <n v="1141"/>
    <x v="118"/>
    <s v="Abdelfatah Mohamed"/>
    <x v="0"/>
    <s v="HSE "/>
    <x v="0"/>
    <x v="9"/>
    <x v="5"/>
    <s v="Observed that welding machine nearby the fabrication activity,"/>
    <x v="0"/>
    <s v="Spoke to rigging supervisor to relocate the welding machine"/>
    <m/>
    <m/>
    <m/>
    <m/>
    <s v="Invalid"/>
    <x v="0"/>
    <m/>
  </r>
  <r>
    <n v="1142"/>
    <x v="123"/>
    <s v="Ahmed Sobhy "/>
    <x v="0"/>
    <s v="HSE "/>
    <x v="0"/>
    <x v="2"/>
    <x v="3"/>
    <s v="some scaffold material scattered in the area "/>
    <x v="0"/>
    <s v="Transferred all scaffold material to the dedicated storage area"/>
    <m/>
    <m/>
    <m/>
    <m/>
    <s v="Invalid"/>
    <x v="0"/>
    <m/>
  </r>
  <r>
    <n v="1143"/>
    <x v="121"/>
    <s v="Abdelfatah Mohamed"/>
    <x v="0"/>
    <s v="HSE "/>
    <x v="0"/>
    <x v="3"/>
    <x v="3"/>
    <s v="Material stands blocked the main access  "/>
    <x v="0"/>
    <s v="removed them from the main access"/>
    <m/>
    <m/>
    <m/>
    <m/>
    <s v="Invalid"/>
    <x v="0"/>
    <m/>
  </r>
  <r>
    <n v="1144"/>
    <x v="122"/>
    <s v="Mohamed Abdallah"/>
    <x v="0"/>
    <s v="HSE "/>
    <x v="0"/>
    <x v="1"/>
    <x v="3"/>
    <s v="Housekeeping improvement is required."/>
    <x v="0"/>
    <s v="Housekeeping has been performed"/>
    <m/>
    <m/>
    <m/>
    <m/>
    <s v="Invalid"/>
    <x v="0"/>
    <m/>
  </r>
  <r>
    <n v="1145"/>
    <x v="124"/>
    <s v="Mahmoud Abdelnaser"/>
    <x v="0"/>
    <s v="HSE "/>
    <x v="0"/>
    <x v="7"/>
    <x v="5"/>
    <s v="observed Acytelene cylinder without cap "/>
    <x v="1"/>
    <s v="The cylinder was secured by protection cap"/>
    <m/>
    <m/>
    <m/>
    <m/>
    <s v="Invalid"/>
    <x v="0"/>
    <m/>
  </r>
  <r>
    <n v="1146"/>
    <x v="130"/>
    <s v="Ahmed Sobhy "/>
    <x v="0"/>
    <s v="HSE "/>
    <x v="0"/>
    <x v="8"/>
    <x v="8"/>
    <s v="Observed chain block hook without safety latch"/>
    <x v="0"/>
    <s v="Removed it from the area , marked it with red color code"/>
    <m/>
    <m/>
    <m/>
    <m/>
    <s v="Invalid"/>
    <x v="0"/>
    <m/>
  </r>
  <r>
    <n v="1147"/>
    <x v="118"/>
    <s v="Kareem Ehab"/>
    <x v="0"/>
    <s v="Welding Sup"/>
    <x v="0"/>
    <x v="4"/>
    <x v="8"/>
    <s v="Observed a weebing sling not color coded "/>
    <x v="0"/>
    <s v="Informed rigging sup to reinspect the weebing sling and put the color code"/>
    <m/>
    <m/>
    <m/>
    <m/>
    <s v="Invalid"/>
    <x v="0"/>
    <m/>
  </r>
  <r>
    <n v="1148"/>
    <x v="113"/>
    <s v="Ibrahim Hamed"/>
    <x v="0"/>
    <s v="HSE "/>
    <x v="2"/>
    <x v="9"/>
    <x v="5"/>
    <s v="Observed that welding operation is carried out safely and full PPE and leather apron are inplace as required, "/>
    <x v="5"/>
    <s v="Thanked the welders and reinforced their  positive behaviors"/>
    <m/>
    <m/>
    <m/>
    <m/>
    <s v="Invalid"/>
    <x v="1"/>
    <m/>
  </r>
  <r>
    <n v="1149"/>
    <x v="115"/>
    <s v="Ahmed Sobhy "/>
    <x v="0"/>
    <s v="HSE "/>
    <x v="2"/>
    <x v="1"/>
    <x v="8"/>
    <s v="good control for the load during lifting operation, good use of tag lines by the riggers . Banks man with high visible vest"/>
    <x v="5"/>
    <s v="Appreciated the good work"/>
    <m/>
    <m/>
    <m/>
    <m/>
    <s v="Invalid"/>
    <x v="1"/>
    <m/>
  </r>
  <r>
    <n v="1150"/>
    <x v="123"/>
    <s v="Mahmoud Abdelnaser"/>
    <x v="0"/>
    <s v="HSE "/>
    <x v="2"/>
    <x v="3"/>
    <x v="8"/>
    <s v="Safe Handling Of gas cylinder on trollys , secured by chain and provided with protection cap"/>
    <x v="5"/>
    <s v="Thanked the team for the positive behaviours "/>
    <m/>
    <m/>
    <m/>
    <m/>
    <s v="Invalid"/>
    <x v="1"/>
    <m/>
  </r>
  <r>
    <n v="1151"/>
    <x v="124"/>
    <s v="Mohamed Abdallah"/>
    <x v="0"/>
    <s v="HSE "/>
    <x v="2"/>
    <x v="1"/>
    <x v="3"/>
    <s v="good level of housekeeping and clearness of passages"/>
    <x v="5"/>
    <s v="Appreciated the good work"/>
    <m/>
    <m/>
    <m/>
    <m/>
    <s v="Invalid"/>
    <x v="1"/>
    <m/>
  </r>
  <r>
    <n v="1152"/>
    <x v="113"/>
    <s v="Ibrahim Hamed"/>
    <x v="0"/>
    <s v="HSE "/>
    <x v="1"/>
    <x v="1"/>
    <x v="8"/>
    <s v="observed a worker transporting an electric panel without any assisstance"/>
    <x v="3"/>
    <s v="Stopped him and called another worker to help him carrying the panel "/>
    <m/>
    <m/>
    <m/>
    <m/>
    <s v="Invalid"/>
    <x v="0"/>
    <m/>
  </r>
  <r>
    <n v="1153"/>
    <x v="115"/>
    <s v="Abdelfatah Mohamed"/>
    <x v="0"/>
    <s v="HSE "/>
    <x v="1"/>
    <x v="3"/>
    <x v="5"/>
    <s v="Observed welders using empty painting buckets  to collect electrodes in."/>
    <x v="0"/>
    <s v="Buckets were provided."/>
    <m/>
    <m/>
    <m/>
    <m/>
    <s v="Invalid"/>
    <x v="0"/>
    <m/>
  </r>
  <r>
    <n v="1154"/>
    <x v="123"/>
    <s v="Mohamed Abdallah"/>
    <x v="0"/>
    <s v="HSE "/>
    <x v="1"/>
    <x v="1"/>
    <x v="18"/>
    <s v="It has been observed that a Grinder was using a grinding machine, where the power cable was damaged."/>
    <x v="0"/>
    <s v="The work has been stopped and asked the grinder to send the machine to the maintenance to change the damaged cable"/>
    <m/>
    <m/>
    <m/>
    <m/>
    <s v="Invalid"/>
    <x v="0"/>
    <m/>
  </r>
  <r>
    <n v="1155"/>
    <x v="124"/>
    <s v="Ahmed Sobhy "/>
    <x v="0"/>
    <s v="HSE "/>
    <x v="1"/>
    <x v="7"/>
    <x v="2"/>
    <s v="One of the Grinders using his grinding machine without hand gloves."/>
    <x v="3"/>
    <s v="Stop him and Informed him to wear suitble PPE"/>
    <m/>
    <m/>
    <m/>
    <m/>
    <s v="Invalid"/>
    <x v="0"/>
    <m/>
  </r>
  <r>
    <n v="1156"/>
    <x v="125"/>
    <s v="Kareem Ehab"/>
    <x v="0"/>
    <s v="Welding Sup"/>
    <x v="1"/>
    <x v="9"/>
    <x v="14"/>
    <s v="Observed the Forklift driver is smoking while he unloading material at fabrication area."/>
    <x v="3"/>
    <s v="Stopped him immediately and inform the HSE officer to inform the driver to smoke only in smoking area."/>
    <m/>
    <m/>
    <m/>
    <m/>
    <s v="Invalid"/>
    <x v="0"/>
    <m/>
  </r>
  <r>
    <n v="1157"/>
    <x v="126"/>
    <s v="Abdelfatah Mohamed"/>
    <x v="0"/>
    <s v="HSE "/>
    <x v="1"/>
    <x v="4"/>
    <x v="8"/>
    <s v="The banksman was standing in a position where he is not clear to the crane operator."/>
    <x v="3"/>
    <s v="Stop work and advising him to go from  his position "/>
    <m/>
    <m/>
    <m/>
    <m/>
    <s v="Invalid"/>
    <x v="0"/>
    <m/>
  </r>
  <r>
    <n v="1158"/>
    <x v="124"/>
    <s v="Hassan said "/>
    <x v="0"/>
    <s v="HSE "/>
    <x v="1"/>
    <x v="3"/>
    <x v="5"/>
    <s v="one of the grinder using wooden plate as support which may cause fire "/>
    <x v="0"/>
    <s v="Advised him not to use combustible material near hot work area "/>
    <m/>
    <m/>
    <m/>
    <m/>
    <s v="Invalid"/>
    <x v="0"/>
    <m/>
  </r>
  <r>
    <n v="1159"/>
    <x v="130"/>
    <s v="Mohamed Abdallah"/>
    <x v="0"/>
    <s v="HSE "/>
    <x v="1"/>
    <x v="7"/>
    <x v="5"/>
    <s v="Worker was using grinding motor without any face protection "/>
    <x v="3"/>
    <s v="Stopped him to wear full ppe"/>
    <m/>
    <m/>
    <m/>
    <m/>
    <s v="Invalid"/>
    <x v="0"/>
    <m/>
  </r>
  <r>
    <n v="1160"/>
    <x v="112"/>
    <s v="Ibrahim Hamed"/>
    <x v="0"/>
    <s v="HSE "/>
    <x v="1"/>
    <x v="9"/>
    <x v="2"/>
    <s v="One of the workers working without wearing glasses"/>
    <x v="3"/>
    <s v="He was stoped  from work and instructed to wear"/>
    <m/>
    <m/>
    <m/>
    <m/>
    <s v="Invalid"/>
    <x v="0"/>
    <m/>
  </r>
  <r>
    <n v="1161"/>
    <x v="113"/>
    <s v="Mostafa Abdelgany"/>
    <x v="0"/>
    <s v="HSE "/>
    <x v="1"/>
    <x v="0"/>
    <x v="5"/>
    <s v="observed grinding spark was towards gas cylinder "/>
    <x v="3"/>
    <s v="Stopped him to remove cylinder away  from grinding operation area , advised him to focus on the direction of sparks all the time"/>
    <m/>
    <m/>
    <m/>
    <m/>
    <s v="Invalid"/>
    <x v="0"/>
    <m/>
  </r>
  <r>
    <n v="1162"/>
    <x v="124"/>
    <s v="Omar Elmokhtar"/>
    <x v="0"/>
    <s v="Fitter"/>
    <x v="2"/>
    <x v="3"/>
    <x v="3"/>
    <s v="good level of housekeeping and clearness of passages"/>
    <x v="5"/>
    <s v="Encouraged the team for their commitmen"/>
    <m/>
    <m/>
    <m/>
    <m/>
    <s v="Invalid"/>
    <x v="1"/>
    <m/>
  </r>
  <r>
    <n v="1163"/>
    <x v="118"/>
    <s v="Kareem Ehab"/>
    <x v="0"/>
    <s v="Welding Sup"/>
    <x v="2"/>
    <x v="1"/>
    <x v="0"/>
    <s v="A worker moved the gas cylinder to a safe distance before starting the welding activity as instructed before."/>
    <x v="5"/>
    <s v="Thanked the team for the positive behaviours"/>
    <m/>
    <m/>
    <m/>
    <m/>
    <s v="Invalid"/>
    <x v="1"/>
    <m/>
  </r>
  <r>
    <n v="1164"/>
    <x v="117"/>
    <s v="Kareem Ehab"/>
    <x v="0"/>
    <s v="Welding Sup"/>
    <x v="2"/>
    <x v="3"/>
    <x v="8"/>
    <s v="Crane is inspected , has a valid calibration certificate , color coded and inspected daily as required "/>
    <x v="5"/>
    <s v="Appreciate the good job."/>
    <m/>
    <m/>
    <m/>
    <m/>
    <s v="Invalid"/>
    <x v="1"/>
    <m/>
  </r>
  <r>
    <n v="1165"/>
    <x v="115"/>
    <s v="mohamed ahmed"/>
    <x v="0"/>
    <s v="welder"/>
    <x v="2"/>
    <x v="1"/>
    <x v="8"/>
    <s v="Lifting Gears&amp;Equipment In good condition, have valid certificates and color coded"/>
    <x v="5"/>
    <s v="Appreciate the good job."/>
    <m/>
    <m/>
    <m/>
    <m/>
    <s v="Invalid"/>
    <x v="1"/>
    <m/>
  </r>
  <r>
    <n v="1166"/>
    <x v="123"/>
    <s v="Omar Elmokhtar"/>
    <x v="0"/>
    <s v="Fitter"/>
    <x v="2"/>
    <x v="7"/>
    <x v="3"/>
    <s v="Observed Good Level  Housekeeping"/>
    <x v="5"/>
    <s v="Appreciate the good job."/>
    <m/>
    <m/>
    <m/>
    <m/>
    <s v="Invalid"/>
    <x v="1"/>
    <m/>
  </r>
  <r>
    <n v="1167"/>
    <x v="114"/>
    <s v="Kareem Ehab"/>
    <x v="0"/>
    <s v="HSE "/>
    <x v="1"/>
    <x v="9"/>
    <x v="18"/>
    <s v=" observed that  wrong  replacing method of  grinding disk."/>
    <x v="1"/>
    <s v=" Instructed the Grinders to use dedicaded tool  for changing grinding disks"/>
    <m/>
    <m/>
    <m/>
    <m/>
    <s v="Invalid"/>
    <x v="0"/>
    <m/>
  </r>
  <r>
    <n v="1168"/>
    <x v="123"/>
    <s v="Omar Elmokhtar"/>
    <x v="0"/>
    <s v="HSE "/>
    <x v="1"/>
    <x v="3"/>
    <x v="2"/>
    <s v="found worker was not wearing his safety glassess "/>
    <x v="1"/>
    <s v="stop him and inform him to wear a safety glassess and comply with site PPE "/>
    <m/>
    <m/>
    <m/>
    <m/>
    <s v="Invalid"/>
    <x v="0"/>
    <m/>
  </r>
  <r>
    <n v="1169"/>
    <x v="122"/>
    <s v="Abdelfatah Mohamed"/>
    <x v="0"/>
    <s v="HSE "/>
    <x v="1"/>
    <x v="7"/>
    <x v="2"/>
    <s v="observed that one of grinders working without safety glasses and gloves  "/>
    <x v="1"/>
    <s v="told the worker to wear his PPE all the time in the working site and he did immediately "/>
    <m/>
    <m/>
    <m/>
    <m/>
    <s v="Invalid"/>
    <x v="0"/>
    <m/>
  </r>
  <r>
    <n v="1170"/>
    <x v="116"/>
    <s v="Ahmed Sobhy "/>
    <x v="0"/>
    <s v="HSE "/>
    <x v="1"/>
    <x v="1"/>
    <x v="2"/>
    <s v="observed that one of grinders working without safety glasses and gloves  "/>
    <x v="1"/>
    <s v="told the worker to wear his PPE all the time in the working site and he did immediately "/>
    <m/>
    <m/>
    <m/>
    <m/>
    <s v="Invalid"/>
    <x v="0"/>
    <m/>
  </r>
  <r>
    <n v="1171"/>
    <x v="133"/>
    <s v="Hassan said "/>
    <x v="0"/>
    <s v="HSE"/>
    <x v="1"/>
    <x v="9"/>
    <x v="2"/>
    <s v="Observed some workers not wearing safety glasses."/>
    <x v="2"/>
    <s v="Awareness held to all workers on the same day about use of PPE."/>
    <m/>
    <m/>
    <m/>
    <m/>
    <s v="Invalid"/>
    <x v="0"/>
    <m/>
  </r>
  <r>
    <n v="1172"/>
    <x v="114"/>
    <s v="Mostafa Abdelgany"/>
    <x v="0"/>
    <s v="HSE "/>
    <x v="0"/>
    <x v="9"/>
    <x v="0"/>
    <s v="observed damaged grinding cable "/>
    <x v="0"/>
    <s v="Stopped the grinder , instructed him to send the macchine to electric dept to change the cable  , he did "/>
    <m/>
    <m/>
    <m/>
    <m/>
    <s v="Invalid"/>
    <x v="0"/>
    <m/>
  </r>
  <r>
    <n v="1173"/>
    <x v="125"/>
    <s v="Abdelfatah Mohamed"/>
    <x v="0"/>
    <s v="HSE "/>
    <x v="0"/>
    <x v="3"/>
    <x v="5"/>
    <s v="A grinder was working with the resulting spark was directed to a gas cylinder."/>
    <x v="0"/>
    <m/>
    <m/>
    <m/>
    <m/>
    <m/>
    <s v="Invalid"/>
    <x v="0"/>
    <m/>
  </r>
  <r>
    <n v="1174"/>
    <x v="125"/>
    <s v="Ahmed Sobhy "/>
    <x v="0"/>
    <s v="HSE "/>
    <x v="0"/>
    <x v="3"/>
    <x v="3"/>
    <s v="observed some welding cable were in the way of the forklift"/>
    <x v="0"/>
    <s v="stopped him and informed a welder to remove the cable  and he did immediately"/>
    <m/>
    <m/>
    <m/>
    <m/>
    <s v="Invalid"/>
    <x v="0"/>
    <m/>
  </r>
  <r>
    <n v="1175"/>
    <x v="113"/>
    <s v="Abdelfatah Mohamed"/>
    <x v="0"/>
    <s v="HSE "/>
    <x v="0"/>
    <x v="7"/>
    <x v="1"/>
    <s v=" scaffold access needs more Fixation "/>
    <x v="2"/>
    <m/>
    <m/>
    <m/>
    <m/>
    <m/>
    <s v="Invalid"/>
    <x v="0"/>
    <m/>
  </r>
  <r>
    <n v="1176"/>
    <x v="124"/>
    <s v="Mohamed Abdallah"/>
    <x v="0"/>
    <s v="HSE "/>
    <x v="0"/>
    <x v="1"/>
    <x v="5"/>
    <s v="one of the grinder using wooden plate as support which may cause fire "/>
    <x v="3"/>
    <s v="Advised him not to use combustible material near hot work area "/>
    <m/>
    <m/>
    <m/>
    <m/>
    <s v="Invalid"/>
    <x v="0"/>
    <m/>
  </r>
  <r>
    <n v="1177"/>
    <x v="119"/>
    <s v="Mahmoud Abdelnaser"/>
    <x v="0"/>
    <s v="HSE "/>
    <x v="0"/>
    <x v="1"/>
    <x v="18"/>
    <s v=" observed that  wrong  replacing method of  grinding disk."/>
    <x v="1"/>
    <s v=" Instructed the Grinders to use dedicaded tool  for changing grinding disks"/>
    <m/>
    <m/>
    <m/>
    <m/>
    <s v="Invalid"/>
    <x v="0"/>
    <m/>
  </r>
  <r>
    <n v="1178"/>
    <x v="113"/>
    <s v="Ahmed Sobhy "/>
    <x v="0"/>
    <s v="HSE "/>
    <x v="0"/>
    <x v="7"/>
    <x v="3"/>
    <s v="some scrap Was found  on the ground causing some  tripping hazard "/>
    <x v="1"/>
    <s v="The supervisor was informed and removed immediately. "/>
    <m/>
    <m/>
    <m/>
    <m/>
    <s v="Invalid"/>
    <x v="0"/>
    <m/>
  </r>
  <r>
    <n v="1179"/>
    <x v="115"/>
    <s v="Ibrahim Hamed"/>
    <x v="0"/>
    <s v="HSE "/>
    <x v="0"/>
    <x v="9"/>
    <x v="3"/>
    <s v="observed that scaffolding material scattered on the working area without arrangement "/>
    <x v="1"/>
    <s v="material was arranged immediately After inform scaffolding SUP"/>
    <m/>
    <m/>
    <m/>
    <m/>
    <s v="Invalid"/>
    <x v="0"/>
    <m/>
  </r>
  <r>
    <n v="1180"/>
    <x v="123"/>
    <s v="Mostafa Abdelgany"/>
    <x v="0"/>
    <s v="HSE "/>
    <x v="0"/>
    <x v="9"/>
    <x v="3"/>
    <s v="observed some welding cable were in the way of the forklift"/>
    <x v="1"/>
    <s v="stopped him and informed a welder to remove the cable  and he did immediately"/>
    <m/>
    <m/>
    <m/>
    <m/>
    <s v="Invalid"/>
    <x v="0"/>
    <m/>
  </r>
  <r>
    <n v="1181"/>
    <x v="114"/>
    <s v="Abdelfatah Mohamed"/>
    <x v="0"/>
    <s v="HSE "/>
    <x v="0"/>
    <x v="2"/>
    <x v="3"/>
    <s v="observed some steel pieces in  have sharp edegs may cause injury"/>
    <x v="1"/>
    <s v="informed fitting supervisor and he had taken the corrective action,"/>
    <m/>
    <m/>
    <m/>
    <m/>
    <s v="Invalid"/>
    <x v="0"/>
    <m/>
  </r>
  <r>
    <n v="1182"/>
    <x v="118"/>
    <s v="Ahmed Sobhy "/>
    <x v="0"/>
    <s v="HSE "/>
    <x v="0"/>
    <x v="1"/>
    <x v="3"/>
    <s v=" Welding Cables were passed through scaffolding ladder may lead to tripping hazard , falling hazard during climbing ladders "/>
    <x v="3"/>
    <s v="asked the welder to adjust cable routes , arrange cables for safe access , and he did "/>
    <m/>
    <m/>
    <m/>
    <m/>
    <s v="Invalid"/>
    <x v="0"/>
    <m/>
  </r>
  <r>
    <n v="1183"/>
    <x v="123"/>
    <s v="Abdelfatah Mohamed"/>
    <x v="0"/>
    <s v="HSE "/>
    <x v="0"/>
    <x v="3"/>
    <x v="3"/>
    <s v="Cables need to arrangement "/>
    <x v="3"/>
    <s v="Tell the grinders sup to arrangement the cables "/>
    <m/>
    <m/>
    <m/>
    <m/>
    <s v="Invalid"/>
    <x v="0"/>
    <m/>
  </r>
  <r>
    <n v="1184"/>
    <x v="122"/>
    <s v="Mohamed Abdallah"/>
    <x v="0"/>
    <s v="HSE "/>
    <x v="0"/>
    <x v="11"/>
    <x v="7"/>
    <s v="Storage material with sharp edge"/>
    <x v="2"/>
    <s v="put a cone in front sharp edge and Highlighted the issue with the lifting sup"/>
    <m/>
    <m/>
    <m/>
    <m/>
    <s v="Invalid"/>
    <x v="0"/>
    <m/>
  </r>
  <r>
    <n v="1185"/>
    <x v="123"/>
    <s v="Mahmoud Abdelnaser"/>
    <x v="0"/>
    <s v="HSE "/>
    <x v="0"/>
    <x v="3"/>
    <x v="3"/>
    <s v="Bad housekeeping on scaffolds"/>
    <x v="0"/>
    <s v="housekeeping has been done"/>
    <m/>
    <m/>
    <m/>
    <m/>
    <s v="Invalid"/>
    <x v="0"/>
    <m/>
  </r>
  <r>
    <n v="1186"/>
    <x v="133"/>
    <s v="Ahmed Sobhy "/>
    <x v="0"/>
    <s v="HSE "/>
    <x v="0"/>
    <x v="5"/>
    <x v="3"/>
    <s v="observed  welding rods on scaffold platform "/>
    <x v="0"/>
    <s v="housekeeping was done "/>
    <m/>
    <m/>
    <m/>
    <m/>
    <s v="Invalid"/>
    <x v="0"/>
    <m/>
  </r>
  <r>
    <n v="1187"/>
    <x v="114"/>
    <s v="Kareem Ehab"/>
    <x v="0"/>
    <s v="Welding Sup"/>
    <x v="0"/>
    <x v="4"/>
    <x v="5"/>
    <s v="Argon Gas cylinder need to be Installed"/>
    <x v="3"/>
    <s v="Asked workers to install and fix the gas cylinders by chains "/>
    <m/>
    <m/>
    <m/>
    <m/>
    <s v="Invalid"/>
    <x v="0"/>
    <m/>
  </r>
  <r>
    <n v="1188"/>
    <x v="125"/>
    <s v="Abdelfatah Mohamed"/>
    <x v="0"/>
    <s v="HSE "/>
    <x v="0"/>
    <x v="13"/>
    <x v="3"/>
    <s v=" observed  some metal piece was left in the access way which may cause tripping hazards."/>
    <x v="0"/>
    <s v="Highlighted the tripping hazard and the poor housekeeping with area supervisor and he arranged for the corrective action immediately"/>
    <m/>
    <m/>
    <m/>
    <m/>
    <s v="Invalid"/>
    <x v="0"/>
    <m/>
  </r>
  <r>
    <n v="1189"/>
    <x v="125"/>
    <s v="Hassan said "/>
    <x v="0"/>
    <s v="HSE"/>
    <x v="0"/>
    <x v="1"/>
    <x v="5"/>
    <s v="Observed a grinder was operating and did not secure the workpiece which may fall during work,"/>
    <x v="0"/>
    <s v="Stopped the grinder and spoke to him about a safe way of work and he secured the workpiece and returned to work."/>
    <m/>
    <m/>
    <m/>
    <m/>
    <s v="Invalid"/>
    <x v="0"/>
    <m/>
  </r>
  <r>
    <n v="1190"/>
    <x v="124"/>
    <s v="Hassan said "/>
    <x v="0"/>
    <s v="HSE"/>
    <x v="0"/>
    <x v="8"/>
    <x v="3"/>
    <s v="Welding cables needed to be arranged"/>
    <x v="0"/>
    <s v="cable management has been performed "/>
    <m/>
    <m/>
    <m/>
    <m/>
    <s v="Invalid"/>
    <x v="0"/>
    <m/>
  </r>
  <r>
    <n v="1191"/>
    <x v="124"/>
    <s v="Hassan said "/>
    <x v="0"/>
    <s v="HSE"/>
    <x v="0"/>
    <x v="4"/>
    <x v="5"/>
    <s v="gas cylinder without protection cap "/>
    <x v="0"/>
    <s v="told Welding Sup and he put cap on it "/>
    <m/>
    <m/>
    <m/>
    <m/>
    <s v="Invalid"/>
    <x v="0"/>
    <m/>
  </r>
  <r>
    <n v="1192"/>
    <x v="127"/>
    <s v="Ahmed Sobhy "/>
    <x v="0"/>
    <s v="HSE"/>
    <x v="0"/>
    <x v="7"/>
    <x v="15"/>
    <s v="Eye wash station (Saline Solution) was changed but checklist is Not Found"/>
    <x v="0"/>
    <s v="checklist Was added"/>
    <m/>
    <m/>
    <m/>
    <m/>
    <s v="Invalid"/>
    <x v="0"/>
    <m/>
  </r>
  <r>
    <n v="1193"/>
    <x v="115"/>
    <s v="Ibrahim Hamed"/>
    <x v="0"/>
    <s v="HSE"/>
    <x v="0"/>
    <x v="3"/>
    <x v="7"/>
    <s v="Observed unsecured metal piece on beam"/>
    <x v="0"/>
    <s v="Adjusted the position of the beams , the metal sheet is properly rested on beams and secured "/>
    <m/>
    <m/>
    <m/>
    <m/>
    <s v="Invalid"/>
    <x v="0"/>
    <m/>
  </r>
  <r>
    <n v="1194"/>
    <x v="107"/>
    <s v="Abdelfatah Mohamed"/>
    <x v="0"/>
    <s v="HSE"/>
    <x v="0"/>
    <x v="1"/>
    <x v="3"/>
    <s v="observed scaffolding material scattered on the working area without arrangement "/>
    <x v="0"/>
    <s v="materials has been arranged  "/>
    <m/>
    <m/>
    <m/>
    <m/>
    <s v="Invalid"/>
    <x v="0"/>
    <m/>
  </r>
  <r>
    <n v="1195"/>
    <x v="122"/>
    <s v="Mohamed Abdallah"/>
    <x v="0"/>
    <s v="HSE"/>
    <x v="0"/>
    <x v="1"/>
    <x v="3"/>
    <s v="Improper cable management "/>
    <x v="0"/>
    <s v="Cable management was done"/>
    <m/>
    <m/>
    <m/>
    <m/>
    <s v="Invalid"/>
    <x v="0"/>
    <m/>
  </r>
  <r>
    <n v="1196"/>
    <x v="115"/>
    <s v="Hany Elashkar"/>
    <x v="2"/>
    <s v="HSE"/>
    <x v="0"/>
    <x v="5"/>
    <x v="7"/>
    <s v="Observed a lot of identification and safety signs installed without boards the way exposing them to be dismantled as a result of high wind speed."/>
    <x v="0"/>
    <s v="communicate PTJ to support signs by wooden or acrylic boards"/>
    <m/>
    <m/>
    <m/>
    <m/>
    <s v="Invalid"/>
    <x v="0"/>
    <m/>
  </r>
  <r>
    <n v="1197"/>
    <x v="119"/>
    <s v="Hany Elashkar"/>
    <x v="2"/>
    <s v="HSE"/>
    <x v="0"/>
    <x v="2"/>
    <x v="0"/>
    <s v="Observed a defected gauge &amp; regulator related to a propane cylinder at Workshop 2"/>
    <x v="0"/>
    <s v="The cylinder immediately moved outside the ws then the gauge &amp; regulator were dismantled &amp; replaced"/>
    <m/>
    <m/>
    <m/>
    <m/>
    <s v="Invalid"/>
    <x v="0"/>
    <m/>
  </r>
  <r>
    <n v="1198"/>
    <x v="125"/>
    <s v="Hany Elashkar"/>
    <x v="2"/>
    <s v="HSE"/>
    <x v="0"/>
    <x v="6"/>
    <x v="3"/>
    <s v="Observed high pressure hoses related to sandblasting and painting activities thrown on the ground beside sandblasting ws."/>
    <x v="0"/>
    <s v="need to provide proper housekeeping for the area"/>
    <m/>
    <m/>
    <m/>
    <m/>
    <s v="Invalid"/>
    <x v="0"/>
    <m/>
  </r>
  <r>
    <n v="1199"/>
    <x v="112"/>
    <s v="Hany Elashkar"/>
    <x v="2"/>
    <s v="HSE"/>
    <x v="0"/>
    <x v="7"/>
    <x v="3"/>
    <s v="Observed a lot of corrugated sheets thrown on the ground between open areOpen Area 2 and valves storage hanger"/>
    <x v="0"/>
    <s v="The mentioned corrugated sheets need to be collected and transferred to proper storage area"/>
    <m/>
    <m/>
    <m/>
    <m/>
    <s v="Invalid"/>
    <x v="0"/>
    <m/>
  </r>
  <r>
    <n v="1200"/>
    <x v="134"/>
    <s v="Mahmoud Nasr"/>
    <x v="2"/>
    <s v="HSE"/>
    <x v="1"/>
    <x v="18"/>
    <x v="5"/>
    <s v="I have observed the angle grinder man working on Unsafe way  "/>
    <x v="0"/>
    <s v="Inform HSE PTJ to take the action with him by warning letter"/>
    <m/>
    <m/>
    <m/>
    <m/>
    <m/>
    <x v="0"/>
    <m/>
  </r>
  <r>
    <n v="1201"/>
    <x v="135"/>
    <s v="Mahmoud Nasr"/>
    <x v="2"/>
    <s v="HSE"/>
    <x v="1"/>
    <x v="1"/>
    <x v="16"/>
    <s v="I have observed the welder using chair above the  frame. "/>
    <x v="0"/>
    <s v="Inform HSE PTJ to take the action with him and provide safe scaffolding for work."/>
    <m/>
    <m/>
    <m/>
    <m/>
    <m/>
    <x v="0"/>
    <m/>
  </r>
  <r>
    <n v="1202"/>
    <x v="135"/>
    <s v="Mahmoud Nasr"/>
    <x v="2"/>
    <s v="HSE"/>
    <x v="1"/>
    <x v="1"/>
    <x v="16"/>
    <s v="I have observed the scaffolder using the board on unsafe way for work "/>
    <x v="0"/>
    <s v="Inform HSE PTJ to take the action with him and correct this position for work. "/>
    <m/>
    <m/>
    <m/>
    <m/>
    <m/>
    <x v="0"/>
    <m/>
  </r>
  <r>
    <n v="1203"/>
    <x v="136"/>
    <s v="Mahmoud Nasr"/>
    <x v="2"/>
    <s v="HSE"/>
    <x v="1"/>
    <x v="1"/>
    <x v="2"/>
    <s v="Observed the Angle grinder man using the angle grinder on Unsafe _x000a_position also without gloves "/>
    <x v="2"/>
    <s v="Inform HSE PTJ to take action with him. "/>
    <m/>
    <m/>
    <m/>
    <m/>
    <m/>
    <x v="0"/>
    <m/>
  </r>
  <r>
    <n v="1204"/>
    <x v="134"/>
    <s v="Mahmoud Nasr"/>
    <x v="2"/>
    <s v="HSE"/>
    <x v="0"/>
    <x v="3"/>
    <x v="17"/>
    <s v="I have observed the riggers secure the load without saving the wire from the _x000a_sharp edges  "/>
    <x v="2"/>
    <s v="Inform HSE PTJ to take the action with the riggers "/>
    <m/>
    <m/>
    <m/>
    <m/>
    <m/>
    <x v="0"/>
    <m/>
  </r>
  <r>
    <n v="1205"/>
    <x v="134"/>
    <s v="Mahmoud Nasr"/>
    <x v="2"/>
    <s v="HSE"/>
    <x v="0"/>
    <x v="2"/>
    <x v="4"/>
    <s v="Observed Unsafe support or securing for pipe while working on it  "/>
    <x v="2"/>
    <s v="Inform HSE PTJ to take the action and correct this position immediately."/>
    <m/>
    <m/>
    <m/>
    <m/>
    <m/>
    <x v="0"/>
    <m/>
  </r>
  <r>
    <n v="1206"/>
    <x v="135"/>
    <s v="Mahmoud Nasr"/>
    <x v="2"/>
    <s v="HSE"/>
    <x v="0"/>
    <x v="1"/>
    <x v="3"/>
    <s v="I have observed accessway unclear and poor cable management"/>
    <x v="2"/>
    <s v="Inform HSE PTJ to take the action and correct this position immediately. "/>
    <m/>
    <m/>
    <m/>
    <m/>
    <m/>
    <x v="0"/>
    <m/>
  </r>
  <r>
    <n v="1207"/>
    <x v="135"/>
    <s v="Mahmoud Nasr"/>
    <x v="2"/>
    <s v="HSE"/>
    <x v="0"/>
    <x v="1"/>
    <x v="3"/>
    <s v="I have observed poor housekeeping.   "/>
    <x v="2"/>
    <s v="Inform HSE PTJ to take the action.. "/>
    <m/>
    <m/>
    <m/>
    <m/>
    <m/>
    <x v="0"/>
    <m/>
  </r>
  <r>
    <n v="1208"/>
    <x v="135"/>
    <s v="Abdelhady Ghalwash"/>
    <x v="2"/>
    <s v="HSE"/>
    <x v="0"/>
    <x v="7"/>
    <x v="1"/>
    <s v="Observed workers of scaffold erection team using single wooden boaed while working"/>
    <x v="1"/>
    <s v="Advised worker to use atleast 2 wood boards eveb while erecting the scaffold"/>
    <m/>
    <m/>
    <m/>
    <m/>
    <m/>
    <x v="0"/>
    <m/>
  </r>
  <r>
    <n v="1209"/>
    <x v="135"/>
    <s v="Abdelhady Ghalwash"/>
    <x v="2"/>
    <s v="HSE"/>
    <x v="0"/>
    <x v="1"/>
    <x v="4"/>
    <s v="Observed cups holding the steel frame has unapproved modifications and not stable "/>
    <x v="2"/>
    <s v="Advised them to replace them with cups that are up to standard"/>
    <m/>
    <m/>
    <m/>
    <m/>
    <m/>
    <x v="0"/>
    <m/>
  </r>
  <r>
    <n v="1210"/>
    <x v="135"/>
    <s v="Abdelhady Ghalwash"/>
    <x v="2"/>
    <s v="HSE"/>
    <x v="0"/>
    <x v="1"/>
    <x v="3"/>
    <s v="It has been observed during site survey unsafe storage materials on work place. "/>
    <x v="2"/>
    <s v="Advised workers to arrange the material to eliminate slip and trip hazards"/>
    <m/>
    <m/>
    <m/>
    <m/>
    <m/>
    <x v="0"/>
    <m/>
  </r>
  <r>
    <n v="1211"/>
    <x v="135"/>
    <s v="Mahmoud Elshahat"/>
    <x v="2"/>
    <s v="HSE"/>
    <x v="0"/>
    <x v="0"/>
    <x v="3"/>
    <s v="Poor stacking of metal plates. (High level of stacking)"/>
    <x v="0"/>
    <s v="Advised the area supervisor to lower the stacking of the materials. "/>
    <m/>
    <m/>
    <m/>
    <m/>
    <m/>
    <x v="0"/>
    <m/>
  </r>
  <r>
    <n v="1212"/>
    <x v="135"/>
    <s v="Mahmoud Elshahat"/>
    <x v="2"/>
    <s v="HSE"/>
    <x v="0"/>
    <x v="2"/>
    <x v="7"/>
    <s v="Wooden timbers with protruding nails were found on-site, posing a potential injury risk."/>
    <x v="0"/>
    <s v="The nails were immediately removed._x000a_The area was inspected to ensure all similar hazards were addressed."/>
    <m/>
    <m/>
    <m/>
    <m/>
    <m/>
    <x v="0"/>
    <m/>
  </r>
  <r>
    <n v="1213"/>
    <x v="135"/>
    <s v="Mahmoud Samir"/>
    <x v="2"/>
    <s v="HSE"/>
    <x v="0"/>
    <x v="18"/>
    <x v="5"/>
    <s v="I observed a butane cylinder on a cart in Workshop that was not secured with a chain"/>
    <x v="0"/>
    <s v="I immediately secured the cylinder with a chain and provided on-the-spot coaching for the welders"/>
    <m/>
    <m/>
    <m/>
    <m/>
    <m/>
    <x v="0"/>
    <m/>
  </r>
  <r>
    <n v="1214"/>
    <x v="135"/>
    <s v="Mahmoud Samir"/>
    <x v="2"/>
    <s v="HSE"/>
    <x v="3"/>
    <x v="6"/>
    <x v="2"/>
    <s v="Observed that workers are wearing proper PPE while painting steel structures"/>
    <x v="5"/>
    <s v="Condemed the team for following the safe PPE  standards"/>
    <m/>
    <m/>
    <m/>
    <m/>
    <m/>
    <x v="1"/>
    <m/>
  </r>
  <r>
    <n v="1215"/>
    <x v="135"/>
    <s v="Mahmoud Nasr"/>
    <x v="2"/>
    <s v="HSE"/>
    <x v="0"/>
    <x v="1"/>
    <x v="8"/>
    <s v="Observed the SIMOPS between lifting operation , scaffolding and hot _x000a_activities also there are no barricades to stop moving around the crane so they _x000a_broke the line of fire. "/>
    <x v="2"/>
    <s v="Inform HSE PTJ to stop all the activities immediately and make TBT and rearrange the work to avoid any SIMOPS  "/>
    <m/>
    <m/>
    <m/>
    <m/>
    <m/>
    <x v="0"/>
    <m/>
  </r>
  <r>
    <n v="1216"/>
    <x v="135"/>
    <s v="Mahmoud Nasr"/>
    <x v="2"/>
    <s v="HSE"/>
    <x v="0"/>
    <x v="9"/>
    <x v="4"/>
    <s v="I have observed broken cup lock using at Area 4 "/>
    <x v="2"/>
    <s v="Inform HSE PTJ to stop this scaffolding immediately and change the defected cup lock "/>
    <m/>
    <m/>
    <m/>
    <m/>
    <m/>
    <x v="0"/>
    <m/>
  </r>
  <r>
    <n v="1217"/>
    <x v="136"/>
    <s v="Mahmoud Nasr"/>
    <x v="2"/>
    <s v="HSE"/>
    <x v="0"/>
    <x v="3"/>
    <x v="18"/>
    <s v="I have observed leakage on 50 ton crawler crane at Area 3 "/>
    <x v="2"/>
    <s v="Inform HSE PTJ to stop the crane and call the maintenance to check it "/>
    <m/>
    <m/>
    <m/>
    <m/>
    <m/>
    <x v="0"/>
    <m/>
  </r>
  <r>
    <n v="1218"/>
    <x v="136"/>
    <s v="Mahmoud Nasr"/>
    <x v="2"/>
    <s v="HSE"/>
    <x v="0"/>
    <x v="3"/>
    <x v="11"/>
    <s v="I have observed material without securing and barricades  "/>
    <x v="2"/>
    <s v="Inform HSE PTJ to provide securing and barricade it "/>
    <m/>
    <m/>
    <m/>
    <m/>
    <m/>
    <x v="0"/>
    <m/>
  </r>
  <r>
    <n v="1219"/>
    <x v="137"/>
    <s v="Johan Kruger"/>
    <x v="1"/>
    <s v="HSE"/>
    <x v="0"/>
    <x v="4"/>
    <x v="14"/>
    <s v="Observed forklift operator moving materials into workshop # 3 without the aid of a flagman to guide and warn persons within the workshop of the material movement"/>
    <x v="1"/>
    <s v="Approached and stopped the task until the flagman who was elsewhere in the workshop approached and started guiding the forklift operator "/>
    <s v="Flagman to always be in attendance when forklift is in motion, especially in tight _x000a_spaces and congested areas where personnel are working "/>
    <m/>
    <m/>
    <m/>
    <m/>
    <x v="0"/>
    <m/>
  </r>
  <r>
    <n v="1220"/>
    <x v="135"/>
    <s v="Ehab Ibrahim Hassan"/>
    <x v="1"/>
    <s v="Coating Inspector"/>
    <x v="0"/>
    <x v="6"/>
    <x v="4"/>
    <s v="Presence of some personnel during blasting a mudmat before mechanical _x000a_repair."/>
    <x v="1"/>
    <s v="They were asked to leave the yard immediately. "/>
    <s v="Blasting area must to be barricaded during blasting and no one is allowed to _x000a_enter during the process except the watchman."/>
    <m/>
    <m/>
    <m/>
    <m/>
    <x v="0"/>
    <m/>
  </r>
  <r>
    <n v="1221"/>
    <x v="134"/>
    <s v="Ehab Ibrahim Hassan"/>
    <x v="1"/>
    <s v="Coating Inspector"/>
    <x v="0"/>
    <x v="6"/>
    <x v="2"/>
    <s v="Few technicians were grinding on the mudmat to repair mechanical defects without wearing facial mask. "/>
    <x v="1"/>
    <s v="I spoke to them and they immediately put on their facial masks and others requested new ones as the masks they use were not clear. "/>
    <s v="PTJ safety was informed and requested to stay vigilant. "/>
    <m/>
    <m/>
    <m/>
    <m/>
    <x v="0"/>
    <m/>
  </r>
  <r>
    <n v="1222"/>
    <x v="135"/>
    <s v="Johan Kruger"/>
    <x v="1"/>
    <s v="HSE"/>
    <x v="0"/>
    <x v="7"/>
    <x v="3"/>
    <s v="CPY observed unkept smoking shelter in outside area # 2. No proper seating in the shelter is available as well as no ashtray, with the result of cigarette stubs being discarded onto the ground."/>
    <x v="2"/>
    <s v="Informed Area Safety Officer to ensure immediate area is rectified and housekeeping done"/>
    <s v="Ensure proper seating as well as an ashtray to extinguish cigarette butts "/>
    <m/>
    <m/>
    <m/>
    <m/>
    <x v="0"/>
    <m/>
  </r>
  <r>
    <n v="1223"/>
    <x v="135"/>
    <s v="Johan Kruger"/>
    <x v="1"/>
    <s v="HSE"/>
    <x v="0"/>
    <x v="1"/>
    <x v="0"/>
    <s v="Observed damaged/cut welding cable lying within the walkway."/>
    <x v="2"/>
    <s v="Informed area Safety officer as well as welding operator to ensure welding cables are not lying in walkways as it can cause to be damaged when walked on or other equipment being placed thereon "/>
    <s v="Cable management to improve and cables to be laid where no damage can be caused"/>
    <m/>
    <m/>
    <m/>
    <m/>
    <x v="0"/>
    <m/>
  </r>
  <r>
    <n v="1224"/>
    <x v="135"/>
    <s v="Malcolm Garrington"/>
    <x v="1"/>
    <s v="Project Manager"/>
    <x v="0"/>
    <x v="18"/>
    <x v="18"/>
    <s v="CPY noted at workshop #7 there is only one welding/hotwork screen within all the workshop. _x000a_CPY requested to TFMC to ensure that adequate screens are provided to multiple working fronts.  "/>
    <x v="2"/>
    <s v="TFMC HSE to intervene and liaise with PTJ HSE to ensure a working environment for PTJ workers is provided and ensures good working practices are being implemented"/>
    <m/>
    <m/>
    <m/>
    <m/>
    <m/>
    <x v="0"/>
    <m/>
  </r>
  <r>
    <n v="1225"/>
    <x v="135"/>
    <s v="Chris Eaton"/>
    <x v="1"/>
    <s v="QC"/>
    <x v="3"/>
    <x v="0"/>
    <x v="2"/>
    <s v="During visit to workshop 1 welders were found to be wearing all mandatory and task based PPE. "/>
    <x v="5"/>
    <s v="Commended the workers and encouraged them to keep up the good PPE standard. "/>
    <m/>
    <m/>
    <m/>
    <m/>
    <m/>
    <x v="1"/>
    <m/>
  </r>
  <r>
    <n v="1226"/>
    <x v="135"/>
    <s v="Chris Eaton"/>
    <x v="1"/>
    <s v="QC"/>
    <x v="3"/>
    <x v="8"/>
    <x v="2"/>
    <s v="During visit to outside work area 4 all personnel were found to be wearing _x000a_hearing protection &amp; safety glasses "/>
    <x v="5"/>
    <s v="Commended the workers and encouraged them to keep up the good PPE standard. "/>
    <m/>
    <m/>
    <m/>
    <m/>
    <m/>
    <x v="1"/>
    <m/>
  </r>
  <r>
    <n v="1227"/>
    <x v="138"/>
    <s v="Gamal Abdelgawad"/>
    <x v="1"/>
    <s v="Fabrication"/>
    <x v="0"/>
    <x v="0"/>
    <x v="3"/>
    <s v="CPY observed that, leftover welding and grinding residual material outside of _x000a_Workshop #2 and outside workshop#1. "/>
    <x v="2"/>
    <s v="Informed Petrojet TFMC / HSE, to do all necessary for proper housekeeping for this specific part of Workshop #2. "/>
    <s v="Ensure this topic will be re-highlighted during TBT, to encourage PTJ workers to keep all yard facilities clean inline with HSE CPY requirements. "/>
    <m/>
    <m/>
    <m/>
    <m/>
    <x v="0"/>
    <m/>
  </r>
  <r>
    <n v="1228"/>
    <x v="139"/>
    <s v="Gamal Abdelgawad"/>
    <x v="1"/>
    <s v="Fabrication"/>
    <x v="0"/>
    <x v="0"/>
    <x v="2"/>
    <s v="Improper PPE (Dark Glass) been worn by welders, inside all fabrication workshops. "/>
    <x v="2"/>
    <s v="Discussed the point in person with the welder, then informed PTJ/ TFMC HSE, to provide a clear glass to the new team.  "/>
    <s v="Reiterate this topic during the TBT to encourage the new team for wearing proper PPE inside workshops. "/>
    <m/>
    <m/>
    <m/>
    <m/>
    <x v="0"/>
    <m/>
  </r>
  <r>
    <n v="1229"/>
    <x v="138"/>
    <s v="Gamal Abdelgawad"/>
    <x v="1"/>
    <s v="Fabrication"/>
    <x v="0"/>
    <x v="2"/>
    <x v="18"/>
    <s v="CPY observed that, Portable welding / grinding screens in comparison to grinding activities needs to be reposition. "/>
    <x v="2"/>
    <s v="CPY approached TFMC / PTJ HSE, to Relocate the Portable welding / grinding screens in conjunction to the Grinding activities been in progress.  "/>
    <s v="CPY recommended to reiterate this topic during the TBT to encourage everyone coming to the ZB yard for wearing proper PPE inside workshop. "/>
    <m/>
    <m/>
    <m/>
    <m/>
    <x v="0"/>
    <m/>
  </r>
  <r>
    <n v="1230"/>
    <x v="138"/>
    <s v="Gamal Abdelgawad"/>
    <x v="1"/>
    <s v="Fabrication"/>
    <x v="0"/>
    <x v="2"/>
    <x v="18"/>
    <s v="CPY observed that, there is unsafe practice to fix and support stabbing cradle together by screw bolt and not fully rested on the ground.  _x000a_CPY observed that unsafe practice it has a potential risk of the heavy weight _x000a_fallen."/>
    <x v="2"/>
    <s v="CPY approached TFMC / PTJ HSE, to take an immediate action to ensure that all structures are fully rested on (full contact points).  In addition to that, PTJ to stopped the activities and barricaded."/>
    <s v="CPY recommended to. ensure that all structures are fully rested on the ground (full contact points).  In addition to that, PTJ to get engineering approved proposal on how to support such a critical item. "/>
    <m/>
    <m/>
    <m/>
    <m/>
    <x v="0"/>
    <m/>
  </r>
  <r>
    <n v="1231"/>
    <x v="138"/>
    <s v="Malcolm Garrington"/>
    <x v="1"/>
    <s v="Project Manager"/>
    <x v="0"/>
    <x v="2"/>
    <x v="17"/>
    <s v="CPY noted that several poor stacking arrangements of project material outside the workshops.  CPY discussed and requested TFMC/PTJ to ensure a better / safer and best practices for storing of material in applied."/>
    <x v="2"/>
    <s v="CPY immediately discussed with TFMC and PTJ on way forward and implementation of corrective actions. "/>
    <s v="TFMC HSE to ensure PTJ HSE advisors intervene when seeing or observing an unsafe condition(s).  Likewise for TFMC HSE team to be intervening at all times. "/>
    <m/>
    <m/>
    <m/>
    <m/>
    <x v="0"/>
    <m/>
  </r>
  <r>
    <n v="1232"/>
    <x v="138"/>
    <s v="Malcolm Garrington"/>
    <x v="1"/>
    <s v="Project Manager"/>
    <x v="0"/>
    <x v="5"/>
    <x v="7"/>
    <s v="CPY noted that several extremely poor scaffolding boards have been used to erect the scaffold hop-ups. _x000a_Boards are of extremely bad condition and should not be used. "/>
    <x v="2"/>
    <s v="CPY immediately discussed with TFMC and PTJ on way forward and implementation of corrective actions. "/>
    <s v="TFMC HSE to ensure PTJ HSE advisors intervene when seeing or observing an unsafe condition(s).  Likewise, for TFMC HSE team to be intervening at all times. _x000a_PTJ to replace all damaged/poor condition boards and TFMC / PTJ to set up a scaffold hop-up campaign immediately to address this condition "/>
    <m/>
    <m/>
    <m/>
    <m/>
    <x v="0"/>
    <m/>
  </r>
  <r>
    <n v="1233"/>
    <x v="138"/>
    <s v="Malcolm Garrington"/>
    <x v="1"/>
    <s v="Project Manager"/>
    <x v="0"/>
    <x v="5"/>
    <x v="0"/>
    <s v="CPY noted PTJ/TFMC have not completed all the fabrication support stands _x000a_having rubber protection installed. _x000a_This topic has been ongoing for circa 5 months with no improvements"/>
    <x v="2"/>
    <s v="Discussed during the safety management walkaround and safety management meeting. "/>
    <s v="TFMC HSE to engage with HQ and purchasing rubber protection then applying "/>
    <m/>
    <m/>
    <m/>
    <m/>
    <x v="0"/>
    <m/>
  </r>
  <r>
    <n v="1234"/>
    <x v="138"/>
    <s v="Malcolm Garrington"/>
    <x v="1"/>
    <s v="Project Manager"/>
    <x v="0"/>
    <x v="5"/>
    <x v="9"/>
    <s v="CPY has noted for some time now that TFMC and PTJ senior management participation is not being adhered to. _x000a_CPY has discussed and requested that TFMC and PTJ senior management be available and take part in this weekly mandatory HSE meeting. "/>
    <x v="2"/>
    <s v="Discussed during the safety management meeting. "/>
    <s v="TFMC/PTJ HSE Manager(s) or Leads to discuss with their management on correct attending. "/>
    <m/>
    <m/>
    <m/>
    <m/>
    <x v="0"/>
    <m/>
  </r>
  <r>
    <n v="1235"/>
    <x v="138"/>
    <s v="Abdelhady Ghalwash"/>
    <x v="2"/>
    <s v="HSE"/>
    <x v="2"/>
    <x v="2"/>
    <x v="3"/>
    <s v="Good cable management and housekeeping observed in Workshop 2 walkways"/>
    <x v="5"/>
    <s v="Commended the workers and PTJ HSE for safe housekeeping practices"/>
    <m/>
    <m/>
    <m/>
    <m/>
    <m/>
    <x v="1"/>
    <m/>
  </r>
  <r>
    <n v="1236"/>
    <x v="138"/>
    <s v="Abdelhady Ghalwash"/>
    <x v="2"/>
    <s v="HSE"/>
    <x v="2"/>
    <x v="0"/>
    <x v="15"/>
    <s v="Observed that proper barricading has been used around material storage outside Workshop 1"/>
    <x v="5"/>
    <s v="Commended the workers and PTJ HSE to keep up safe practices"/>
    <m/>
    <m/>
    <m/>
    <m/>
    <m/>
    <x v="1"/>
    <m/>
  </r>
  <r>
    <n v="1237"/>
    <x v="140"/>
    <s v="Mahmoud Elshahat"/>
    <x v="2"/>
    <s v="HSE"/>
    <x v="1"/>
    <x v="18"/>
    <x v="2"/>
    <s v="Observed worker grinding without wearing face shield"/>
    <x v="1"/>
    <s v="Stopped work immediately, advised not to continue work without proper PPE._x000a_"/>
    <m/>
    <m/>
    <m/>
    <m/>
    <m/>
    <x v="0"/>
    <m/>
  </r>
  <r>
    <n v="1238"/>
    <x v="141"/>
    <s v="Mahmoud Elshahat"/>
    <x v="2"/>
    <s v="HSE"/>
    <x v="1"/>
    <x v="7"/>
    <x v="16"/>
    <s v="Observed worker welding on a frame while standing on it with no safe measures."/>
    <x v="1"/>
    <s v="Stopped work immediately, requested to erect a scaffolding for such works to keep worker in a safe position for work."/>
    <m/>
    <m/>
    <m/>
    <m/>
    <m/>
    <x v="0"/>
    <m/>
  </r>
  <r>
    <n v="1239"/>
    <x v="141"/>
    <s v="Mohamed Saber"/>
    <x v="2"/>
    <s v="HSE"/>
    <x v="0"/>
    <x v="1"/>
    <x v="5"/>
    <s v="Found welding compressed as cylinder hose is worn out and cracked"/>
    <x v="1"/>
    <s v="Compressed Gas cylinder was immediately isolated _x000a_Hose was replaced"/>
    <m/>
    <m/>
    <m/>
    <m/>
    <m/>
    <x v="0"/>
    <m/>
  </r>
  <r>
    <n v="1240"/>
    <x v="141"/>
    <s v="Mohamed Saber"/>
    <x v="2"/>
    <s v="HSE"/>
    <x v="0"/>
    <x v="1"/>
    <x v="16"/>
    <s v="Observed that workers are sitting on the frame of the steel structures while working on it with no safety measures."/>
    <x v="1"/>
    <s v="Stopped the work immediately and requested for safe measures to commence job (elevated scaffold platforms )."/>
    <m/>
    <m/>
    <m/>
    <m/>
    <m/>
    <x v="0"/>
    <m/>
  </r>
  <r>
    <n v="1241"/>
    <x v="141"/>
    <s v="Mahmoud samir"/>
    <x v="2"/>
    <s v="HSE"/>
    <x v="0"/>
    <x v="0"/>
    <x v="8"/>
    <s v="Observed ongoing lifting activity aside hot work activity "/>
    <x v="1"/>
    <s v="Advised welders to clear the lifting area till work is done then resume hot works"/>
    <m/>
    <m/>
    <m/>
    <m/>
    <m/>
    <x v="0"/>
    <m/>
  </r>
  <r>
    <n v="1242"/>
    <x v="138"/>
    <s v="Mahmoud samir"/>
    <x v="2"/>
    <s v="HSE"/>
    <x v="0"/>
    <x v="2"/>
    <x v="16"/>
    <s v="Observed worker grinding on a frame that is not safely supported"/>
    <x v="1"/>
    <s v="Suspended the activity,_x000a_advised to provide adequate support to the frame then continue working"/>
    <m/>
    <m/>
    <m/>
    <m/>
    <m/>
    <x v="0"/>
    <m/>
  </r>
  <r>
    <n v="1243"/>
    <x v="139"/>
    <s v="Hany Elashkar"/>
    <x v="2"/>
    <s v="HSE"/>
    <x v="0"/>
    <x v="6"/>
    <x v="7"/>
    <s v="Observed ground protection sheets at blasting and painting area is fixed with rocks which is considered as a tripping hazard."/>
    <x v="2"/>
    <s v="Advised to replace the anchoring rocks with visible yellow-coloured metal plates"/>
    <m/>
    <m/>
    <m/>
    <m/>
    <m/>
    <x v="0"/>
    <m/>
  </r>
  <r>
    <n v="1244"/>
    <x v="139"/>
    <s v="Hany Elashkar"/>
    <x v="2"/>
    <s v="HSE"/>
    <x v="0"/>
    <x v="1"/>
    <x v="3"/>
    <s v="Observed hop-ups are scattered the working area obstructing many access ways"/>
    <x v="2"/>
    <s v="Advised that the number of hop ups to be reduced for only ongoing work and manage it so it never obstructs a pathway"/>
    <m/>
    <m/>
    <m/>
    <m/>
    <m/>
    <x v="0"/>
    <m/>
  </r>
  <r>
    <n v="1245"/>
    <x v="142"/>
    <s v="Mahmoud samir"/>
    <x v="2"/>
    <s v="HSE"/>
    <x v="0"/>
    <x v="0"/>
    <x v="0"/>
    <s v="It was observed that some electrical panels had not been inspected. "/>
    <x v="1"/>
    <s v="The electrical maintenance department and HSE PTJ  was notified and instructed to conduct a full inspection. "/>
    <s v="A site-wide survey of all electrical panels was carried out by the HSE team to ensure compliance with inspection."/>
    <m/>
    <m/>
    <m/>
    <m/>
    <x v="0"/>
    <m/>
  </r>
  <r>
    <n v="1246"/>
    <x v="143"/>
    <s v="Mahmoud samir"/>
    <x v="2"/>
    <s v="HSE"/>
    <x v="0"/>
    <x v="0"/>
    <x v="3"/>
    <s v="It was observed that scaffold materials were unsafely stored on a frame inside Workshop 1, creating a potential tripping hazard. "/>
    <x v="1"/>
    <s v="The materials were immediately rearranged and stored properly. the scaffolding team was reminded to follow safe storage practices. "/>
    <m/>
    <m/>
    <m/>
    <m/>
    <m/>
    <x v="0"/>
    <m/>
  </r>
  <r>
    <n v="1247"/>
    <x v="144"/>
    <s v="Mahmoud samir"/>
    <x v="2"/>
    <s v="HSE"/>
    <x v="1"/>
    <x v="2"/>
    <x v="18"/>
    <s v="It was observed that worker during hot work activities using grinding power machine with damage cable."/>
    <x v="1"/>
    <s v="The activity was stopped immediately, and appropriate action was taken with the worker. "/>
    <m/>
    <m/>
    <m/>
    <m/>
    <m/>
    <x v="0"/>
    <m/>
  </r>
  <r>
    <n v="1248"/>
    <x v="145"/>
    <s v="Mahmoud samir"/>
    <x v="2"/>
    <s v="HSE"/>
    <x v="1"/>
    <x v="2"/>
    <x v="7"/>
    <s v="It was observed that two workers were performing hot work activities on a damaged scaffold platform. "/>
    <x v="1"/>
    <s v="The activity was stopped immediately. A survey of all scaffold platforms on site was conducted, and a Toolbox Talk was held with the workshop team. "/>
    <m/>
    <m/>
    <m/>
    <m/>
    <m/>
    <x v="0"/>
    <m/>
  </r>
  <r>
    <n v="1249"/>
    <x v="146"/>
    <s v="Mahmoud samir"/>
    <x v="2"/>
    <s v="HSE"/>
    <x v="0"/>
    <x v="0"/>
    <x v="1"/>
    <s v="It was observed that a scaffold was missing part of its guardrail system, yet it had a green tag attached. "/>
    <x v="1"/>
    <s v="Immediate action was taken by informing the scaffold inspector to remove the green tag, carry out corrective actions, and complete the re-inspection of the scaffold. "/>
    <m/>
    <m/>
    <m/>
    <m/>
    <m/>
    <x v="0"/>
    <m/>
  </r>
  <r>
    <n v="1250"/>
    <x v="147"/>
    <s v="Mahmoud samir"/>
    <x v="2"/>
    <s v="HSE"/>
    <x v="0"/>
    <x v="2"/>
    <x v="7"/>
    <s v="During the site survey, it was observed that the fabrication team was using a non-certified, handmade cavalet to support ongoing frame welding activities. "/>
    <x v="1"/>
    <s v="The ongoing activity was suspended, the area was evacuated and secured with caution tape, and all support structures were referred to the QC department for re-inspection before resuming work. "/>
    <m/>
    <m/>
    <m/>
    <m/>
    <m/>
    <x v="0"/>
    <m/>
  </r>
  <r>
    <n v="1251"/>
    <x v="148"/>
    <s v="Mahmoud samir"/>
    <x v="2"/>
    <s v="HSE"/>
    <x v="0"/>
    <x v="0"/>
    <x v="8"/>
    <s v="A lifting activity was observed inside the workshop, and the area around the loading zone was not evacuated. "/>
    <x v="1"/>
    <s v="Immediate action was taken by suspending the lifting activity. TBT was conducted with the workshop team, and disciplinary action was taken against the lifting supervisor. "/>
    <m/>
    <m/>
    <m/>
    <m/>
    <m/>
    <x v="0"/>
    <m/>
  </r>
  <r>
    <n v="1252"/>
    <x v="145"/>
    <s v="Mahmoud Elshahat"/>
    <x v="2"/>
    <s v="HSE"/>
    <x v="0"/>
    <x v="1"/>
    <x v="1"/>
    <s v="Observed scaffolding at the area that is loose in the area"/>
    <x v="1"/>
    <s v="Notified the scaffolding supervisor to tighten up the loose scaffold and inspect the area for any other potential fixes"/>
    <m/>
    <m/>
    <m/>
    <m/>
    <m/>
    <x v="0"/>
    <m/>
  </r>
  <r>
    <n v="1253"/>
    <x v="144"/>
    <s v="Mahmoud Elshahat"/>
    <x v="2"/>
    <s v="HSE"/>
    <x v="0"/>
    <x v="3"/>
    <x v="5"/>
    <s v="Observed compressed gas cylinders in the area that are not matching the color code, hose not safely tied to thecylinders, and nonfunctional gauges"/>
    <x v="1"/>
    <s v="Notified the supervisor in the area about the issue and suspended it from the area."/>
    <m/>
    <m/>
    <m/>
    <m/>
    <m/>
    <x v="0"/>
    <m/>
  </r>
  <r>
    <n v="1254"/>
    <x v="145"/>
    <s v="Mahmoud Elshahat"/>
    <x v="2"/>
    <s v="HSE"/>
    <x v="0"/>
    <x v="1"/>
    <x v="8"/>
    <s v="Observed the overhead crane chain block safety latch is broken and has no updated color code."/>
    <x v="1"/>
    <s v="Advised the rigging supervisor to get maintain the latch and update the color code after inspection."/>
    <m/>
    <m/>
    <m/>
    <m/>
    <m/>
    <x v="0"/>
    <m/>
  </r>
  <r>
    <n v="1255"/>
    <x v="143"/>
    <s v="Mahmoud Elshahat"/>
    <x v="2"/>
    <s v="HSE"/>
    <x v="0"/>
    <x v="7"/>
    <x v="18"/>
    <s v="Observed worker using damaged tools (worn cables and not color coded)"/>
    <x v="1"/>
    <s v="Stopped work immediately, requested to suspend damaged tools and use only well-maintained tools that areupdated to the current color code"/>
    <m/>
    <m/>
    <m/>
    <m/>
    <m/>
    <x v="0"/>
    <m/>
  </r>
  <r>
    <n v="1256"/>
    <x v="145"/>
    <s v="Johan Kruger"/>
    <x v="1"/>
    <s v="HSE"/>
    <x v="0"/>
    <x v="4"/>
    <x v="10"/>
    <s v="Whilst inspecting permits in WS#3 it was observed that a hot work permit wasattached to a cold work permit attachments."/>
    <x v="1"/>
    <s v="Removed the permit and informed PTJ HSE to rectify and attach the correct documentation that correspond to the permit."/>
    <s v="PTW coordinator to ensure all documentation pertaining to a permit is correct."/>
    <m/>
    <m/>
    <m/>
    <m/>
    <x v="0"/>
    <m/>
  </r>
  <r>
    <n v="1257"/>
    <x v="144"/>
    <s v="Malcolm Garrington"/>
    <x v="1"/>
    <s v="Project Manager"/>
    <x v="0"/>
    <x v="6"/>
    <x v="1"/>
    <s v="CPY noted that personnel were permitted to enter onto a scaffold (circa 1.5m high) using steps.  CPY went onto scaffold with green scafftag in operation.  _x000a_PTJ HSE advisor then asked CPY to come off scaffold due to scaffolders doing modifications to the wooden planks which are the walkway. "/>
    <x v="1"/>
    <s v="CPY immediately came off scaffold and held discussions to both TFMC and PTJ HSE Advisors as to why person(s) were allowed to go onto scaffold with modifications.  The green scafftag was removed to show red (do not enter). "/>
    <s v="TFMC/PTJ HSE Manager(s) or leads to discuss with their teams and follow up with internal training of safety advisors and their roles and responsibilities (education)."/>
    <m/>
    <m/>
    <m/>
    <m/>
    <x v="0"/>
    <m/>
  </r>
  <r>
    <n v="1258"/>
    <x v="144"/>
    <s v="Malcolm Garrington"/>
    <x v="1"/>
    <s v="Project Manager"/>
    <x v="0"/>
    <x v="5"/>
    <x v="2"/>
    <s v="CPY immediately came off scaffold and held discussions to both TFMC and PTJ HSE Advisors stopped the offenders and requested the person(s) to wear the correct PPE for their environment. _x000a_PTJ and TFMC to hold smaller bundle of TBTs at the workface and reiterate the safe wearing of correct PPE and look at mitigations to stop this negative trending."/>
    <x v="1"/>
    <s v="CPY immediately came off scaffold and held discussions to both TFMC and PTJ _x000a_HSE Advisors stopped the offenders and requested the person(s) to wear the correct PPE for their environment. _x000a_PTJ and TFMC to hold smaller bundle of TBTs at the workface and reiterate the safe wearing of correct PPE and look at mitigations to stop this negative trending."/>
    <s v="TFMC/PTJ HSE Manager(s) or leads to push out at all times and MUST interact / intervene when observing this PPE violation. "/>
    <m/>
    <m/>
    <m/>
    <m/>
    <x v="0"/>
    <m/>
  </r>
  <r>
    <n v="1259"/>
    <x v="145"/>
    <s v="Johan Kruger"/>
    <x v="1"/>
    <s v="HSE"/>
    <x v="0"/>
    <x v="3"/>
    <x v="7"/>
    <s v="Observed several loose/dislodged scaffold tubes on scaffold frame attached to blue corrugated sheeting in Area # 3."/>
    <x v="2"/>
    <s v="Informed TFMC HSE Hany, who arranged with PTJ Scaffolders to re attach and rectify the scaffold pieces that had become dislodged"/>
    <s v="PTW coordinator to ensure all documentation pertaining to a permit is correct."/>
    <m/>
    <m/>
    <m/>
    <m/>
    <x v="0"/>
    <m/>
  </r>
  <r>
    <n v="1260"/>
    <x v="149"/>
    <s v="Chris Eaton"/>
    <x v="1"/>
    <s v="QC"/>
    <x v="3"/>
    <x v="0"/>
    <x v="2"/>
    <s v="During visit to workshop 1 welders were found to be wearing all mandatory and task-based PPE. "/>
    <x v="5"/>
    <s v="Commended the workers and encouraged them to keep up the good PPE standard. "/>
    <m/>
    <m/>
    <m/>
    <m/>
    <m/>
    <x v="1"/>
    <m/>
  </r>
  <r>
    <n v="1261"/>
    <x v="144"/>
    <s v="Chris Eaton"/>
    <x v="1"/>
    <s v="QC"/>
    <x v="3"/>
    <x v="6"/>
    <x v="2"/>
    <s v="During visit to blasting and paint are 1, grinders were found to be wearing all mandatory and task-based PPE. "/>
    <x v="5"/>
    <s v="Commended the workers and encouraged them to keep up the good PPE standard. "/>
    <m/>
    <m/>
    <m/>
    <m/>
    <m/>
    <x v="1"/>
    <m/>
  </r>
  <r>
    <n v="1262"/>
    <x v="144"/>
    <s v="Ehab Ibrahim Hassan"/>
    <x v="1"/>
    <s v="Coating Inspector"/>
    <x v="0"/>
    <x v="6"/>
    <x v="2"/>
    <s v="The blasting watchman was in the blasting area without dust mask "/>
    <x v="2"/>
    <s v="I spoke to him and he was outside the area until he got one. "/>
    <s v="Safety issues to be discussed in the blasting and painting daily TBT.  "/>
    <m/>
    <m/>
    <m/>
    <m/>
    <x v="0"/>
    <m/>
  </r>
  <r>
    <n v="1263"/>
    <x v="145"/>
    <s v="Gamal Abdelgawad"/>
    <x v="1"/>
    <s v="Fabrication"/>
    <x v="0"/>
    <x v="18"/>
    <x v="2"/>
    <s v="Improper PPE (Dark Glass) been worn by welders and fitters, inside all fabrication workshops. "/>
    <x v="2"/>
    <s v="Discussed the point in person with the welder and the fitter, then informed PTJ/ TFMC HSE, to provide a clear glass to the new team.  "/>
    <s v="Reiterate this topic during the TBT to encourage the new team for wearing proper PPE inside workshops"/>
    <m/>
    <m/>
    <m/>
    <m/>
    <x v="0"/>
    <m/>
  </r>
  <r>
    <n v="1264"/>
    <x v="146"/>
    <s v="Gamal Abdelgawad"/>
    <x v="1"/>
    <s v="Fabrication"/>
    <x v="0"/>
    <x v="2"/>
    <x v="2"/>
    <s v="CPY observed that, there is lack of Portable welding / grinding screens in comparison to grinding activities  "/>
    <x v="2"/>
    <s v="CPY approached TFMC / PTJ HSE, to Relocate the Portable welding / grinding screens in conjunction to the Grinding activities been in progress.  "/>
    <s v="CPY recommended to reiterate this topic during the TBT to encourage everyone coming to the ZB yard for wearing proper PPE inside workshop. "/>
    <m/>
    <m/>
    <m/>
    <m/>
    <x v="0"/>
    <m/>
  </r>
  <r>
    <n v="1265"/>
    <x v="144"/>
    <s v="Gamal Abdelgawad"/>
    <x v="1"/>
    <s v="Fabrication"/>
    <x v="0"/>
    <x v="0"/>
    <x v="3"/>
    <s v="CPY observed that, leftover of Wooden box with stand nails at Workshop #1. "/>
    <x v="2"/>
    <s v="Informed Petrojet TFMC / HSE, to do all necessary for proper housekeeping for this specific part of Workshop #1. "/>
    <s v="Ensure this topic will be re-highlighted during TBT, to encourage PTJ workers to _x000a_keep all yard facilities clean inline with HSE CPY requirements. "/>
    <m/>
    <m/>
    <m/>
    <m/>
    <x v="0"/>
    <m/>
  </r>
  <r>
    <n v="1266"/>
    <x v="146"/>
    <s v="Gamal Abdelgawad"/>
    <x v="1"/>
    <s v="Fabrication"/>
    <x v="0"/>
    <x v="5"/>
    <x v="3"/>
    <s v="CPY observed that several cables were found on the ground without any arrangement / cable management through cable management platform. "/>
    <x v="2"/>
    <s v="Informed PTJ / TFMC HSE, to postpone the activities, to do all necessary for proper housekeeping all over the cable arrangement / cable management through cable management platform. "/>
    <s v="Ensure that all crew who involved in the activities inside this area are fully aware and acknowledge that housekeeping is a daily routine activity to be done by end of each shift.  "/>
    <m/>
    <m/>
    <m/>
    <m/>
    <x v="0"/>
    <m/>
  </r>
  <r>
    <n v="1267"/>
    <x v="146"/>
    <s v="Ehab Ibrahim Hassan"/>
    <x v="1"/>
    <s v="Coating Inspector"/>
    <x v="3"/>
    <x v="6"/>
    <x v="12"/>
    <s v="PTJ blaster was able safely to blast very hard to reach areas on the mudmat producing outstanding result."/>
    <x v="5"/>
    <s v="It was decided to reward him in the next weekly TBT"/>
    <m/>
    <m/>
    <m/>
    <m/>
    <s v="Invalid"/>
    <x v="1"/>
    <m/>
  </r>
  <r>
    <n v="1268"/>
    <x v="150"/>
    <s v="Mahmoud Samir"/>
    <x v="2"/>
    <s v="HSE"/>
    <x v="0"/>
    <x v="0"/>
    <x v="18"/>
    <s v="It was observed that a welding machine had a damaged cable, which could potentially cause electric shock or uncontrolled power load on the electrical panel. "/>
    <x v="1"/>
    <s v="The welding machine was immediately taken out of service, and the damaged cable was removed and replaced by the maintenance team. "/>
    <m/>
    <m/>
    <m/>
    <m/>
    <m/>
    <x v="0"/>
    <m/>
  </r>
  <r>
    <n v="1269"/>
    <x v="151"/>
    <s v="Mahmoud Elshahat"/>
    <x v="2"/>
    <s v="HSE"/>
    <x v="1"/>
    <x v="18"/>
    <x v="1"/>
    <s v="Observed workers are working on uninspected Scaffolding platform  "/>
    <x v="1"/>
    <s v="Suspended work _x000a_Removed workers from platform _x000a_Advised workers to work only on inspected platforms"/>
    <m/>
    <m/>
    <m/>
    <m/>
    <m/>
    <x v="0"/>
    <m/>
  </r>
  <r>
    <n v="1270"/>
    <x v="151"/>
    <s v="Mahmoud Elshahat"/>
    <x v="2"/>
    <s v="HSE"/>
    <x v="0"/>
    <x v="3"/>
    <x v="18"/>
    <s v="Observed that the grinding tool has a defective housing and cable "/>
    <x v="1"/>
    <s v="Advised to remove tool from site until it is fixed"/>
    <m/>
    <m/>
    <m/>
    <m/>
    <m/>
    <x v="0"/>
    <m/>
  </r>
  <r>
    <n v="1271"/>
    <x v="151"/>
    <s v="Mahmoud Samir"/>
    <x v="2"/>
    <s v="HSE"/>
    <x v="0"/>
    <x v="0"/>
    <x v="8"/>
    <s v="During the lifting activity, the frame was observed being lifted using an unsafe method, posing a risk to personnel and equipment."/>
    <x v="1"/>
    <s v="The lifting activity was stopped immediately and the load was lowered and secured in a safe position. "/>
    <s v="Creating TBT with the lifting team to reinforce safe lifting procedures and prevent recurrence of unsafe practices."/>
    <m/>
    <m/>
    <m/>
    <m/>
    <x v="0"/>
    <m/>
  </r>
  <r>
    <n v="1272"/>
    <x v="152"/>
    <s v="Mahmoud Elshahat"/>
    <x v="2"/>
    <s v="HSE"/>
    <x v="0"/>
    <x v="6"/>
    <x v="3"/>
    <s v="Observed that the painting buckets are stored on the ground   "/>
    <x v="2"/>
    <s v="Advised area supervisor to store paint buckets in the designated area for paint storage to prevent spillage on ground"/>
    <m/>
    <m/>
    <m/>
    <m/>
    <m/>
    <x v="0"/>
    <m/>
  </r>
  <r>
    <n v="1273"/>
    <x v="152"/>
    <s v="Mahmoud Samir"/>
    <x v="2"/>
    <s v="HSE"/>
    <x v="0"/>
    <x v="2"/>
    <x v="3"/>
    <s v="It has been observed that small metal frames were found stored on the walkway inside the workshop, obstructing safe access and creating a tripping hazard."/>
    <x v="1"/>
    <s v="The small frames were immediately removed from the walkway and relocated to a designated storage area and supervisor was instructed that following the procedure and more supervision. "/>
    <m/>
    <m/>
    <m/>
    <m/>
    <m/>
    <x v="0"/>
    <m/>
  </r>
  <r>
    <n v="1274"/>
    <x v="153"/>
    <s v="Mahmoud Elshahat"/>
    <x v="2"/>
    <s v="HSE"/>
    <x v="2"/>
    <x v="3"/>
    <x v="11"/>
    <s v="Observed workers have properly barricaded the Forklift open area 3"/>
    <x v="5"/>
    <s v="Provide positive feedback for the Area supervisor"/>
    <m/>
    <m/>
    <m/>
    <m/>
    <s v="Invalid"/>
    <x v="1"/>
    <m/>
  </r>
  <r>
    <n v="1275"/>
    <x v="153"/>
    <s v="Mahmoud Samir"/>
    <x v="2"/>
    <s v="HSE"/>
    <x v="1"/>
    <x v="0"/>
    <x v="1"/>
    <s v="It was observed that a grinder crossed the scaffold guardrail system and stood on an unsafe platform to carry out grinding activity. "/>
    <x v="1"/>
    <s v="The activity was stopped immediately, and the grinder was instructed to come down from the unsafe platform. "/>
    <s v="Disciplinary action was taken against the violator, and a Toolbox Talk (TBT) was conducted with all. "/>
    <m/>
    <m/>
    <m/>
    <m/>
    <x v="0"/>
    <m/>
  </r>
  <r>
    <n v="1276"/>
    <x v="153"/>
    <s v="Mahmoud Elshahat"/>
    <x v="2"/>
    <s v="HSE"/>
    <x v="0"/>
    <x v="18"/>
    <x v="3"/>
    <s v="Observed pipes stacked without chocks"/>
    <x v="1"/>
    <s v="Advised area supervisor to provide chocks during pipe storage"/>
    <m/>
    <m/>
    <m/>
    <m/>
    <m/>
    <x v="0"/>
    <m/>
  </r>
  <r>
    <n v="1277"/>
    <x v="154"/>
    <s v="Mahmoud Samir"/>
    <x v="2"/>
    <s v="HSE"/>
    <x v="1"/>
    <x v="0"/>
    <x v="17"/>
    <s v="It was observed that a worker was manually moving a gas cylinder without using a trolley. "/>
    <x v="1"/>
    <s v="The worker was stopped immediately, and the HSE team instructed the workshop to conduct aTBT on the safe manual handling of gas cylinders at the worksite."/>
    <m/>
    <m/>
    <m/>
    <m/>
    <m/>
    <x v="0"/>
    <m/>
  </r>
  <r>
    <n v="1278"/>
    <x v="154"/>
    <s v="Mahmoud Elshahat"/>
    <x v="2"/>
    <s v="HSE"/>
    <x v="0"/>
    <x v="18"/>
    <x v="3"/>
    <s v="Observed that the cables are not arranged in the area and may lead to slip and trip"/>
    <x v="1"/>
    <s v="Advised area supervisor to arrange cables and housekeeping in the area"/>
    <m/>
    <m/>
    <m/>
    <m/>
    <m/>
    <x v="0"/>
    <m/>
  </r>
  <r>
    <n v="1279"/>
    <x v="155"/>
    <s v="Mahmoud Samir"/>
    <x v="2"/>
    <s v="HSE"/>
    <x v="0"/>
    <x v="0"/>
    <x v="2"/>
    <s v="It was observed that grinding activities were being performed without the appropriate PPE, and the equipment cables were in poor condition. "/>
    <x v="1"/>
    <s v="The activity was stopped immediately, and the supervisor was instructed to replace the PPE and inspect the area conditions to ensure safe working practices."/>
    <m/>
    <m/>
    <m/>
    <m/>
    <m/>
    <x v="0"/>
    <m/>
  </r>
  <r>
    <n v="1280"/>
    <x v="154"/>
    <s v="Gamal Abdelgawad"/>
    <x v="1"/>
    <s v="Fabrication"/>
    <x v="0"/>
    <x v="0"/>
    <x v="6"/>
    <s v="CPY observed several pieces of unit weights being manufactured on site. Pieces of scrap metal is being placed within the drums. Thereafter welded shut and without determining the weight or showing any base design report."/>
    <x v="2"/>
    <s v="CPY approached TFMC / PTJ HSE, to take an immediate action to ensure that all safety requirements are in place to prevent such a risk."/>
    <s v="CPY recommended to ensure that items which are subject to lifted to be fully inspected and released based on official design report and QC report. "/>
    <m/>
    <m/>
    <m/>
    <m/>
    <x v="0"/>
    <m/>
  </r>
  <r>
    <n v="1281"/>
    <x v="154"/>
    <s v="Gamal Abdelgawad"/>
    <x v="1"/>
    <s v="Fabrication"/>
    <x v="0"/>
    <x v="0"/>
    <x v="3"/>
    <s v="CPY observed that, leftover of Wooden bar with stand nails at outside fabrication area #1"/>
    <x v="2"/>
    <s v="Informed Petrojet TFMC / HSE, to do all necessary for proper housekeeping for this specific part of Workshop #1. "/>
    <s v="Ensure this topic will be re-highlighted during TBT, to encourage PTJ workers to keep all yard facilities clean inline with HSE CPY requirements."/>
    <m/>
    <m/>
    <m/>
    <m/>
    <x v="0"/>
    <m/>
  </r>
  <r>
    <n v="1282"/>
    <x v="154"/>
    <s v="Gamal Abdelgawad"/>
    <x v="1"/>
    <s v="Fabrication"/>
    <x v="2"/>
    <x v="8"/>
    <x v="3"/>
    <s v="CPY observed a proper Housekeeping during preparation of fabrication activities included prefabrication and welding, have been carried out properly, within outside fabrication area#4. "/>
    <x v="5"/>
    <s v="CPY approach TFMC / PTJ HSE representative, to encourage the whole team have been involved in the lifting operation, for their commitment to HSE rules and requirements. "/>
    <m/>
    <m/>
    <m/>
    <m/>
    <s v="Invalid"/>
    <x v="1"/>
    <m/>
  </r>
  <r>
    <n v="1283"/>
    <x v="154"/>
    <s v="Gamal Abdelgawad"/>
    <x v="1"/>
    <s v="Fabrication"/>
    <x v="0"/>
    <x v="4"/>
    <x v="18"/>
    <s v="CPY observed there is lack of hop-up stands, using scrap pieces of beams instead during mechanical activities. "/>
    <x v="2"/>
    <s v="CPY approached TFMC / PTJ HSE, to remove these pieces of scrap and replaced them with hop-up stands."/>
    <s v="CPY recommended to reiterate this topic during the TBT to encourage everyone coming to the ZB yard to follow the correct procedure. "/>
    <m/>
    <m/>
    <m/>
    <m/>
    <x v="0"/>
    <m/>
  </r>
  <r>
    <n v="1284"/>
    <x v="154"/>
    <s v="Gamal Abdelgawad"/>
    <x v="1"/>
    <s v="Fabrication"/>
    <x v="0"/>
    <x v="4"/>
    <x v="18"/>
    <s v="CPY observed that there is a modification that has been made for some fabrication support which is lifting the pipe frame not fully rested on it during the fabrication / welding activities."/>
    <x v="2"/>
    <s v="CPY approached TFMC / PTJ HSE, to take immediate action to ensure that all same frames must be fully rested on the fabrication support (full contact points)."/>
    <s v="CPY recommended to ensure that all structures / sub elements items are fully rested on the fabrication support (full contact points). "/>
    <m/>
    <m/>
    <m/>
    <m/>
    <x v="0"/>
    <m/>
  </r>
  <r>
    <n v="1285"/>
    <x v="151"/>
    <s v="Mohamed Saber"/>
    <x v="2"/>
    <s v="HSE"/>
    <x v="0"/>
    <x v="1"/>
    <x v="7"/>
    <s v="Observed that the area is congested with workers and has no enough space to work"/>
    <x v="2"/>
    <s v="Advised supervisor to either reduce workforce or rearrange space to accommodate more workers."/>
    <m/>
    <m/>
    <m/>
    <m/>
    <m/>
    <x v="0"/>
    <m/>
  </r>
  <r>
    <n v="1286"/>
    <x v="153"/>
    <s v="Mohamed Saber"/>
    <x v="2"/>
    <s v="HSE"/>
    <x v="0"/>
    <x v="1"/>
    <x v="3"/>
    <s v="Observed that the area has poor cable management"/>
    <x v="2"/>
    <s v="Advised supervisor to arrange cables around area to reduce slip and trip hazard"/>
    <m/>
    <m/>
    <m/>
    <m/>
    <m/>
    <x v="0"/>
    <m/>
  </r>
  <r>
    <n v="1287"/>
    <x v="135"/>
    <s v="Mohamed Abdallah"/>
    <x v="0"/>
    <s v="HSE"/>
    <x v="0"/>
    <x v="5"/>
    <x v="1"/>
    <s v="observed The Scaffolding ladder was not fixed well"/>
    <x v="3"/>
    <s v="stopped work and inform the sup of area to fixed it and check all scaffold in the site work daily"/>
    <m/>
    <m/>
    <m/>
    <m/>
    <m/>
    <x v="0"/>
    <m/>
  </r>
  <r>
    <n v="1288"/>
    <x v="135"/>
    <s v="Mahmoud Abdelnaser"/>
    <x v="0"/>
    <s v="HSE"/>
    <x v="0"/>
    <x v="1"/>
    <x v="1"/>
    <s v="Some scaffold plates on scaffold need to be propely installed and fixed"/>
    <x v="0"/>
    <s v="Scaffolders installed and fixed the wooden plates "/>
    <m/>
    <m/>
    <m/>
    <m/>
    <m/>
    <x v="0"/>
    <m/>
  </r>
  <r>
    <n v="1289"/>
    <x v="135"/>
    <s v="Ahmed Sobhy "/>
    <x v="0"/>
    <s v="HSE"/>
    <x v="0"/>
    <x v="17"/>
    <x v="5"/>
    <s v="observed a propane gas cylinder near by the welding area"/>
    <x v="0"/>
    <s v="Instructed the sup to relocate the cylinder and he did"/>
    <m/>
    <m/>
    <m/>
    <m/>
    <m/>
    <x v="0"/>
    <m/>
  </r>
  <r>
    <n v="1290"/>
    <x v="135"/>
    <s v="Ibrahim Hamed"/>
    <x v="0"/>
    <s v="HSE"/>
    <x v="0"/>
    <x v="3"/>
    <x v="5"/>
    <s v="one Prpopane  cylinder hose without installation clip"/>
    <x v="0"/>
    <s v="Infromed welding sup to install the hose by clip"/>
    <m/>
    <m/>
    <m/>
    <m/>
    <m/>
    <x v="0"/>
    <m/>
  </r>
  <r>
    <n v="1291"/>
    <x v="135"/>
    <s v="Mostafa Abdelgany"/>
    <x v="0"/>
    <s v="HSE"/>
    <x v="0"/>
    <x v="7"/>
    <x v="1"/>
    <s v="Some scaffold plates on scaffold need to be propely installed and fixed "/>
    <x v="0"/>
    <s v="Scaffolders installed and fixed the wooden plates "/>
    <m/>
    <m/>
    <m/>
    <m/>
    <m/>
    <x v="0"/>
    <m/>
  </r>
  <r>
    <n v="1292"/>
    <x v="135"/>
    <s v="Abdelfatah Mohamed"/>
    <x v="0"/>
    <s v="HSE"/>
    <x v="0"/>
    <x v="9"/>
    <x v="5"/>
    <s v="observed Acytelene cylinder without cap "/>
    <x v="0"/>
    <s v="the cylinder was secured by protection cap"/>
    <m/>
    <m/>
    <m/>
    <m/>
    <m/>
    <x v="0"/>
    <m/>
  </r>
  <r>
    <n v="1293"/>
    <x v="135"/>
    <s v="Ahmed Sobhy "/>
    <x v="0"/>
    <s v="HSE"/>
    <x v="0"/>
    <x v="5"/>
    <x v="7"/>
    <s v="Improper welding cables"/>
    <x v="0"/>
    <s v="Replaced it by new welding cables"/>
    <m/>
    <m/>
    <m/>
    <m/>
    <m/>
    <x v="0"/>
    <m/>
  </r>
  <r>
    <n v="1294"/>
    <x v="135"/>
    <s v="Kareem Ehab"/>
    <x v="0"/>
    <s v="Welding Sup"/>
    <x v="0"/>
    <x v="1"/>
    <x v="1"/>
    <s v="There was a handrill on a structure with a ladder for the safe access all without inspection card"/>
    <x v="0"/>
    <s v="It was secured by a tape not to access it until the scaffold inspector inspected it and put a scaff tag"/>
    <m/>
    <m/>
    <m/>
    <m/>
    <m/>
    <x v="0"/>
    <m/>
  </r>
  <r>
    <n v="1295"/>
    <x v="134"/>
    <s v="Mohamed Abdallah"/>
    <x v="0"/>
    <s v="HSE"/>
    <x v="0"/>
    <x v="17"/>
    <x v="5"/>
    <s v="Observed leak in Oxygen hose "/>
    <x v="0"/>
    <s v="Closed the cylinder valve , informed fitting sup to replace the hose and dviced him to provide bubble bottle for preuse leakage test"/>
    <m/>
    <m/>
    <m/>
    <m/>
    <m/>
    <x v="0"/>
    <m/>
  </r>
  <r>
    <n v="1296"/>
    <x v="134"/>
    <s v="Mahmoud Abdelnaser"/>
    <x v="0"/>
    <s v="HSE"/>
    <x v="0"/>
    <x v="3"/>
    <x v="0"/>
    <s v="Welding cable connector rubber cover_x000a_was missing,"/>
    <x v="0"/>
    <s v="Pointed to electrician at site and he_x000a_installed the rubber cover as required."/>
    <m/>
    <m/>
    <m/>
    <m/>
    <m/>
    <x v="0"/>
    <m/>
  </r>
  <r>
    <n v="1297"/>
    <x v="134"/>
    <s v="Ahmed Sobhy "/>
    <x v="0"/>
    <s v="HSE"/>
    <x v="0"/>
    <x v="7"/>
    <x v="3"/>
    <s v=" Welding Cables were passed through scaffolding ladder may lead to tripping hazard , falling hazard during climbing ladders "/>
    <x v="0"/>
    <s v="asked the welder to adjust cable routes , arrange cables for safe access , and he did "/>
    <m/>
    <m/>
    <m/>
    <m/>
    <m/>
    <x v="0"/>
    <m/>
  </r>
  <r>
    <n v="1298"/>
    <x v="134"/>
    <s v="Mohamed Abdallah"/>
    <x v="0"/>
    <s v="HSE"/>
    <x v="0"/>
    <x v="9"/>
    <x v="5"/>
    <s v="observed a propane gas cylinder near by the welding area"/>
    <x v="0"/>
    <s v="instructed the sup to relocate the cylinder and he did"/>
    <m/>
    <m/>
    <m/>
    <m/>
    <m/>
    <x v="0"/>
    <m/>
  </r>
  <r>
    <n v="1299"/>
    <x v="134"/>
    <s v="Mahmoud Abdelnaser"/>
    <x v="0"/>
    <s v="HSE"/>
    <x v="0"/>
    <x v="1"/>
    <x v="1"/>
    <s v="Some scaffold plates on scaffold need to be propely installed and fixed "/>
    <x v="0"/>
    <s v="Scaffolders installed and fixed the wooden plates "/>
    <m/>
    <m/>
    <m/>
    <m/>
    <m/>
    <x v="0"/>
    <m/>
  </r>
  <r>
    <n v="1300"/>
    <x v="134"/>
    <s v="Ahmed Sobhy "/>
    <x v="0"/>
    <s v="HSE"/>
    <x v="0"/>
    <x v="1"/>
    <x v="1"/>
    <s v="Observed an incomplete scaffold with no limitation to its access."/>
    <x v="0"/>
    <s v="Warning tape was added to prevent workers from going up."/>
    <m/>
    <m/>
    <m/>
    <m/>
    <m/>
    <x v="0"/>
    <m/>
  </r>
  <r>
    <n v="1301"/>
    <x v="134"/>
    <s v="Ibrahim Hamed"/>
    <x v="0"/>
    <s v="HSE"/>
    <x v="0"/>
    <x v="5"/>
    <x v="4"/>
    <s v="observed that one of welding cable in improper position above the scaffold causing workers tripping "/>
    <x v="0"/>
    <s v="spoke to supervisor to adjust the cables"/>
    <m/>
    <m/>
    <m/>
    <m/>
    <m/>
    <x v="0"/>
    <m/>
  </r>
  <r>
    <n v="1302"/>
    <x v="134"/>
    <s v="Omar Elmokhtar"/>
    <x v="0"/>
    <s v="Fitter"/>
    <x v="0"/>
    <x v="1"/>
    <x v="7"/>
    <s v="Found some tools scattered on the scaffold at the  whch create tripping /dropped Objects  hazards."/>
    <x v="0"/>
    <s v="Removed the tools form the area and performed housekeeping to the area."/>
    <m/>
    <m/>
    <m/>
    <m/>
    <m/>
    <x v="0"/>
    <m/>
  </r>
  <r>
    <n v="1303"/>
    <x v="136"/>
    <s v="Abdelfatah Mohamed"/>
    <x v="0"/>
    <s v="HSE"/>
    <x v="0"/>
    <x v="17"/>
    <x v="3"/>
    <s v="Poor housekeeping underneath the structure."/>
    <x v="3"/>
    <s v="Stopped the welders and asked all to clean the area.  Housekeeping done"/>
    <m/>
    <m/>
    <m/>
    <m/>
    <m/>
    <x v="0"/>
    <m/>
  </r>
  <r>
    <n v="1304"/>
    <x v="136"/>
    <s v="Ahmed Sobhy "/>
    <x v="0"/>
    <s v="HSE"/>
    <x v="0"/>
    <x v="3"/>
    <x v="3"/>
    <s v="Observed that some waste container is full, and it needs to be empty. "/>
    <x v="0"/>
    <s v="Informed Scaffold Sup to complete the hard barricade and action took place. "/>
    <m/>
    <m/>
    <m/>
    <m/>
    <m/>
    <x v="0"/>
    <m/>
  </r>
  <r>
    <n v="1305"/>
    <x v="136"/>
    <s v="Abdelfatah Mohamed"/>
    <x v="0"/>
    <s v="HSE"/>
    <x v="0"/>
    <x v="7"/>
    <x v="3"/>
    <s v="Observed scattered welding electrodes residue on top of scaffolds and under piles  - trash bin placed in improper  place"/>
    <x v="0"/>
    <s v="Buckets were provided to welders to maintain good housekeeping -trash bin relocated immediately"/>
    <m/>
    <m/>
    <m/>
    <m/>
    <m/>
    <x v="0"/>
    <m/>
  </r>
  <r>
    <n v="1306"/>
    <x v="136"/>
    <s v="Mohamed Abdallah"/>
    <x v="0"/>
    <s v="HSE"/>
    <x v="0"/>
    <x v="9"/>
    <x v="7"/>
    <s v="cables need to arrangement "/>
    <x v="0"/>
    <s v="Ask the welding sup to arrangement the cables and he do it immediately "/>
    <m/>
    <m/>
    <m/>
    <m/>
    <m/>
    <x v="0"/>
    <m/>
  </r>
  <r>
    <n v="1307"/>
    <x v="136"/>
    <s v="Mahmoud Abdelnaser"/>
    <x v="0"/>
    <s v="HSE"/>
    <x v="0"/>
    <x v="5"/>
    <x v="7"/>
    <s v="scaffold material in the access "/>
    <x v="0"/>
    <s v="ask the scaffolding sup to clean the access "/>
    <m/>
    <m/>
    <m/>
    <m/>
    <m/>
    <x v="0"/>
    <m/>
  </r>
  <r>
    <n v="1308"/>
    <x v="134"/>
    <s v="Ahmed Sobhy "/>
    <x v="0"/>
    <s v="HSE"/>
    <x v="1"/>
    <x v="1"/>
    <x v="2"/>
    <s v="One of the workers working without wearing glasses"/>
    <x v="0"/>
    <s v="wear glasses Immediately."/>
    <m/>
    <m/>
    <m/>
    <m/>
    <m/>
    <x v="0"/>
    <m/>
  </r>
  <r>
    <n v="1309"/>
    <x v="135"/>
    <s v="Kareem Ehab"/>
    <x v="0"/>
    <s v="Welding Sup"/>
    <x v="1"/>
    <x v="17"/>
    <x v="2"/>
    <s v="pipe fitter was wearing welding faceshield "/>
    <x v="3"/>
    <s v="Stopped him to wear clear face shield "/>
    <m/>
    <m/>
    <m/>
    <m/>
    <m/>
    <x v="0"/>
    <m/>
  </r>
  <r>
    <n v="1310"/>
    <x v="136"/>
    <s v="Mahmoud Abdelnaser"/>
    <x v="0"/>
    <s v="HSE"/>
    <x v="1"/>
    <x v="3"/>
    <x v="6"/>
    <s v="Observed some fitters were guiding the crane operator during the lifting operation."/>
    <x v="3"/>
    <s v="Stop them and inform them that the banksman should only guide the crane operator,This issue has been highlighted in the collective TBT."/>
    <m/>
    <m/>
    <m/>
    <m/>
    <m/>
    <x v="0"/>
    <m/>
  </r>
  <r>
    <n v="1311"/>
    <x v="135"/>
    <s v="Ahmed Sobhy "/>
    <x v="0"/>
    <s v="HSE"/>
    <x v="1"/>
    <x v="7"/>
    <x v="2"/>
    <s v="observed grinder was working without ear plugs "/>
    <x v="3"/>
    <s v="stopped him to wear ear plug "/>
    <m/>
    <m/>
    <m/>
    <m/>
    <m/>
    <x v="0"/>
    <m/>
  </r>
  <r>
    <n v="1312"/>
    <x v="135"/>
    <s v="Ibrahim Hamed"/>
    <x v="0"/>
    <s v="HSE"/>
    <x v="1"/>
    <x v="9"/>
    <x v="2"/>
    <s v="Worker was using grinding motor without  face protection"/>
    <x v="3"/>
    <s v="Stopped him to wear full ppe"/>
    <m/>
    <m/>
    <m/>
    <m/>
    <m/>
    <x v="0"/>
    <m/>
  </r>
  <r>
    <n v="1313"/>
    <x v="134"/>
    <s v="Mostafa Abdelgany"/>
    <x v="0"/>
    <s v="HSE"/>
    <x v="3"/>
    <x v="9"/>
    <x v="2"/>
    <s v="Good commitment from the work force with the site required PPE especially from the grinders "/>
    <x v="5"/>
    <s v="Appreciate the good work"/>
    <m/>
    <m/>
    <m/>
    <m/>
    <m/>
    <x v="1"/>
    <m/>
  </r>
  <r>
    <n v="1314"/>
    <x v="135"/>
    <s v="Abdelfatah Mohamed"/>
    <x v="0"/>
    <s v="HSE"/>
    <x v="3"/>
    <x v="12"/>
    <x v="2"/>
    <s v="one of the fitters wear full ppe specially the gloves while use the hammer "/>
    <x v="5"/>
    <s v="Appreciate the good job."/>
    <m/>
    <m/>
    <m/>
    <m/>
    <m/>
    <x v="1"/>
    <m/>
  </r>
  <r>
    <n v="1315"/>
    <x v="135"/>
    <s v="Ahmed Sobhy "/>
    <x v="0"/>
    <s v="HSE"/>
    <x v="3"/>
    <x v="11"/>
    <x v="2"/>
    <s v="grinder work with full PPE  "/>
    <x v="5"/>
    <s v="Appreciate the good job."/>
    <m/>
    <m/>
    <m/>
    <m/>
    <m/>
    <x v="1"/>
    <m/>
  </r>
  <r>
    <n v="1316"/>
    <x v="135"/>
    <s v="Mohamed Abdallah"/>
    <x v="0"/>
    <s v="HSE"/>
    <x v="2"/>
    <x v="11"/>
    <x v="3"/>
    <s v="Observed Good Level  Housekeeping "/>
    <x v="5"/>
    <s v="Appreciate the good job."/>
    <m/>
    <m/>
    <m/>
    <m/>
    <m/>
    <x v="1"/>
    <m/>
  </r>
  <r>
    <n v="1317"/>
    <x v="134"/>
    <s v="Mahmoud Abdelnaser"/>
    <x v="0"/>
    <s v="HSE"/>
    <x v="3"/>
    <x v="0"/>
    <x v="12"/>
    <s v="good participation and intervention throught the morning TBT"/>
    <x v="5"/>
    <s v="Appreciate the good job."/>
    <m/>
    <m/>
    <m/>
    <m/>
    <m/>
    <x v="1"/>
    <m/>
  </r>
  <r>
    <n v="1318"/>
    <x v="144"/>
    <s v="Omar Elmokhtar"/>
    <x v="0"/>
    <s v="Fitter"/>
    <x v="1"/>
    <x v="5"/>
    <x v="5"/>
    <s v="A worker did not release the gas from the hoses of the gas cylinder after use."/>
    <x v="0"/>
    <s v="Inform the worker to release the gas from the hose, the issue communicated in the TBT "/>
    <m/>
    <m/>
    <m/>
    <m/>
    <m/>
    <x v="0"/>
    <m/>
  </r>
  <r>
    <n v="1319"/>
    <x v="144"/>
    <s v="Mahmoud Abdelnaser"/>
    <x v="0"/>
    <s v="HSE"/>
    <x v="1"/>
    <x v="1"/>
    <x v="2"/>
    <s v="There was a rigger without safety glasses"/>
    <x v="3"/>
    <s v="He was stopped from work ,warning letter was issued "/>
    <m/>
    <m/>
    <m/>
    <m/>
    <m/>
    <x v="0"/>
    <m/>
  </r>
  <r>
    <n v="1320"/>
    <x v="144"/>
    <s v="Kareem Ehab"/>
    <x v="0"/>
    <s v="Welding Sup"/>
    <x v="1"/>
    <x v="17"/>
    <x v="2"/>
    <s v="Worker was using grinding motor without any face protection "/>
    <x v="3"/>
    <s v="Stopped him to wear full ppe"/>
    <m/>
    <m/>
    <m/>
    <m/>
    <m/>
    <x v="0"/>
    <m/>
  </r>
  <r>
    <n v="1321"/>
    <x v="144"/>
    <s v="Ibrahim Hamed"/>
    <x v="0"/>
    <s v="HSE"/>
    <x v="1"/>
    <x v="3"/>
    <x v="6"/>
    <s v="Observed some fitters were guiding the crane operator during the lifting operation."/>
    <x v="3"/>
    <s v="Stop them and inform them that the banksman should only guide the crane operator,This issue has been highlighted in the collective TBT."/>
    <m/>
    <m/>
    <m/>
    <m/>
    <m/>
    <x v="0"/>
    <m/>
  </r>
  <r>
    <n v="1322"/>
    <x v="143"/>
    <s v="Mostafa Abdelgany"/>
    <x v="0"/>
    <s v="HSE"/>
    <x v="1"/>
    <x v="7"/>
    <x v="2"/>
    <s v="observed a grinder was grinding a metal without face sheild"/>
    <x v="3"/>
    <s v="stopped him and inform him to must wear it"/>
    <m/>
    <m/>
    <m/>
    <m/>
    <m/>
    <x v="0"/>
    <m/>
  </r>
  <r>
    <n v="1323"/>
    <x v="143"/>
    <s v="Abdelfatah Mohamed"/>
    <x v="0"/>
    <s v="HSE"/>
    <x v="1"/>
    <x v="9"/>
    <x v="2"/>
    <s v="found worker was not wearing his safety glassess "/>
    <x v="3"/>
    <s v="stop him and inform him to wear a safety glassess and comply with site PPE "/>
    <m/>
    <m/>
    <m/>
    <m/>
    <m/>
    <x v="0"/>
    <m/>
  </r>
  <r>
    <n v="1324"/>
    <x v="143"/>
    <s v="Ahmed Sobhy "/>
    <x v="0"/>
    <s v="HSE"/>
    <x v="1"/>
    <x v="5"/>
    <x v="18"/>
    <s v=" observed that  wrong  replacing method of  grinding disk."/>
    <x v="0"/>
    <s v=" Instructed the Grinders to use dedicaded tool  for changing grinding disks"/>
    <m/>
    <m/>
    <m/>
    <m/>
    <m/>
    <x v="0"/>
    <m/>
  </r>
  <r>
    <n v="1325"/>
    <x v="142"/>
    <s v="Abdelfatah Mohamed"/>
    <x v="0"/>
    <s v="HSE"/>
    <x v="1"/>
    <x v="1"/>
    <x v="4"/>
    <s v="one of lifting team was under the load in the line of fire "/>
    <x v="0"/>
    <s v="Instructed the lifting sup to relocate his position to be away from the line of fire , TOFS Held with lifting crew to highlight the issue , Line of fire stand down was done to highlight the risk of being in the line of fire."/>
    <m/>
    <m/>
    <m/>
    <m/>
    <m/>
    <x v="0"/>
    <m/>
  </r>
  <r>
    <n v="1326"/>
    <x v="142"/>
    <s v="Mohamed Abdallah"/>
    <x v="0"/>
    <s v="HSE"/>
    <x v="1"/>
    <x v="17"/>
    <x v="4"/>
    <s v="one worker standing next to the crane during lifting operation "/>
    <x v="0"/>
    <s v="instructed the worker to go away the manuvering crane area"/>
    <m/>
    <m/>
    <m/>
    <m/>
    <m/>
    <x v="0"/>
    <m/>
  </r>
  <r>
    <n v="1327"/>
    <x v="142"/>
    <s v="Mahmoud Abdelnaser"/>
    <x v="0"/>
    <s v="HSE"/>
    <x v="1"/>
    <x v="3"/>
    <x v="17"/>
    <s v="observed a worker transporting an electric panel without any assisstance"/>
    <x v="3"/>
    <s v="Stopped him and called another worker to help him carrying the panel And the issue was highlighted in the next TBT"/>
    <m/>
    <m/>
    <m/>
    <m/>
    <m/>
    <x v="0"/>
    <m/>
  </r>
  <r>
    <n v="1328"/>
    <x v="142"/>
    <s v="Ahmed Sobhy "/>
    <x v="0"/>
    <s v="HSE"/>
    <x v="1"/>
    <x v="7"/>
    <x v="2"/>
    <s v="observed that one of grinders working without safety glasses and gloves  "/>
    <x v="0"/>
    <s v="told the worker to wear his PPE all the time in the working site and he did immediately "/>
    <m/>
    <m/>
    <m/>
    <m/>
    <m/>
    <x v="0"/>
    <m/>
  </r>
  <r>
    <n v="1329"/>
    <x v="139"/>
    <s v="Mohamed Abdallah"/>
    <x v="0"/>
    <s v="HSE"/>
    <x v="1"/>
    <x v="9"/>
    <x v="2"/>
    <s v="observed grinder was working without ear plugs "/>
    <x v="3"/>
    <s v="stopped him , advised him  to wear ear plugs and he did  "/>
    <m/>
    <m/>
    <m/>
    <m/>
    <m/>
    <x v="0"/>
    <m/>
  </r>
  <r>
    <n v="1330"/>
    <x v="139"/>
    <s v="Mahmoud Abdelnaser"/>
    <x v="0"/>
    <s v="HSE"/>
    <x v="1"/>
    <x v="1"/>
    <x v="2"/>
    <s v="one worker  not wearing  a safety gloves "/>
    <x v="3"/>
    <s v="stopped him to wear safety glassess"/>
    <m/>
    <m/>
    <m/>
    <m/>
    <m/>
    <x v="0"/>
    <m/>
  </r>
  <r>
    <n v="1331"/>
    <x v="139"/>
    <s v="Ahmed Sobhy "/>
    <x v="0"/>
    <s v="HSE"/>
    <x v="2"/>
    <x v="1"/>
    <x v="3"/>
    <s v="All Cables onsite are well organized"/>
    <x v="5"/>
    <s v="Encouraged the team for their commitment"/>
    <m/>
    <m/>
    <m/>
    <m/>
    <m/>
    <x v="1"/>
    <m/>
  </r>
  <r>
    <n v="1332"/>
    <x v="139"/>
    <s v="Ibrahim Hamed"/>
    <x v="0"/>
    <s v="HSE"/>
    <x v="3"/>
    <x v="5"/>
    <x v="2"/>
    <s v="welders wearing their full ppe on site "/>
    <x v="5"/>
    <s v="Encouraged the team for their commitment"/>
    <m/>
    <m/>
    <m/>
    <m/>
    <m/>
    <x v="1"/>
    <m/>
  </r>
  <r>
    <n v="1333"/>
    <x v="139"/>
    <s v="Mostafa Abdelgany"/>
    <x v="0"/>
    <s v="HSE"/>
    <x v="2"/>
    <x v="1"/>
    <x v="3"/>
    <s v="Observed good housekeeping in the project area."/>
    <x v="5"/>
    <s v="Encouraged the team for their commitment"/>
    <m/>
    <m/>
    <m/>
    <m/>
    <m/>
    <x v="1"/>
    <m/>
  </r>
  <r>
    <n v="1334"/>
    <x v="139"/>
    <s v="Abdelfatah Mohamed"/>
    <x v="0"/>
    <s v="HSE"/>
    <x v="2"/>
    <x v="17"/>
    <x v="17"/>
    <s v="Good securing of gas cylinders on trolly provided with protection caps /Flash back arrestor and fixed by chains. "/>
    <x v="5"/>
    <s v="Appreciate the good job."/>
    <m/>
    <m/>
    <m/>
    <m/>
    <m/>
    <x v="1"/>
    <m/>
  </r>
  <r>
    <n v="1335"/>
    <x v="139"/>
    <s v="Ahmed Sobhy "/>
    <x v="0"/>
    <s v="HSE"/>
    <x v="2"/>
    <x v="3"/>
    <x v="8"/>
    <s v="all lifting equipment/gears are inspected, certified and color coded."/>
    <x v="5"/>
    <s v="Recognize the good work from lifting team"/>
    <m/>
    <m/>
    <m/>
    <m/>
    <m/>
    <x v="1"/>
    <m/>
  </r>
  <r>
    <n v="1336"/>
    <x v="139"/>
    <s v="Abdelfatah Mohamed"/>
    <x v="0"/>
    <s v="HSE"/>
    <x v="3"/>
    <x v="7"/>
    <x v="17"/>
    <s v="Safe handling of gas cylinders "/>
    <x v="5"/>
    <s v="Appreciate the safe work"/>
    <m/>
    <m/>
    <m/>
    <m/>
    <m/>
    <x v="1"/>
    <m/>
  </r>
  <r>
    <n v="1337"/>
    <x v="139"/>
    <s v="Mohamed Abdallah"/>
    <x v="0"/>
    <s v="HSE"/>
    <x v="3"/>
    <x v="9"/>
    <x v="17"/>
    <s v="On-site cylinders are handled safely "/>
    <x v="5"/>
    <s v="Encouraged him for their commitment"/>
    <m/>
    <m/>
    <m/>
    <m/>
    <m/>
    <x v="1"/>
    <m/>
  </r>
  <r>
    <n v="1338"/>
    <x v="139"/>
    <s v="Mahmoud Abdelnaser"/>
    <x v="0"/>
    <s v="HSE"/>
    <x v="2"/>
    <x v="5"/>
    <x v="7"/>
    <s v="Eye wash station (Saline Solution) was changed and checklist is updated as required"/>
    <x v="5"/>
    <s v="Appreciated the Good Work "/>
    <m/>
    <m/>
    <m/>
    <m/>
    <m/>
    <x v="1"/>
    <m/>
  </r>
  <r>
    <n v="1339"/>
    <x v="138"/>
    <s v="Kareem Ehab"/>
    <x v="0"/>
    <s v="Welding Sup"/>
    <x v="2"/>
    <x v="1"/>
    <x v="5"/>
    <s v="Welding equipments are  inspected , provided with Inspection and in good condition "/>
    <x v="5"/>
    <s v="Appreciated the Good Work "/>
    <m/>
    <m/>
    <m/>
    <m/>
    <m/>
    <x v="1"/>
    <m/>
  </r>
  <r>
    <n v="1340"/>
    <x v="138"/>
    <s v="Mohamed Abdallah"/>
    <x v="0"/>
    <s v="HSE"/>
    <x v="3"/>
    <x v="17"/>
    <x v="14"/>
    <s v="Flag man is always guiding the forklift operator"/>
    <x v="5"/>
    <s v="Appreciated the good work"/>
    <m/>
    <m/>
    <m/>
    <m/>
    <m/>
    <x v="1"/>
    <m/>
  </r>
  <r>
    <n v="1341"/>
    <x v="138"/>
    <s v="Mahmoud Abdelnaser"/>
    <x v="0"/>
    <s v="HSE"/>
    <x v="3"/>
    <x v="3"/>
    <x v="4"/>
    <s v="A worker moved the gas cylinder to a safe distance before starting the welding activity as instructed before."/>
    <x v="5"/>
    <s v="Encouraged him for their commitment"/>
    <m/>
    <m/>
    <m/>
    <m/>
    <m/>
    <x v="1"/>
    <m/>
  </r>
  <r>
    <n v="1342"/>
    <x v="138"/>
    <s v="Omar Elmokhtar"/>
    <x v="0"/>
    <s v="Fitter"/>
    <x v="2"/>
    <x v="7"/>
    <x v="1"/>
    <s v="Scaffold in good condition, provided with retractable gate/updated Scaff tag and inspected periodically."/>
    <x v="5"/>
    <s v="Appreciated the Good Work "/>
    <m/>
    <m/>
    <m/>
    <m/>
    <m/>
    <x v="1"/>
    <m/>
  </r>
  <r>
    <n v="1343"/>
    <x v="138"/>
    <s v="Ibrahim Hamed"/>
    <x v="0"/>
    <s v="HSE"/>
    <x v="0"/>
    <x v="9"/>
    <x v="3"/>
    <s v="observed  welding rods on scaffold platform"/>
    <x v="0"/>
    <s v="housekeeping was done "/>
    <m/>
    <m/>
    <m/>
    <m/>
    <m/>
    <x v="0"/>
    <m/>
  </r>
  <r>
    <n v="1344"/>
    <x v="138"/>
    <s v="Mostafa Abdelgany"/>
    <x v="0"/>
    <s v="HSE"/>
    <x v="0"/>
    <x v="9"/>
    <x v="7"/>
    <s v="sharp edges need to  be cut "/>
    <x v="0"/>
    <s v="Some of sharp edges were cut and residual protected by traffic cones to avoid contact with sharp edges"/>
    <m/>
    <m/>
    <m/>
    <m/>
    <m/>
    <x v="0"/>
    <m/>
  </r>
  <r>
    <n v="1345"/>
    <x v="138"/>
    <s v="Abdelfatah Mohamed"/>
    <x v="0"/>
    <s v="HSE"/>
    <x v="0"/>
    <x v="12"/>
    <x v="8"/>
    <s v="Observed a weebing sling not color coded "/>
    <x v="0"/>
    <s v="Informed rigging sup to reinspect the weebing sling and put the color code , "/>
    <m/>
    <m/>
    <m/>
    <m/>
    <m/>
    <x v="0"/>
    <m/>
  </r>
  <r>
    <n v="1346"/>
    <x v="138"/>
    <s v="Ahmed Sobhy "/>
    <x v="0"/>
    <s v="HSE"/>
    <x v="0"/>
    <x v="11"/>
    <x v="3"/>
    <s v="Scarp need to be removed for safe access way causing tripping hazard "/>
    <x v="0"/>
    <s v="Instructed riggers to remove scrap , immediatley scarp was removed "/>
    <m/>
    <m/>
    <m/>
    <m/>
    <m/>
    <x v="0"/>
    <m/>
  </r>
  <r>
    <n v="1347"/>
    <x v="139"/>
    <s v="Mohamed Abdallah"/>
    <x v="0"/>
    <s v="HSE"/>
    <x v="0"/>
    <x v="11"/>
    <x v="1"/>
    <s v="some cables are in the access ot  scaffold ladder "/>
    <x v="0"/>
    <s v="Cable management was done and the access to scaffold ladder was clear"/>
    <m/>
    <m/>
    <m/>
    <m/>
    <m/>
    <x v="0"/>
    <m/>
  </r>
  <r>
    <n v="1348"/>
    <x v="139"/>
    <s v="Mahmoud Abdelnaser"/>
    <x v="0"/>
    <s v="HSE"/>
    <x v="0"/>
    <x v="0"/>
    <x v="8"/>
    <s v="one of shakles without color code and another one without serial number "/>
    <x v="0"/>
    <s v="Sup was informed the color code was placed on shackle and the other was excluded and sent to quarantine box"/>
    <m/>
    <m/>
    <m/>
    <m/>
    <m/>
    <x v="0"/>
    <m/>
  </r>
  <r>
    <n v="1349"/>
    <x v="142"/>
    <s v="Ahmed Sobhy "/>
    <x v="0"/>
    <s v="HSE"/>
    <x v="0"/>
    <x v="3"/>
    <x v="1"/>
    <s v="observed presence of a metal object in front of the scaffold's ladder inhibits movement"/>
    <x v="0"/>
    <s v="spoke to Sup to do re-arrangement of objects and clear access ways to the scaffolds "/>
    <m/>
    <m/>
    <m/>
    <m/>
    <m/>
    <x v="0"/>
    <m/>
  </r>
  <r>
    <n v="1350"/>
    <x v="142"/>
    <s v="Abdelfatah Mohamed"/>
    <x v="0"/>
    <s v="HSE"/>
    <x v="0"/>
    <x v="7"/>
    <x v="1"/>
    <s v="Observed  a crane hook without colorcode."/>
    <x v="0"/>
    <s v="Asked the supervisor to put the required colorcode based on the hook condition and certificate."/>
    <m/>
    <m/>
    <m/>
    <m/>
    <m/>
    <x v="0"/>
    <m/>
  </r>
  <r>
    <n v="1351"/>
    <x v="142"/>
    <s v="Mohamed Abdallah"/>
    <x v="0"/>
    <s v="HSE"/>
    <x v="0"/>
    <x v="9"/>
    <x v="1"/>
    <s v="Electric cables were running through a scaffolding structure."/>
    <x v="0"/>
    <s v="Inform PTJ HSE Officer and he informed the welders to remove the cables away and carry out proper cable management ."/>
    <m/>
    <m/>
    <m/>
    <m/>
    <m/>
    <x v="0"/>
    <m/>
  </r>
  <r>
    <n v="1352"/>
    <x v="142"/>
    <s v="Mahmoud Abdelnaser"/>
    <x v="0"/>
    <s v="HSE"/>
    <x v="0"/>
    <x v="5"/>
    <x v="3"/>
    <s v="some scrap Was found  on the ground causing some  tripping hazard "/>
    <x v="0"/>
    <s v="The supervisor was informed and removed immediately. "/>
    <m/>
    <m/>
    <m/>
    <m/>
    <m/>
    <x v="0"/>
    <m/>
  </r>
  <r>
    <n v="1353"/>
    <x v="142"/>
    <s v="Ahmed Sobhy "/>
    <x v="0"/>
    <s v="HSE"/>
    <x v="0"/>
    <x v="1"/>
    <x v="3"/>
    <s v="Observed some welding electrodes thrown on the ground."/>
    <x v="0"/>
    <s v="Issue was highlighted on Tuesday TBT."/>
    <m/>
    <m/>
    <m/>
    <m/>
    <m/>
    <x v="0"/>
    <m/>
  </r>
  <r>
    <n v="1354"/>
    <x v="144"/>
    <s v="Mohamed Abdallah"/>
    <x v="0"/>
    <s v="HSE"/>
    <x v="0"/>
    <x v="11"/>
    <x v="3"/>
    <s v="Poor cable management may lead to trip hazard"/>
    <x v="0"/>
    <s v="cable management was done immediately"/>
    <m/>
    <m/>
    <m/>
    <m/>
    <m/>
    <x v="0"/>
    <m/>
  </r>
  <r>
    <n v="1355"/>
    <x v="143"/>
    <s v="Mahmoud Abdelnaser"/>
    <x v="0"/>
    <s v="HSE"/>
    <x v="0"/>
    <x v="3"/>
    <x v="3"/>
    <s v="Cables need to arrangement "/>
    <x v="0"/>
    <s v="Tell the grinders sup to arrangement the cables "/>
    <m/>
    <m/>
    <m/>
    <m/>
    <m/>
    <x v="0"/>
    <m/>
  </r>
  <r>
    <n v="1356"/>
    <x v="143"/>
    <s v="Ahmed Sobhy "/>
    <x v="0"/>
    <s v="HSE"/>
    <x v="0"/>
    <x v="5"/>
    <x v="3"/>
    <s v="observed that no scrab waste basket inside the site"/>
    <x v="0"/>
    <s v="supervisor has been notified and a basket has been provided"/>
    <m/>
    <m/>
    <m/>
    <m/>
    <m/>
    <x v="0"/>
    <m/>
  </r>
  <r>
    <n v="1357"/>
    <x v="143"/>
    <s v="Ibrahim Hamed"/>
    <x v="0"/>
    <s v="HSE"/>
    <x v="0"/>
    <x v="9"/>
    <x v="3"/>
    <s v="observed improper housekeeping "/>
    <x v="0"/>
    <s v="housekeeping has been done "/>
    <m/>
    <m/>
    <m/>
    <m/>
    <m/>
    <x v="0"/>
    <m/>
  </r>
  <r>
    <n v="1358"/>
    <x v="143"/>
    <s v="Mostafa Abdelgany"/>
    <x v="0"/>
    <s v="HSE"/>
    <x v="0"/>
    <x v="9"/>
    <x v="0"/>
    <s v="One of the welding cable was observed extended without use"/>
    <x v="0"/>
    <s v="The welders have been notified and unused cables were concealed"/>
    <m/>
    <m/>
    <m/>
    <m/>
    <m/>
    <x v="0"/>
    <m/>
  </r>
  <r>
    <n v="1359"/>
    <x v="143"/>
    <s v="Abdelfatah Mohamed"/>
    <x v="0"/>
    <s v="HSE"/>
    <x v="0"/>
    <x v="12"/>
    <x v="3"/>
    <s v="It was observed that some work pieces stored wrongly at the fitters working _x000a_table"/>
    <x v="0"/>
    <s v="Spoke to fitters and they re-organized _x000a_the working table immediately"/>
    <m/>
    <m/>
    <m/>
    <m/>
    <m/>
    <x v="0"/>
    <m/>
  </r>
  <r>
    <n v="1360"/>
    <x v="144"/>
    <s v="Ahmed Sobhy "/>
    <x v="0"/>
    <s v="HSE"/>
    <x v="0"/>
    <x v="3"/>
    <x v="8"/>
    <s v="While site inspection it was observed that one of the soft slings has minor sign of damage"/>
    <x v="0"/>
    <s v="Asked the rigging supervisor to change the sling and he did, "/>
    <m/>
    <m/>
    <m/>
    <m/>
    <m/>
    <x v="0"/>
    <m/>
  </r>
  <r>
    <n v="1361"/>
    <x v="144"/>
    <s v="Mohamed Abdallah"/>
    <x v="0"/>
    <s v="HSE"/>
    <x v="0"/>
    <x v="11"/>
    <x v="7"/>
    <s v="One of HSE signs about to fall due to wind."/>
    <x v="0"/>
    <s v="Asked the SUP to reposition and stabilize it "/>
    <m/>
    <m/>
    <m/>
    <m/>
    <m/>
    <x v="0"/>
    <m/>
  </r>
  <r>
    <n v="1362"/>
    <x v="144"/>
    <s v="Mahmoud Abdelnaser"/>
    <x v="0"/>
    <s v="HSE"/>
    <x v="0"/>
    <x v="0"/>
    <x v="7"/>
    <s v="Heating torch left unattended while under operation Which may lead to a fire hazard"/>
    <x v="0"/>
    <s v="A special operator is assigned to attended the Heating Torch "/>
    <m/>
    <m/>
    <m/>
    <m/>
    <m/>
    <x v="0"/>
    <m/>
  </r>
  <r>
    <n v="1363"/>
    <x v="145"/>
    <s v="Ahmed Sobhy "/>
    <x v="0"/>
    <s v="HSE"/>
    <x v="0"/>
    <x v="7"/>
    <x v="7"/>
    <s v="Sharp edge not highlighted and can cause injury,"/>
    <x v="0"/>
    <s v="Highlighted the hazard condition to fitting supervisor and he had taken the corrective action,"/>
    <m/>
    <m/>
    <m/>
    <m/>
    <m/>
    <x v="0"/>
    <m/>
  </r>
  <r>
    <n v="1364"/>
    <x v="146"/>
    <s v="Abdelfatah Mohamed"/>
    <x v="0"/>
    <s v="HSE"/>
    <x v="0"/>
    <x v="9"/>
    <x v="8"/>
    <s v="A damage webbing sling was observed at the fabrication area  "/>
    <x v="0"/>
    <s v="Rigging foreman to ensure the pre-sue inspection is carried out and all damaged tools to be quarantined."/>
    <m/>
    <m/>
    <m/>
    <m/>
    <m/>
    <x v="0"/>
    <m/>
  </r>
  <r>
    <n v="1365"/>
    <x v="147"/>
    <s v="Mohamed Abdallah"/>
    <x v="0"/>
    <s v="HSE"/>
    <x v="0"/>
    <x v="5"/>
    <x v="3"/>
    <s v="Observed poor House keeping and improper material arrangement "/>
    <x v="0"/>
    <s v="The supervisor was informed and removed immediately. ."/>
    <m/>
    <m/>
    <m/>
    <m/>
    <m/>
    <x v="0"/>
    <m/>
  </r>
  <r>
    <n v="1366"/>
    <x v="150"/>
    <s v="Mahmoud Abdelnaser"/>
    <x v="0"/>
    <s v="HSE"/>
    <x v="0"/>
    <x v="1"/>
    <x v="7"/>
    <s v="some scaffold materials scattered on the ground"/>
    <x v="0"/>
    <s v="Asked the Scaffolder Sup to arrangement the material and the corrective action taken immediately"/>
    <m/>
    <m/>
    <m/>
    <m/>
    <m/>
    <x v="0"/>
    <m/>
  </r>
  <r>
    <n v="1367"/>
    <x v="150"/>
    <s v="Ahmed Sobhy "/>
    <x v="0"/>
    <s v="HSE"/>
    <x v="0"/>
    <x v="17"/>
    <x v="5"/>
    <s v="Observed welders using empty painting buckets  to collect electrodes in."/>
    <x v="0"/>
    <s v="Buckets were provided._x000a_Painting buckets were removed from site."/>
    <m/>
    <m/>
    <m/>
    <m/>
    <m/>
    <x v="0"/>
    <m/>
  </r>
  <r>
    <n v="1368"/>
    <x v="151"/>
    <s v="Mohamed Abdallah"/>
    <x v="0"/>
    <s v="HSE"/>
    <x v="0"/>
    <x v="3"/>
    <x v="5"/>
    <s v="Welding cables were not well organized."/>
    <x v="0"/>
    <s v="Cable management was done"/>
    <m/>
    <m/>
    <m/>
    <m/>
    <m/>
    <x v="0"/>
    <m/>
  </r>
  <r>
    <n v="1369"/>
    <x v="152"/>
    <s v="Mahmoud Abdelnaser"/>
    <x v="0"/>
    <s v="HSE"/>
    <x v="0"/>
    <x v="7"/>
    <x v="3"/>
    <s v="Observed improper material arrangement"/>
    <x v="0"/>
    <s v="materials have been arranged immediatly."/>
    <m/>
    <m/>
    <m/>
    <m/>
    <m/>
    <x v="0"/>
    <m/>
  </r>
  <r>
    <n v="1370"/>
    <x v="145"/>
    <s v="Ahmed Sobhy "/>
    <x v="0"/>
    <s v="HSE"/>
    <x v="0"/>
    <x v="9"/>
    <x v="8"/>
    <s v="Observed lifting shackles without color code "/>
    <x v="0"/>
    <s v="Asked the rigging supervisor to inspect the shackle and apply the right colorcode"/>
    <m/>
    <m/>
    <m/>
    <m/>
    <m/>
    <x v="0"/>
    <m/>
  </r>
  <r>
    <n v="1371"/>
    <x v="146"/>
    <s v="Ibrahim Hamed"/>
    <x v="0"/>
    <s v="HSE"/>
    <x v="0"/>
    <x v="9"/>
    <x v="7"/>
    <s v="Poor scaffolding material arrangement"/>
    <x v="0"/>
    <s v="asked the scaffolder sup and The material was arranged properly"/>
    <m/>
    <m/>
    <m/>
    <m/>
    <m/>
    <x v="0"/>
    <m/>
  </r>
  <r>
    <n v="1372"/>
    <x v="147"/>
    <s v="Mostafa Abdelgany"/>
    <x v="0"/>
    <s v="HSE"/>
    <x v="0"/>
    <x v="12"/>
    <x v="8"/>
    <s v=" observed that one of the soft slings has minor sign of damage"/>
    <x v="0"/>
    <s v="Asked the rigging sup to change the sling and he did, "/>
    <m/>
    <m/>
    <m/>
    <m/>
    <m/>
    <x v="0"/>
    <m/>
  </r>
  <r>
    <n v="1373"/>
    <x v="150"/>
    <s v="Abdelfatah Mohamed"/>
    <x v="0"/>
    <s v="HSE"/>
    <x v="0"/>
    <x v="11"/>
    <x v="8"/>
    <s v="Improper attaching of the slings to the chain block hook and the hook has no latches."/>
    <x v="0"/>
    <s v=" work was stopped.- A TBT was conducted with riggers and the hazard was addressed.-the chain block has been replaced."/>
    <m/>
    <m/>
    <m/>
    <m/>
    <m/>
    <x v="0"/>
    <m/>
  </r>
  <r>
    <n v="1374"/>
    <x v="150"/>
    <s v="Ahmed Sobhy "/>
    <x v="0"/>
    <s v="HSE"/>
    <x v="0"/>
    <x v="11"/>
    <x v="3"/>
    <s v="Poor cable arrangement in a welding point that exposes workers to trip risk"/>
    <x v="0"/>
    <s v="The work was stopped and the cables were arranged properly."/>
    <m/>
    <m/>
    <m/>
    <m/>
    <m/>
    <x v="0"/>
    <m/>
  </r>
  <r>
    <n v="1375"/>
    <x v="151"/>
    <s v="Mohamed Abdallah"/>
    <x v="0"/>
    <s v="HSE"/>
    <x v="0"/>
    <x v="0"/>
    <x v="1"/>
    <s v="Observed an incomplete scaffold with no limitation to its access."/>
    <x v="0"/>
    <s v="Warning tape was added to prevent workers from going up."/>
    <m/>
    <m/>
    <m/>
    <m/>
    <m/>
    <x v="0"/>
    <m/>
  </r>
  <r>
    <n v="1376"/>
    <x v="152"/>
    <s v="Mahmoud Abdelnaser"/>
    <x v="0"/>
    <s v="HSE"/>
    <x v="0"/>
    <x v="3"/>
    <x v="8"/>
    <s v="color code in some lift slings needs to be clear"/>
    <x v="0"/>
    <s v="asked lifting team to clarifying color code of slings and they did."/>
    <m/>
    <m/>
    <m/>
    <m/>
    <m/>
    <x v="0"/>
    <m/>
  </r>
  <r>
    <n v="1377"/>
    <x v="145"/>
    <s v="Ahmed Sobhy "/>
    <x v="0"/>
    <s v="HSE"/>
    <x v="0"/>
    <x v="7"/>
    <x v="5"/>
    <s v="Observed that welding machine nearby the fabrication activity"/>
    <x v="0"/>
    <s v="Spoke to rigging supervisor to relocate the welding machine, _x000a_They have been relocated."/>
    <m/>
    <m/>
    <m/>
    <m/>
    <m/>
    <x v="0"/>
    <m/>
  </r>
  <r>
    <n v="1378"/>
    <x v="146"/>
    <s v="Omar Elmokhtar"/>
    <x v="0"/>
    <s v="Fitter"/>
    <x v="0"/>
    <x v="9"/>
    <x v="1"/>
    <s v="Inspection scaffold tag for one of scaffold was not in place."/>
    <x v="3"/>
    <s v="Stopped the fitters and asked them to get down and emphasized the issue with scaffold inspector at site and he corrected"/>
    <m/>
    <m/>
    <m/>
    <m/>
    <m/>
    <x v="0"/>
    <m/>
  </r>
  <r>
    <n v="1379"/>
    <x v="147"/>
    <s v="Mohamed Abdallah"/>
    <x v="0"/>
    <s v="HSE"/>
    <x v="1"/>
    <x v="5"/>
    <x v="2"/>
    <s v="observed grinder was working without ear plugs"/>
    <x v="3"/>
    <s v="stopped him to wear ear plug "/>
    <m/>
    <m/>
    <m/>
    <m/>
    <m/>
    <x v="0"/>
    <m/>
  </r>
  <r>
    <n v="1380"/>
    <x v="150"/>
    <s v="Mahmoud Abdelnaser"/>
    <x v="0"/>
    <s v="HSE"/>
    <x v="1"/>
    <x v="1"/>
    <x v="5"/>
    <s v="Grinding spark towards crane"/>
    <x v="3"/>
    <s v="spoke to the grinder to change his position "/>
    <m/>
    <m/>
    <m/>
    <m/>
    <m/>
    <x v="0"/>
    <m/>
  </r>
  <r>
    <n v="1381"/>
    <x v="151"/>
    <s v="Ahmed Sobhy "/>
    <x v="0"/>
    <s v="HSE"/>
    <x v="1"/>
    <x v="11"/>
    <x v="2"/>
    <s v="Observed a grinder working without safety glasses"/>
    <x v="3"/>
    <s v="Stopped him and asked him not to do this  again."/>
    <m/>
    <m/>
    <m/>
    <m/>
    <m/>
    <x v="0"/>
    <m/>
  </r>
  <r>
    <n v="1382"/>
    <x v="152"/>
    <s v="Mohamed Abdallah"/>
    <x v="0"/>
    <s v="HSE"/>
    <x v="1"/>
    <x v="3"/>
    <x v="2"/>
    <s v="One of worker was observed working without gloves"/>
    <x v="3"/>
    <s v="stopped the worker and asked him to wear the gloves "/>
    <m/>
    <m/>
    <m/>
    <m/>
    <m/>
    <x v="0"/>
    <m/>
  </r>
  <r>
    <n v="1383"/>
    <x v="145"/>
    <s v="Mahmoud Abdelnaser"/>
    <x v="0"/>
    <s v="HSE"/>
    <x v="1"/>
    <x v="5"/>
    <x v="2"/>
    <s v="observed grinder was working without ear plugs "/>
    <x v="3"/>
    <s v="stopped him to wear ear plug "/>
    <m/>
    <m/>
    <m/>
    <m/>
    <m/>
    <x v="0"/>
    <m/>
  </r>
  <r>
    <n v="1384"/>
    <x v="146"/>
    <s v="Ahmed Sobhy "/>
    <x v="0"/>
    <s v="HSE"/>
    <x v="1"/>
    <x v="9"/>
    <x v="2"/>
    <s v="One worker wearing a damage safety shoes ."/>
    <x v="3"/>
    <s v="Stopped the worker and asked him to change the safety shoes by another one "/>
    <m/>
    <m/>
    <m/>
    <m/>
    <m/>
    <x v="0"/>
    <m/>
  </r>
  <r>
    <n v="1385"/>
    <x v="147"/>
    <s v="Ibrahim Hamed"/>
    <x v="0"/>
    <s v="HSE"/>
    <x v="1"/>
    <x v="9"/>
    <x v="2"/>
    <s v="One of the fitting team operating and he was not wearing gloves"/>
    <x v="3"/>
    <s v="Stopped the worker and spoke to him about the importance of wearing the hand protection._x000a_It was highlighted on Monday HSE TBT."/>
    <m/>
    <m/>
    <m/>
    <m/>
    <m/>
    <x v="0"/>
    <m/>
  </r>
  <r>
    <n v="1386"/>
    <x v="150"/>
    <s v="Mostafa Abdelgany"/>
    <x v="0"/>
    <s v="HSE"/>
    <x v="2"/>
    <x v="12"/>
    <x v="5"/>
    <s v="Good securing of gas cylinders on trolly provided with protection cap and fixed by chains and with bottle  of water and soap"/>
    <x v="5"/>
    <s v="Appreciate the good job."/>
    <m/>
    <m/>
    <m/>
    <m/>
    <m/>
    <x v="1"/>
    <m/>
  </r>
  <r>
    <n v="1387"/>
    <x v="150"/>
    <s v="Abdelfatah Mohamed"/>
    <x v="0"/>
    <s v="HSE"/>
    <x v="3"/>
    <x v="3"/>
    <x v="2"/>
    <s v="Good commitment from the work force with the site required PPE"/>
    <x v="5"/>
    <s v="Appreciate the good job."/>
    <m/>
    <m/>
    <m/>
    <m/>
    <m/>
    <x v="1"/>
    <m/>
  </r>
  <r>
    <n v="1388"/>
    <x v="151"/>
    <s v="Ahmed Sobhy "/>
    <x v="0"/>
    <s v="HSE"/>
    <x v="2"/>
    <x v="11"/>
    <x v="5"/>
    <s v="Observed that they have flash back arrestor in both oxy and gas lines and use water test in the cylinder"/>
    <x v="5"/>
    <s v="Appreciate the good job."/>
    <m/>
    <m/>
    <m/>
    <m/>
    <m/>
    <x v="1"/>
    <m/>
  </r>
  <r>
    <n v="1389"/>
    <x v="152"/>
    <s v="Mohamed Abdallah"/>
    <x v="0"/>
    <s v="HSE"/>
    <x v="3"/>
    <x v="0"/>
    <x v="2"/>
    <s v="One of the grinding team is wearing full PPE, proper gloves and leather apron as required."/>
    <x v="5"/>
    <s v="Appreciate the good job."/>
    <m/>
    <m/>
    <m/>
    <m/>
    <m/>
    <x v="1"/>
    <m/>
  </r>
  <r>
    <n v="1390"/>
    <x v="153"/>
    <s v="Ahmed Sobhy "/>
    <x v="0"/>
    <s v="HSE"/>
    <x v="2"/>
    <x v="7"/>
    <x v="5"/>
    <s v="Good securing of gas cylinders on trolly provided with protection cap and fixed by chains and with bottle  of water and soap"/>
    <x v="5"/>
    <s v="Appreciate the good job."/>
    <m/>
    <m/>
    <m/>
    <m/>
    <m/>
    <x v="1"/>
    <m/>
  </r>
  <r>
    <n v="1391"/>
    <x v="154"/>
    <s v="Abdelfatah Mohamed"/>
    <x v="0"/>
    <s v="HSE"/>
    <x v="3"/>
    <x v="9"/>
    <x v="2"/>
    <s v="One of the grinding team is wearing full PPE, proper gloves and leather apron as required."/>
    <x v="5"/>
    <s v="Appreciate the good job."/>
    <m/>
    <m/>
    <m/>
    <m/>
    <s v="Invalid"/>
    <x v="1"/>
    <m/>
  </r>
  <r>
    <n v="1392"/>
    <x v="155"/>
    <s v="Mohamed Abdallah"/>
    <x v="0"/>
    <s v="HSE"/>
    <x v="1"/>
    <x v="5"/>
    <x v="4"/>
    <s v="one worker standing next to the crane during lifting operation "/>
    <x v="0"/>
    <s v="instructed the worker to go away the manuvering crane area"/>
    <m/>
    <m/>
    <m/>
    <m/>
    <m/>
    <x v="0"/>
    <m/>
  </r>
  <r>
    <n v="1393"/>
    <x v="155"/>
    <s v="Mahmoud Abdelnaser"/>
    <x v="0"/>
    <s v="HSE"/>
    <x v="0"/>
    <x v="1"/>
    <x v="0"/>
    <s v="Observed poor welding cables management"/>
    <x v="0"/>
    <s v="proper cable management was done"/>
    <m/>
    <m/>
    <m/>
    <m/>
    <m/>
    <x v="0"/>
    <m/>
  </r>
  <r>
    <n v="1394"/>
    <x v="156"/>
    <s v="Ahmed Sobhy "/>
    <x v="0"/>
    <s v="HSE"/>
    <x v="0"/>
    <x v="11"/>
    <x v="5"/>
    <s v="gas cylinder without protection cap "/>
    <x v="0"/>
    <s v="telling to Welding Sup and he put cap on it "/>
    <m/>
    <m/>
    <m/>
    <m/>
    <m/>
    <x v="0"/>
    <m/>
  </r>
  <r>
    <n v="1395"/>
    <x v="157"/>
    <s v="Mohamed Abdallah"/>
    <x v="0"/>
    <s v="HSE"/>
    <x v="0"/>
    <x v="3"/>
    <x v="0"/>
    <s v="It has been observed that there some welding cables are damaged"/>
    <x v="3"/>
    <s v="inform welding supervisor to change the damaged cables."/>
    <m/>
    <m/>
    <m/>
    <m/>
    <m/>
    <x v="0"/>
    <m/>
  </r>
  <r>
    <n v="1396"/>
    <x v="158"/>
    <s v="Mahmoud Abdelnaser"/>
    <x v="0"/>
    <s v="HSE"/>
    <x v="0"/>
    <x v="5"/>
    <x v="3"/>
    <s v="Observed poor House keeping and improper material arrangement "/>
    <x v="0"/>
    <s v="materials has been arranged  "/>
    <m/>
    <m/>
    <m/>
    <m/>
    <m/>
    <x v="0"/>
    <m/>
  </r>
  <r>
    <n v="1397"/>
    <x v="153"/>
    <s v="Ahmed Sobhy "/>
    <x v="0"/>
    <s v="HSE"/>
    <x v="0"/>
    <x v="9"/>
    <x v="5"/>
    <s v="Propane gauge wasnot working well"/>
    <x v="0"/>
    <s v="Informmed worker and sup to replace it , They  replaced it "/>
    <m/>
    <m/>
    <m/>
    <m/>
    <m/>
    <x v="0"/>
    <m/>
  </r>
  <r>
    <n v="1398"/>
    <x v="154"/>
    <s v="Ibrahim Hamed"/>
    <x v="0"/>
    <s v="HSE"/>
    <x v="0"/>
    <x v="9"/>
    <x v="3"/>
    <s v="scaffolding material in the access"/>
    <x v="0"/>
    <s v="ask the scaffolding sup to clean the acces"/>
    <m/>
    <m/>
    <m/>
    <m/>
    <m/>
    <x v="0"/>
    <m/>
  </r>
  <r>
    <n v="1399"/>
    <x v="155"/>
    <s v="Mostafa Abdelgany"/>
    <x v="0"/>
    <s v="HSE"/>
    <x v="0"/>
    <x v="12"/>
    <x v="8"/>
    <s v="While site inspection it was observed that one of the soft slings has minor sign of damage"/>
    <x v="3"/>
    <s v="Asked the rigging supervisor to change the sling and he did,"/>
    <m/>
    <m/>
    <m/>
    <m/>
    <m/>
    <x v="0"/>
    <m/>
  </r>
  <r>
    <n v="1400"/>
    <x v="155"/>
    <s v="Abdelfatah Mohamed"/>
    <x v="0"/>
    <s v="HSE"/>
    <x v="0"/>
    <x v="3"/>
    <x v="5"/>
    <s v="Cabels were found in bad condition"/>
    <x v="0"/>
    <s v="Cabel management was conducted"/>
    <m/>
    <m/>
    <m/>
    <m/>
    <m/>
    <x v="0"/>
    <m/>
  </r>
  <r>
    <n v="1401"/>
    <x v="156"/>
    <s v="Ahmed Sobhy "/>
    <x v="0"/>
    <s v="HSE"/>
    <x v="0"/>
    <x v="11"/>
    <x v="1"/>
    <s v="Scaffold was having open spots not covered by timber boards creating a falling hazards."/>
    <x v="3"/>
    <s v="openings were protected by timber boards"/>
    <m/>
    <m/>
    <m/>
    <m/>
    <m/>
    <x v="0"/>
    <m/>
  </r>
  <r>
    <n v="1402"/>
    <x v="157"/>
    <s v="Mohamed Abdallah"/>
    <x v="0"/>
    <s v="HSE"/>
    <x v="0"/>
    <x v="0"/>
    <x v="3"/>
    <s v="Observed pipes and beams which are blocked the access ways "/>
    <x v="0"/>
    <s v="Informed Lifting sup, he removed it immediately"/>
    <m/>
    <m/>
    <m/>
    <m/>
    <m/>
    <x v="0"/>
    <m/>
  </r>
  <r>
    <n v="1403"/>
    <x v="152"/>
    <s v="Abdelhady Ghalwash"/>
    <x v="2"/>
    <s v="HSE"/>
    <x v="0"/>
    <x v="1"/>
    <x v="3"/>
    <s v="Observed cables not properly arranged and some housekeeping need to be done"/>
    <x v="1"/>
    <s v="Advised to arrange cables to avoid slip and trip hazard _x000a_and maintain house keeping in area"/>
    <m/>
    <m/>
    <m/>
    <m/>
    <m/>
    <x v="0"/>
    <m/>
  </r>
  <r>
    <n v="1404"/>
    <x v="151"/>
    <s v="Abdelhady Ghalwash"/>
    <x v="2"/>
    <s v="HSE"/>
    <x v="0"/>
    <x v="7"/>
    <x v="1"/>
    <s v="Observed workers working on with no safe platform to cover  gaps In frame"/>
    <x v="1"/>
    <s v="Suspended activity _x000a_advised to cover gaps to make workplace safe"/>
    <m/>
    <m/>
    <m/>
    <m/>
    <m/>
    <x v="0"/>
    <m/>
  </r>
  <r>
    <n v="1405"/>
    <x v="151"/>
    <s v="Abdelhady Ghalwash"/>
    <x v="2"/>
    <s v="HSE"/>
    <x v="0"/>
    <x v="7"/>
    <x v="3"/>
    <s v="Observed the access at worksite is blocked by electrical panels "/>
    <x v="1"/>
    <s v="Advised to relocate electrical panels to clear access way"/>
    <m/>
    <m/>
    <m/>
    <m/>
    <m/>
    <x v="0"/>
    <m/>
  </r>
  <r>
    <n v="1406"/>
    <x v="159"/>
    <s v="Mahmoud Samir"/>
    <x v="2"/>
    <s v="HSE"/>
    <x v="0"/>
    <x v="0"/>
    <x v="8"/>
    <s v="It was observed that unsafe lifting activities lifting gears not matching and the _x000a_lifting work place not secured by caution tap. "/>
    <x v="1"/>
    <s v="The lifting activity was suspended until the supervisor replaced the lifting gears and secured the area with caution tape around the activity zone. "/>
    <s v="The HSE department instructed that the lifting team be sent for retraining, and _x000a_requested that feedback be submitted upon completion."/>
    <m/>
    <m/>
    <m/>
    <m/>
    <x v="0"/>
    <m/>
  </r>
  <r>
    <n v="1407"/>
    <x v="160"/>
    <s v="Mahmoud Samir"/>
    <x v="2"/>
    <s v="HSE"/>
    <x v="0"/>
    <x v="4"/>
    <x v="3"/>
    <s v="It was observed that materials with sharp edges were stored in the workplace."/>
    <x v="1"/>
    <s v="Workshop supervisor instructed that remove all materials to temporary storage area and check the site condition before start activities. "/>
    <m/>
    <m/>
    <m/>
    <m/>
    <m/>
    <x v="0"/>
    <m/>
  </r>
  <r>
    <n v="1408"/>
    <x v="161"/>
    <s v="Mahmoud Samir"/>
    <x v="2"/>
    <s v="HSE"/>
    <x v="1"/>
    <x v="2"/>
    <x v="1"/>
    <s v="It was observed grinder during fabrication activity using unsafe scaffold  platform to grinding materials. "/>
    <x v="1"/>
    <s v="The activity was suspended, and the HSE workshop team was instructed to take disciplinary action against the worker and arrange for retraining on safe work at height. "/>
    <m/>
    <m/>
    <m/>
    <m/>
    <m/>
    <x v="0"/>
    <m/>
  </r>
  <r>
    <n v="1409"/>
    <x v="162"/>
    <s v="Mahmoud Samir"/>
    <x v="2"/>
    <s v="HSE"/>
    <x v="0"/>
    <x v="0"/>
    <x v="3"/>
    <s v="It was observed bad housekeeping and the cable management in a bad condition "/>
    <x v="1"/>
    <s v="The area supervisor and HSE team instructed that cable management be rearranged and proper housekeeping be completed before starting any activities. "/>
    <m/>
    <m/>
    <m/>
    <m/>
    <m/>
    <x v="0"/>
    <m/>
  </r>
  <r>
    <n v="1410"/>
    <x v="159"/>
    <s v="Mahmoud Samir"/>
    <x v="2"/>
    <s v="HSE"/>
    <x v="3"/>
    <x v="0"/>
    <x v="9"/>
    <s v="It was observed that the fitting supervisor provided good supervision during the ongoing activities "/>
    <x v="5"/>
    <s v="positive feedback was given, and an incentive card was issued in recognition of his commitment to safe work practices. "/>
    <m/>
    <m/>
    <m/>
    <m/>
    <m/>
    <x v="1"/>
    <m/>
  </r>
  <r>
    <n v="1411"/>
    <x v="159"/>
    <s v="Mahmoud Samir"/>
    <x v="2"/>
    <s v="HSE"/>
    <x v="0"/>
    <x v="0"/>
    <x v="18"/>
    <s v="It was observed that a welding machine had a damaged cable during welding activities. "/>
    <x v="1"/>
    <s v="The workshop supervisor was informed to stop the activity and replace any damaged equipment before resuming work. "/>
    <m/>
    <m/>
    <m/>
    <m/>
    <m/>
    <x v="0"/>
    <m/>
  </r>
  <r>
    <n v="1412"/>
    <x v="159"/>
    <s v="Mahmoud Samir"/>
    <x v="2"/>
    <s v="HSE"/>
    <x v="3"/>
    <x v="2"/>
    <x v="2"/>
    <s v="Observed a grinder following proper safety procedures, wearing the required PPE, and ensuring good housekeeping at the workplace. "/>
    <x v="5"/>
    <s v="positive feedback was given, and an incentive card was issued in recognition of his commitment to safe work practices."/>
    <m/>
    <m/>
    <m/>
    <m/>
    <m/>
    <x v="1"/>
    <m/>
  </r>
  <r>
    <n v="1413"/>
    <x v="160"/>
    <s v="Mohamed Saber"/>
    <x v="2"/>
    <s v="HSE"/>
    <x v="0"/>
    <x v="0"/>
    <x v="5"/>
    <s v="Observed that the CGCs are stored close to each other without safe segregation "/>
    <x v="2"/>
    <s v="Advised area supervisor to safely segregate CGCs"/>
    <m/>
    <m/>
    <m/>
    <m/>
    <m/>
    <x v="0"/>
    <m/>
  </r>
  <r>
    <n v="1414"/>
    <x v="159"/>
    <s v="Mohamed Saber"/>
    <x v="2"/>
    <s v="HSE"/>
    <x v="0"/>
    <x v="6"/>
    <x v="3"/>
    <s v="Observed that the general condition of housekeeping is poor and needs more attention. "/>
    <x v="2"/>
    <s v="Advised area supervisor &amp; HSE to ensure proper housekeeping to be arranged monitored at all times"/>
    <m/>
    <m/>
    <m/>
    <m/>
    <m/>
    <x v="0"/>
    <m/>
  </r>
  <r>
    <n v="1415"/>
    <x v="160"/>
    <s v="Abdelhady Ghalwash"/>
    <x v="2"/>
    <s v="HSE"/>
    <x v="0"/>
    <x v="7"/>
    <x v="0"/>
    <s v="I have observed the GFCI not working inside the electrical panel while making _x000a_random check. "/>
    <x v="2"/>
    <s v="Inform HSE PTJ to take action immediately.  _x000a_HSE PTJ isolate the panel until fix the GFCI.  "/>
    <s v="Make test for all GFCI and reporting the condition of all GFCI on site. "/>
    <m/>
    <m/>
    <m/>
    <m/>
    <x v="0"/>
    <m/>
  </r>
  <r>
    <n v="1416"/>
    <x v="159"/>
    <s v="Mohamed Saber"/>
    <x v="2"/>
    <s v="HSE"/>
    <x v="0"/>
    <x v="2"/>
    <x v="2"/>
    <s v="Observed that the grinder is using an unclear face shield that needs to be replaced."/>
    <x v="1"/>
    <s v="Suspended the job of grinder and advised the supervisor to immediately replace the face shield for the worker to commence work."/>
    <m/>
    <m/>
    <m/>
    <m/>
    <m/>
    <x v="0"/>
    <m/>
  </r>
  <r>
    <n v="1417"/>
    <x v="161"/>
    <s v="Abdelhady Ghalwash"/>
    <x v="2"/>
    <s v="HSE"/>
    <x v="0"/>
    <x v="1"/>
    <x v="0"/>
    <s v="I have observed Using electrical welding machine out of the isolated stand that _x000a_connected with earthing. "/>
    <x v="1"/>
    <s v="Inform HSE PTJ to take action immediately.  _x000a_HSE PTJ inform the supervisor to use the welding machine only from the stand connected with earthing. "/>
    <m/>
    <m/>
    <m/>
    <m/>
    <m/>
    <x v="0"/>
    <m/>
  </r>
  <r>
    <n v="1418"/>
    <x v="161"/>
    <s v="Mahmoud Nasr"/>
    <x v="2"/>
    <s v="HSE"/>
    <x v="0"/>
    <x v="6"/>
    <x v="1"/>
    <s v="I have observed the wood for scaffolding unstable. "/>
    <x v="2"/>
    <s v="Inform HSE PTJ to take action and fixed this woods with clamps.  "/>
    <m/>
    <m/>
    <m/>
    <m/>
    <m/>
    <x v="0"/>
    <m/>
  </r>
  <r>
    <n v="1419"/>
    <x v="160"/>
    <s v="Mahmoud Nasr"/>
    <x v="2"/>
    <s v="HSE"/>
    <x v="0"/>
    <x v="18"/>
    <x v="18"/>
    <s v="I have observed the overhead crane have oil on the chains and the wire _x000a_absorbed the oil "/>
    <x v="2"/>
    <s v="Inform HSE PTJ to take action immediately.  _x000a_HSE PTJ stope the overhead crane until clean all this oil and change the wire.  "/>
    <m/>
    <m/>
    <m/>
    <m/>
    <m/>
    <x v="0"/>
    <m/>
  </r>
  <r>
    <n v="1420"/>
    <x v="161"/>
    <s v="Mahmoud Nasr"/>
    <x v="2"/>
    <s v="HSE"/>
    <x v="0"/>
    <x v="7"/>
    <x v="0"/>
    <s v="I have observed damage plug inside the electrical panel. "/>
    <x v="2"/>
    <s v="Inform HSE PTJ to take action immediately.  _x000a_HSE PTJ shutdown the panel until the electrical technician fix it.  "/>
    <m/>
    <m/>
    <m/>
    <m/>
    <m/>
    <x v="0"/>
    <m/>
  </r>
  <r>
    <n v="1421"/>
    <x v="163"/>
    <s v="Ehab Ibrahim Hassan"/>
    <x v="1"/>
    <s v="Coating Inspector"/>
    <x v="0"/>
    <x v="6"/>
    <x v="2"/>
    <s v="Some technicians were doing stripe coat using dust masks instead of chemical masks. "/>
    <x v="2"/>
    <s v="Work stopped until they got the chemical mask that were not enough for all the technicians, however, only technicians with chemical masks were allowed to proceed with work. "/>
    <s v="Safety issues to be discussed in the blasting and painting daily TBT. "/>
    <m/>
    <m/>
    <m/>
    <m/>
    <x v="0"/>
    <m/>
  </r>
  <r>
    <n v="1422"/>
    <x v="159"/>
    <s v="Ehab Ibrahim Hassan"/>
    <x v="1"/>
    <s v="Coating Inspector"/>
    <x v="1"/>
    <x v="6"/>
    <x v="2"/>
    <s v="Some technicians were performing mechanical repairs on mudmat 112M without facial masks. "/>
    <x v="2"/>
    <s v="Advised them to wear masks to avoid inhaling smoke or any air-borne products during repairs and grinding works."/>
    <m/>
    <m/>
    <m/>
    <m/>
    <m/>
    <x v="0"/>
    <m/>
  </r>
  <r>
    <n v="1423"/>
    <x v="159"/>
    <s v="Olivier Toupin"/>
    <x v="1"/>
    <s v="QC"/>
    <x v="0"/>
    <x v="0"/>
    <x v="8"/>
    <s v="Excess materials at the front of WS#4 has been seen to be well barricaded to ensure no workers enter the area "/>
    <x v="2"/>
    <s v="Barricade during lifting operation:  _x000a_Bariade made only from cones and only on 1 side, the other sides remain opened  "/>
    <s v="We stopped the crane operator and talked to him "/>
    <m/>
    <m/>
    <m/>
    <m/>
    <x v="0"/>
    <m/>
  </r>
  <r>
    <n v="1424"/>
    <x v="156"/>
    <s v="Olivier Toupin"/>
    <x v="1"/>
    <s v="QC"/>
    <x v="0"/>
    <x v="6"/>
    <x v="4"/>
    <s v="During lifting of a yoke, a worker was standing under to adjust the support. "/>
    <x v="1"/>
    <s v="We stopped the operation and asked the worker to move from this position."/>
    <s v="Reinforcement of PTJ HSE personnel "/>
    <m/>
    <m/>
    <m/>
    <m/>
    <x v="0"/>
    <m/>
  </r>
  <r>
    <n v="1425"/>
    <x v="164"/>
    <s v="Ehab Ibrahim Hassan"/>
    <x v="1"/>
    <s v="Coating Inspector"/>
    <x v="1"/>
    <x v="6"/>
    <x v="16"/>
    <s v="Use of mobile phone inside the blasting yard. "/>
    <x v="1"/>
    <s v="A verbal warning was issued to the technician. "/>
    <s v="Safety issues to be discussed in the blasting and painting daily TBT.  "/>
    <m/>
    <m/>
    <m/>
    <m/>
    <x v="0"/>
    <m/>
  </r>
  <r>
    <n v="1426"/>
    <x v="165"/>
    <s v="Ehab Ibrahim Hassan"/>
    <x v="1"/>
    <s v="Coating Inspector"/>
    <x v="0"/>
    <x v="6"/>
    <x v="3"/>
    <s v="Blasting yard poor housekeeping. "/>
    <x v="2"/>
    <s v="Instructed PTJ supervisor to do housekeeping for the yard. "/>
    <s v="Issue to be highlighted in the subcontractor pre-job TBT. "/>
    <m/>
    <m/>
    <m/>
    <m/>
    <x v="0"/>
    <m/>
  </r>
  <r>
    <n v="1427"/>
    <x v="166"/>
    <s v="Gamal Abdelgawad"/>
    <x v="1"/>
    <s v="Fabrication"/>
    <x v="2"/>
    <x v="1"/>
    <x v="3"/>
    <s v="CPY observed a proper Housekeeping for fabrication activities included prefabrication and welding, have been carried out properly, inside fabrication workshop#4"/>
    <x v="5"/>
    <s v="CPY approach TFMC / PTJ HSE representative, to encourage the whole team have been involved in the lifting operation, for their commitment to HSE rules and requirements.  "/>
    <m/>
    <m/>
    <m/>
    <m/>
    <m/>
    <x v="1"/>
    <m/>
  </r>
  <r>
    <n v="1428"/>
    <x v="166"/>
    <s v="Gamal Abdelgawad"/>
    <x v="1"/>
    <s v="Fabrication"/>
    <x v="0"/>
    <x v="0"/>
    <x v="18"/>
    <s v="CPY observed several pieces of unit weights being placed and lifted over one structure, without determining the weight or showing any base design report."/>
    <x v="1"/>
    <s v="CPY approached TFMC / PTJ HSE, to take immediate action to ensure that all safety requirements are in place to prevent such a risk. "/>
    <s v="CPY recommended to ensure that items which are subject to lifted to be fully inspected and released based on official design report and QC report. "/>
    <m/>
    <m/>
    <m/>
    <m/>
    <x v="0"/>
    <m/>
  </r>
  <r>
    <n v="1429"/>
    <x v="166"/>
    <s v="Gamal Abdelgawad"/>
    <x v="1"/>
    <s v="Fabrication"/>
    <x v="0"/>
    <x v="0"/>
    <x v="18"/>
    <s v="CPY observed that there is a risk of fallen objects where the free end of work specimen during the grinding and not fully secured / clamped onto the stand used to support during the grinding operation. "/>
    <x v="1"/>
    <s v="CPY approached TFMC / PTJ HSE, to take an immediate action to ensure that all safety requirements are in place to prevent such a risk. "/>
    <s v="CPY recommended to ensure that items which are subject to grinded to be fully clamped onto the table used to support the drilling equipment / machine. "/>
    <m/>
    <m/>
    <m/>
    <m/>
    <x v="0"/>
    <m/>
  </r>
  <r>
    <n v="1430"/>
    <x v="166"/>
    <s v="Gamal Abdelgawad"/>
    <x v="1"/>
    <s v="Fabrication"/>
    <x v="0"/>
    <x v="8"/>
    <x v="7"/>
    <s v="CPY observed that, inside workshop #4 has got congested work area, with many SIMOPS operation. "/>
    <x v="2"/>
    <s v="CPY approached TFMC / PTJ HSE and fabrication team, to do all necessary corrective actions for this concern."/>
    <s v="CPY recommended TFMC/PTJ to have SIMOPS meeting to have proper planning for Workfront, to create a safe work environment . "/>
    <m/>
    <m/>
    <m/>
    <m/>
    <x v="0"/>
    <m/>
  </r>
  <r>
    <n v="1431"/>
    <x v="167"/>
    <s v="Mahmoud Samir"/>
    <x v="2"/>
    <s v="HSE"/>
    <x v="0"/>
    <x v="4"/>
    <x v="3"/>
    <s v="It has been observed storage materials on walk way inside workshop."/>
    <x v="2"/>
    <s v="The Fabrication Supervisor was informed to clear all walkways and check the condition of the storage areas to ensure safe access and proper housekeeping"/>
    <m/>
    <m/>
    <m/>
    <m/>
    <m/>
    <x v="0"/>
    <m/>
  </r>
  <r>
    <n v="1432"/>
    <x v="159"/>
    <s v="Mahmoud Samir"/>
    <x v="2"/>
    <s v="HSE "/>
    <x v="0"/>
    <x v="7"/>
    <x v="3"/>
    <s v="It has been observed closed access ways inside fabrication workshop area 1 due to bad cable management"/>
    <x v="1"/>
    <s v="I was contacted with HSE ptj and SV construction for made housekeeping and rearrangement cables_x000a_More supervision from supervisor and HSE PTJ"/>
    <m/>
    <m/>
    <m/>
    <m/>
    <m/>
    <x v="0"/>
    <m/>
  </r>
  <r>
    <n v="1433"/>
    <x v="167"/>
    <s v="Mahmoud Samir"/>
    <x v="2"/>
    <s v="HSE"/>
    <x v="0"/>
    <x v="1"/>
    <x v="4"/>
    <s v="It was observed that CAP supports were being used to hold the frame load, but the welding on the supports was not completed."/>
    <x v="2"/>
    <s v="Fabrication activities were suspended, and the supervisor was instructed to complete the welding on the CAP supports, conduct a re-inspection, and resume the work only after ensuring the supports are safe and compliant."/>
    <m/>
    <m/>
    <m/>
    <m/>
    <m/>
    <x v="0"/>
    <m/>
  </r>
  <r>
    <n v="1434"/>
    <x v="166"/>
    <s v="Mahmoud Samir"/>
    <x v="2"/>
    <s v="HSE"/>
    <x v="2"/>
    <x v="0"/>
    <x v="7"/>
    <s v="Observed temporary storage area Infront of workshop 1 well barricaded and organized."/>
    <x v="5"/>
    <s v="Appreciated the good job."/>
    <m/>
    <m/>
    <m/>
    <m/>
    <m/>
    <x v="1"/>
    <m/>
  </r>
  <r>
    <n v="1435"/>
    <x v="166"/>
    <s v="Mahmoud Samir"/>
    <x v="2"/>
    <s v="HSE"/>
    <x v="0"/>
    <x v="7"/>
    <x v="4"/>
    <s v="It was observed pipelines were found stored without proper chocking, creating a risk of movement or rolling, which could lead to injury or damage."/>
    <x v="2"/>
    <s v="The supervisor was informed to rearrange the pipelines and ensure they are properly secured with chocks to prevent any potential movement or hazard."/>
    <m/>
    <m/>
    <m/>
    <m/>
    <m/>
    <x v="0"/>
    <m/>
  </r>
  <r>
    <n v="1436"/>
    <x v="168"/>
    <s v="Mahmoud Samir"/>
    <x v="2"/>
    <s v="HSE"/>
    <x v="1"/>
    <x v="8"/>
    <x v="2"/>
    <s v="It was observed that a worker performing grinding activity was not wearing the required PPE, such as ear plugs and a welding apron."/>
    <x v="1"/>
    <s v="Immediate action was taken with the worker, and he was sent for retraining on the proper use of PPE and safe grinding practices."/>
    <m/>
    <m/>
    <m/>
    <m/>
    <m/>
    <x v="0"/>
    <m/>
  </r>
  <r>
    <n v="1437"/>
    <x v="168"/>
    <s v="Mahmoud Nasr"/>
    <x v="2"/>
    <s v="HSE"/>
    <x v="1"/>
    <x v="1"/>
    <x v="2"/>
    <s v="I have observed the Angle grinder worker using welding tools without PPE "/>
    <x v="1"/>
    <s v="Inform HSE PTJ to take action with him"/>
    <m/>
    <m/>
    <m/>
    <m/>
    <m/>
    <x v="0"/>
    <m/>
  </r>
  <r>
    <n v="1438"/>
    <x v="164"/>
    <s v="Mahmoud Elshahat"/>
    <x v="2"/>
    <s v="HSE"/>
    <x v="0"/>
    <x v="0"/>
    <x v="1"/>
    <s v="A worker was observed working on the elevated frame without any safe measures"/>
    <x v="1"/>
    <s v="Advised to worker to get off the frame_x000a_and make sure that guard rails are set up before working in the elevated frame"/>
    <m/>
    <m/>
    <m/>
    <m/>
    <m/>
    <x v="0"/>
    <m/>
  </r>
  <r>
    <n v="1439"/>
    <x v="169"/>
    <s v="Mohamed Saber"/>
    <x v="2"/>
    <s v="HSE"/>
    <x v="0"/>
    <x v="4"/>
    <x v="2"/>
    <s v="Observed that worker was wearing dark eye glasses in the workshop"/>
    <x v="1"/>
    <s v="Advised worker to use only transparent glasses inside workshop."/>
    <m/>
    <m/>
    <m/>
    <m/>
    <m/>
    <x v="0"/>
    <m/>
  </r>
  <r>
    <n v="1440"/>
    <x v="167"/>
    <s v="Mahmoud Elshahat"/>
    <x v="2"/>
    <s v="HSE"/>
    <x v="0"/>
    <x v="2"/>
    <x v="0"/>
    <s v="Welding cables were not updated with the new color code"/>
    <x v="1"/>
    <s v="Suspended work with the welding machine and request it to be inspected and updated with the new color code"/>
    <m/>
    <m/>
    <m/>
    <m/>
    <m/>
    <x v="0"/>
    <m/>
  </r>
  <r>
    <n v="1441"/>
    <x v="166"/>
    <s v="Mohamed Saber"/>
    <x v="2"/>
    <s v="HSE"/>
    <x v="0"/>
    <x v="7"/>
    <x v="4"/>
    <s v="Observed that Material was not safely secured on the working bench"/>
    <x v="1"/>
    <s v="Advised worker to properly secure materials on working bench using a bench vise."/>
    <m/>
    <m/>
    <m/>
    <m/>
    <m/>
    <x v="0"/>
    <m/>
  </r>
  <r>
    <n v="1442"/>
    <x v="170"/>
    <s v="Abdelhady Ghalwash"/>
    <x v="2"/>
    <s v="HSE"/>
    <x v="0"/>
    <x v="5"/>
    <x v="4"/>
    <s v="Observed that Material was not safely secured on the trailer leaving site"/>
    <x v="1"/>
    <s v="Stopped the trailer and advised proper latching to be used before movement of trailer"/>
    <m/>
    <m/>
    <m/>
    <m/>
    <m/>
    <x v="0"/>
    <m/>
  </r>
  <r>
    <n v="1443"/>
    <x v="166"/>
    <s v="Mahmoud Elshahat"/>
    <x v="2"/>
    <s v="HSE"/>
    <x v="0"/>
    <x v="2"/>
    <x v="4"/>
    <s v="Observed that the frame structure supports are not sufficient to withstand the frame structure"/>
    <x v="1"/>
    <s v="Advised the area supervisor to ensure the sufficient and appropriates supports are used under the frame structure"/>
    <m/>
    <m/>
    <m/>
    <m/>
    <m/>
    <x v="0"/>
    <m/>
  </r>
  <r>
    <n v="1444"/>
    <x v="166"/>
    <s v="Mohamed Saber"/>
    <x v="2"/>
    <s v="HSE"/>
    <x v="0"/>
    <x v="6"/>
    <x v="3"/>
    <s v="Observed poor housekeeping in area "/>
    <x v="1"/>
    <s v="Advised area supervisor to maintain regular housekeeping  "/>
    <m/>
    <m/>
    <m/>
    <m/>
    <m/>
    <x v="0"/>
    <m/>
  </r>
  <r>
    <n v="1445"/>
    <x v="169"/>
    <s v="Mahmoud Elshahat"/>
    <x v="2"/>
    <s v="HSE"/>
    <x v="0"/>
    <x v="2"/>
    <x v="5"/>
    <s v="Observed that the compressed gas cylinder hose was worn/cracked"/>
    <x v="1"/>
    <s v="Requested the CGC to be shut off _x000a_hose to be replaced then work to be resumed"/>
    <s v="Compressed gas cylinders to be inspected prior to work to ensure that is safe to be used"/>
    <m/>
    <m/>
    <m/>
    <m/>
    <x v="0"/>
    <m/>
  </r>
  <r>
    <n v="1446"/>
    <x v="169"/>
    <s v="Mahmoud Nasr"/>
    <x v="2"/>
    <s v="HSE"/>
    <x v="0"/>
    <x v="18"/>
    <x v="10"/>
    <s v="I have observed the maintenance team start working without permit. "/>
    <x v="1"/>
    <s v="Inform HSE PTJ to stop the work until finish the permit. "/>
    <m/>
    <m/>
    <m/>
    <m/>
    <m/>
    <x v="0"/>
    <m/>
  </r>
  <r>
    <n v="1447"/>
    <x v="166"/>
    <s v="Mahmoud Nasr"/>
    <x v="2"/>
    <s v="HSE"/>
    <x v="0"/>
    <x v="6"/>
    <x v="1"/>
    <s v="I have observed using ropes to fixed the scaffolding boards while the hot _x000a_activities started. "/>
    <x v="1"/>
    <s v="Inform HSE PTJ to change the ropes to use clamps. "/>
    <m/>
    <m/>
    <m/>
    <m/>
    <m/>
    <x v="0"/>
    <m/>
  </r>
  <r>
    <n v="1448"/>
    <x v="171"/>
    <s v="Gamal Abdelgawad"/>
    <x v="1"/>
    <s v="Fabrication"/>
    <x v="2"/>
    <x v="0"/>
    <x v="3"/>
    <s v="CPY observed a proper Housekeeping for fabrication activities included prefabrication and welding/NDE, have been carried out properly, inside fabrication workshop#1&amp;2."/>
    <x v="5"/>
    <s v="CPY approach TFMC / PTJ HSE representative, to encourage the whole team have been involved in the lifting operation, for their commitment to HSE rules and requirements.  "/>
    <m/>
    <m/>
    <m/>
    <m/>
    <m/>
    <x v="1"/>
    <m/>
  </r>
  <r>
    <n v="1449"/>
    <x v="171"/>
    <s v="Gamal Abdelgawad"/>
    <x v="1"/>
    <s v="Fabrication"/>
    <x v="0"/>
    <x v="3"/>
    <x v="3"/>
    <s v="CPY observed that several cables were found on the ground without any arrangement / cable management through cable management platform. "/>
    <x v="1"/>
    <s v="Informed PTJ / TFMC HSE, to postpone the activities, to do all necessary for proper housekeeping all over the cable arrangement / cable management through cable management platform. "/>
    <s v="Ensure that all crew who involved in the activities inside this area are fully aware and acknowledge that housekeeping is a daily routine activity to be done by end of each shift.  "/>
    <m/>
    <m/>
    <m/>
    <m/>
    <x v="0"/>
    <m/>
  </r>
  <r>
    <n v="1450"/>
    <x v="172"/>
    <s v="Gamal Abdelgawad"/>
    <x v="1"/>
    <s v="Fabrication"/>
    <x v="0"/>
    <x v="4"/>
    <x v="8"/>
    <s v="CPY observed that during lifting operation for beams sections (roller guide), there was unsafe action during the lifting and shifting the beam section outside the workshop. "/>
    <x v="1"/>
    <s v="CPY asked TFMC/PTJ HSE to stop the activity and discuss the CPY identified risks with PTJ rigging team as this was deemed to be unsafe condition due to a hazardous environment as well as the possibility of being classified as an unsafe act, if the individuals have knowingly entered the area despite warnings – both conditions would contribute to heightened risks.  "/>
    <s v="TFMC/PTJ instructed to reiterate this topic and risks during a dedicated TBT, to improve PTJ workers awareness and acknowledgement. "/>
    <m/>
    <m/>
    <m/>
    <m/>
    <x v="0"/>
    <m/>
  </r>
  <r>
    <n v="1451"/>
    <x v="171"/>
    <s v="Gamal Abdelgawad"/>
    <x v="1"/>
    <s v="Fabrication"/>
    <x v="0"/>
    <x v="0"/>
    <x v="7"/>
    <s v="CPY observed that fabrication workshop (1) has got congested work area, without enough safe zone between the mudmat frame structure. "/>
    <x v="1"/>
    <s v="CPY approached TFMC / PTJ HSE and fabrication team, to do all necessary corrective actions for this concern. "/>
    <s v="CPY recommended TFMC/PTJ to have SIMOPS meeting to have proper planning for Workfront, to create a safe work environment . "/>
    <m/>
    <m/>
    <m/>
    <m/>
    <x v="0"/>
    <m/>
  </r>
  <r>
    <n v="1452"/>
    <x v="173"/>
    <s v="Mahmoud Nasr"/>
    <x v="2"/>
    <s v="HSE"/>
    <x v="3"/>
    <x v="6"/>
    <x v="3"/>
    <s v="I have observed the PTJ HSE make step above cables to make clear accessway for the workplace. "/>
    <x v="5"/>
    <s v="Considering his good idea to make the workplace clear and safe and thanks him for improvement."/>
    <m/>
    <m/>
    <m/>
    <m/>
    <m/>
    <x v="1"/>
    <m/>
  </r>
  <r>
    <n v="1453"/>
    <x v="174"/>
    <s v="Mohamed Saber"/>
    <x v="2"/>
    <s v="HSE"/>
    <x v="2"/>
    <x v="5"/>
    <x v="3"/>
    <s v="Observed that workers have maintained good cable management throughout the area "/>
    <x v="5"/>
    <s v="Commended PTJ personnel for maintaining proper cable management in the area"/>
    <m/>
    <m/>
    <m/>
    <m/>
    <m/>
    <x v="1"/>
    <m/>
  </r>
  <r>
    <n v="1454"/>
    <x v="173"/>
    <s v="Mahmoud Elshahat"/>
    <x v="2"/>
    <s v="HSE"/>
    <x v="2"/>
    <x v="0"/>
    <x v="4"/>
    <s v="Observed that the forklift operating area within the workshop is properly barricaded, ensuring restricted access and improved hazard control."/>
    <x v="5"/>
    <s v="Commended the workers for the safe practice"/>
    <m/>
    <m/>
    <m/>
    <m/>
    <m/>
    <x v="1"/>
    <m/>
  </r>
  <r>
    <n v="1455"/>
    <x v="175"/>
    <s v="Mahmoud Samir"/>
    <x v="2"/>
    <s v="HSE"/>
    <x v="0"/>
    <x v="1"/>
    <x v="3"/>
    <s v="It has been observed storage cups support not used on work place."/>
    <x v="1"/>
    <s v="The Fabrication Supervisor was informed to clear all work place from materials and check the condition of the storage areas to ensure safe access and proper housekeeping"/>
    <m/>
    <m/>
    <m/>
    <m/>
    <m/>
    <x v="0"/>
    <m/>
  </r>
  <r>
    <n v="1456"/>
    <x v="172"/>
    <s v="Mahmoud Samir"/>
    <x v="2"/>
    <s v="HSE"/>
    <x v="1"/>
    <x v="7"/>
    <x v="2"/>
    <s v="It was observed that a worker during welding activities doesn’t wear specific PPE for the task"/>
    <x v="1"/>
    <s v="Immediate action was taken with the worker, and he was sent for retraining on the proper use of PPE and safe welding practices."/>
    <m/>
    <m/>
    <m/>
    <m/>
    <m/>
    <x v="0"/>
    <m/>
  </r>
  <r>
    <n v="1457"/>
    <x v="171"/>
    <s v="Mahmoud Samir"/>
    <x v="2"/>
    <s v="HSE"/>
    <x v="0"/>
    <x v="7"/>
    <x v="8"/>
    <s v="It was observed a forklift was transporting pipelines that were not adequately secured, posing a risk of dropping or shifting during movement."/>
    <x v="1"/>
    <s v="The forklift operation was stopped immediately. the operator was instructed to secure the load properly before continuing the activity."/>
    <s v="Disciplinary action with the operator and flagman "/>
    <m/>
    <m/>
    <m/>
    <m/>
    <x v="0"/>
    <m/>
  </r>
  <r>
    <n v="1458"/>
    <x v="176"/>
    <s v="Mahmoud Samir"/>
    <x v="2"/>
    <s v="HSE"/>
    <x v="0"/>
    <x v="1"/>
    <x v="3"/>
    <s v="It was observed that housekeeping around and inside fabrication frames was poor, with scattered plastic bottles and solid waste materials present in the area."/>
    <x v="1"/>
    <s v="The area was immediately cleaned, and all waste materials including plastic bottles and solid debris were removed."/>
    <s v="The area supervisor was instructed to include regular housekeeping checks in daily inspections"/>
    <m/>
    <m/>
    <m/>
    <m/>
    <x v="0"/>
    <m/>
  </r>
  <r>
    <n v="1459"/>
    <x v="173"/>
    <s v="Mahmoud Samir"/>
    <x v="2"/>
    <s v="HSE"/>
    <x v="3"/>
    <x v="1"/>
    <x v="9"/>
    <s v="Good supervision was observed from the fitting supervisor during work activities, as he consistently followed and enforced safety rules."/>
    <x v="5"/>
    <s v="Positive feedback was given to the fitting supervisor for his effective supervision and commitment to safety rules, and an incentive card was awarded in recognition of his performance"/>
    <m/>
    <m/>
    <m/>
    <m/>
    <m/>
    <x v="1"/>
    <m/>
  </r>
  <r>
    <n v="1460"/>
    <x v="174"/>
    <s v="Mahmoud Samir"/>
    <x v="2"/>
    <s v="HSE"/>
    <x v="0"/>
    <x v="4"/>
    <x v="7"/>
    <s v="It was observed that fabrication activities using unacceptable cups supports."/>
    <x v="1"/>
    <s v="Fabrication activities were suspended, caution soft barrier putted around the frame till replacement cups supports."/>
    <m/>
    <m/>
    <m/>
    <m/>
    <m/>
    <x v="0"/>
    <m/>
  </r>
  <r>
    <n v="1461"/>
    <x v="176"/>
    <s v="Mahmoud Elshahat"/>
    <x v="2"/>
    <s v="HSE"/>
    <x v="1"/>
    <x v="2"/>
    <x v="8"/>
    <s v="It was observed that workers were lifting materials without using a webbing sling or following approved lifting procedures."/>
    <x v="1"/>
    <s v="The worker was advised to follow proper lifting procedures and to ensure that all lifting operations are carried out using appropriate and safe methods."/>
    <m/>
    <m/>
    <m/>
    <m/>
    <m/>
    <x v="0"/>
    <m/>
  </r>
  <r>
    <n v="1462"/>
    <x v="176"/>
    <s v="Mahmoud Elshahat"/>
    <x v="2"/>
    <s v="HSE"/>
    <x v="1"/>
    <x v="2"/>
    <x v="2"/>
    <s v="Observed a worker using a welding torch to cut material without wearing the required PPE (welding mask, apron, and thermal gloves)."/>
    <x v="1"/>
    <s v="Advised immediate suspension of the activity until the worker is equipped with the appropriate PPE before resuming the task"/>
    <m/>
    <m/>
    <m/>
    <m/>
    <m/>
    <x v="0"/>
    <m/>
  </r>
  <r>
    <n v="1463"/>
    <x v="172"/>
    <s v="Mahmoud Nasr"/>
    <x v="2"/>
    <s v="HSE"/>
    <x v="1"/>
    <x v="3"/>
    <x v="5"/>
    <s v="I have observed the worker lift the blowtorch opened with fire on the ground _x000a_touched the wood "/>
    <x v="1"/>
    <s v="I warning him immediately and inform PTJ HSE to take action. "/>
    <m/>
    <m/>
    <m/>
    <m/>
    <m/>
    <x v="0"/>
    <m/>
  </r>
  <r>
    <n v="1464"/>
    <x v="174"/>
    <s v="Mahmoud Nasr"/>
    <x v="2"/>
    <s v="HSE"/>
    <x v="1"/>
    <x v="18"/>
    <x v="16"/>
    <s v="I have observed the crane operator using his mobile phone while he working "/>
    <x v="1"/>
    <s v="I stop him immediately and give him a warning litter. "/>
    <m/>
    <m/>
    <m/>
    <m/>
    <m/>
    <x v="0"/>
    <m/>
  </r>
  <r>
    <n v="1465"/>
    <x v="176"/>
    <s v="Mahmoud Elshahat"/>
    <x v="2"/>
    <s v="HSE"/>
    <x v="0"/>
    <x v="13"/>
    <x v="5"/>
    <s v="Observed A leak at the valve of a compressed acetylene gas cylinder, posing a serious risk of fire or explosion."/>
    <x v="1"/>
    <s v="The cylinder was promptly removed from the work area, and immediate action was advised to contain the gas leak and eliminate the hazard."/>
    <m/>
    <m/>
    <m/>
    <m/>
    <m/>
    <x v="0"/>
    <m/>
  </r>
  <r>
    <n v="1466"/>
    <x v="173"/>
    <s v="Mohamed Saber"/>
    <x v="2"/>
    <s v="HSE"/>
    <x v="0"/>
    <x v="6"/>
    <x v="5"/>
    <s v="Observed leaking from multiple gas cylinder in the painting area, caused by a faulty pressure gauge."/>
    <x v="1"/>
    <s v="The cylinders were quickly taken out of the work area, and immediate measures were recommended to control the gas leak and mitigate the associated hazard."/>
    <m/>
    <m/>
    <m/>
    <m/>
    <m/>
    <x v="0"/>
    <m/>
  </r>
  <r>
    <n v="1467"/>
    <x v="176"/>
    <s v="Mahmoud Elshahat"/>
    <x v="2"/>
    <s v="HSE"/>
    <x v="0"/>
    <x v="2"/>
    <x v="7"/>
    <s v="Observed a material structure with supports lacking clear markings of the Safe Working Load (SWL) for each support point."/>
    <x v="1"/>
    <s v="Advised immediate inspection by Quality Control to verify the load-bearing capacity of the supports, ensure structural stability, and clearly mark each support for future reference."/>
    <m/>
    <m/>
    <m/>
    <m/>
    <m/>
    <x v="0"/>
    <m/>
  </r>
  <r>
    <n v="1468"/>
    <x v="174"/>
    <s v="Mohamed Saber"/>
    <x v="2"/>
    <s v="HSE"/>
    <x v="0"/>
    <x v="9"/>
    <x v="7"/>
    <s v="Observed the tarpaulin at Open Area 4 is in poor condition, potentially compromising protection from hazards (Hotwork sparks, slip &amp; trip …. etc.)"/>
    <x v="1"/>
    <s v="Advised that the damaged tarpaulin be repaired or replaced to ensure adequate protection and maintain a safe working environment."/>
    <m/>
    <m/>
    <m/>
    <m/>
    <m/>
    <x v="0"/>
    <m/>
  </r>
  <r>
    <n v="1469"/>
    <x v="175"/>
    <s v="Mahmoud Nasr"/>
    <x v="2"/>
    <s v="HSE"/>
    <x v="0"/>
    <x v="6"/>
    <x v="3"/>
    <s v="I have observed poor housekeeping ,drop object metal pieces , plastic. "/>
    <x v="1"/>
    <s v="Inform HSE PTJ to take action. ."/>
    <m/>
    <m/>
    <m/>
    <m/>
    <m/>
    <x v="0"/>
    <m/>
  </r>
  <r>
    <n v="1470"/>
    <x v="171"/>
    <s v="Mahmoud Nasr"/>
    <x v="2"/>
    <s v="HSE"/>
    <x v="0"/>
    <x v="6"/>
    <x v="0"/>
    <s v="I have observed the compressor without inspection card. "/>
    <x v="1"/>
    <s v="Inform PTJ HSE to take action. "/>
    <m/>
    <m/>
    <m/>
    <m/>
    <m/>
    <x v="0"/>
    <m/>
  </r>
  <r>
    <n v="1471"/>
    <x v="176"/>
    <s v="Mahmoud Nasr"/>
    <x v="2"/>
    <s v="HSE"/>
    <x v="0"/>
    <x v="6"/>
    <x v="4"/>
    <s v="I have observed the pipe structure unlevelled and the support have crack."/>
    <x v="2"/>
    <s v="Inform PTJ HSE put hard barricades until solve the problem. "/>
    <m/>
    <m/>
    <m/>
    <m/>
    <m/>
    <x v="0"/>
    <m/>
  </r>
  <r>
    <n v="1472"/>
    <x v="177"/>
    <s v="Gamal Abdelgawad"/>
    <x v="1"/>
    <s v="Fabrication"/>
    <x v="0"/>
    <x v="6"/>
    <x v="3"/>
    <s v="CPY observed that leftover of water bottles and unused tarpaulins underneath _x000a_the mudmat structure. "/>
    <x v="2"/>
    <s v="Informed Petrojet TFMC / HSE, to do all necessary for proper housekeeping for _x000a_this specific area. "/>
    <s v="Ensure this topic will be re-highlighted during TBT, to encourage PTJ workers to _x000a_keep all yard facilities clean inline with HSE CPY requirements. "/>
    <m/>
    <m/>
    <m/>
    <m/>
    <x v="0"/>
    <m/>
  </r>
  <r>
    <n v="1473"/>
    <x v="178"/>
    <s v="Gamal Abdelgawad"/>
    <x v="1"/>
    <s v="Fabrication"/>
    <x v="2"/>
    <x v="4"/>
    <x v="3"/>
    <s v="CPY observed a proper Housekeeping during preparation of fabrication activities _x000a_included prefabrication and welding, have been carried out properly, within _x000a_fabrication Workshops #3&amp;4.. "/>
    <x v="5"/>
    <s v="CPY approach TFMC / PTJ HSE representative, to encourage the whole team have been involved in the lifting operation, for their commitment to HSE rules and requirements.  "/>
    <m/>
    <m/>
    <m/>
    <m/>
    <m/>
    <x v="1"/>
    <m/>
  </r>
  <r>
    <n v="1474"/>
    <x v="178"/>
    <s v="Gamal Abdelgawad"/>
    <x v="1"/>
    <s v="Fabrication"/>
    <x v="0"/>
    <x v="0"/>
    <x v="2"/>
    <s v="Improper PPE (over used safety boot) been worn by grinders, outside _x000a_fabrication area # 1. "/>
    <x v="2"/>
    <s v="Discussed the point in person with the grinder, then informed PTJ/ TFMC HSE, to _x000a_provide a new safety boot.  "/>
    <s v="Reiterate this topic during the TBT to encourage the new team for wearing _x000a_proper PPE within fabrication areas and workshops. "/>
    <m/>
    <m/>
    <m/>
    <m/>
    <x v="0"/>
    <m/>
  </r>
  <r>
    <n v="1475"/>
    <x v="177"/>
    <s v="Gamal Abdelgawad"/>
    <x v="1"/>
    <s v="Fabrication"/>
    <x v="0"/>
    <x v="4"/>
    <x v="3"/>
    <s v="CPY observed that several cables were found on the ground without any _x000a_arrangement / cable management through cable management platform. "/>
    <x v="2"/>
    <s v="Informed PTJ / TFMC HSE, to postpone the activities, to do all necessary for proper housekeeping all over the cable arrangement / cable management through cable management platform."/>
    <s v="Ensure that all crew who involved in the activities inside this area are fully aware _x000a_and acknowledge that housekeeping is a daily routine activity to be done by end _x000a_of each shift.  "/>
    <m/>
    <m/>
    <m/>
    <m/>
    <x v="0"/>
    <m/>
  </r>
  <r>
    <n v="1476"/>
    <x v="179"/>
    <s v="Ehab Ibrahim Hassan"/>
    <x v="1"/>
    <s v="Coating Inspector"/>
    <x v="1"/>
    <x v="6"/>
    <x v="2"/>
    <s v="Some technicians did not use ear plugs inside the blasting yard."/>
    <x v="2"/>
    <s v="Advised to wear hearing protection, their supervisor brought some and they wore them."/>
    <s v="Safety issues to be discussed in the blasting and painting daily TBT. "/>
    <m/>
    <m/>
    <m/>
    <m/>
    <x v="0"/>
    <m/>
  </r>
  <r>
    <n v="1477"/>
    <x v="177"/>
    <s v="Ehab Ibrahim Hassan"/>
    <x v="1"/>
    <s v="Coating Inspector"/>
    <x v="1"/>
    <x v="6"/>
    <x v="2"/>
    <s v="Use of cotton gloves by painters. "/>
    <x v="2"/>
    <s v="Stopped work until PTJ supervisor got rubber gloves for the painters. "/>
    <s v="Issue to be highlighted in the subcontractor pre-job TBT. "/>
    <m/>
    <m/>
    <m/>
    <m/>
    <x v="0"/>
    <m/>
  </r>
  <r>
    <n v="1478"/>
    <x v="177"/>
    <s v="Lance Pretorius"/>
    <x v="1"/>
    <s v="HSE"/>
    <x v="2"/>
    <x v="5"/>
    <x v="0"/>
    <s v="CPY observed good progress on updating cable color coding (yellow to white) WS#1 "/>
    <x v="5"/>
    <s v="Good Progress being made on changing cable color codes from yellow to white. _x000a_WORKSHOP #1/2/3/4/7 "/>
    <s v="Commended the HSE Team on the good progress made on updating inspection _x000a_color coding on cable and lifting gear site wide – a few cables identified as still _x000a_requiring white tape installation – generally good progress observed "/>
    <m/>
    <m/>
    <m/>
    <m/>
    <x v="1"/>
    <m/>
  </r>
  <r>
    <n v="1479"/>
    <x v="180"/>
    <s v="Lance Pretorius"/>
    <x v="1"/>
    <s v="HSE"/>
    <x v="3"/>
    <x v="18"/>
    <x v="5"/>
    <s v="CPY observed a grinder operator grinding in a safe manner and ergonomically _x000a_positioned "/>
    <x v="5"/>
    <s v="Commended the grinder operator on his safe working practices. "/>
    <m/>
    <m/>
    <m/>
    <m/>
    <m/>
    <x v="1"/>
    <m/>
  </r>
  <r>
    <n v="1480"/>
    <x v="180"/>
    <s v="Lance Pretorius"/>
    <x v="1"/>
    <s v="HSE"/>
    <x v="1"/>
    <x v="8"/>
    <x v="2"/>
    <s v="CPY observed worker handling a small overhead crane lift without gloves and _x000a_hands on load action"/>
    <x v="2"/>
    <s v="Activity stopped safely. The worker and the immediate team tutored on the importance of using safety gloves at all times during specific activities. Workers and immediate team tutored on the importance of not touching items being lifted but rather use tag lines "/>
    <s v="The worker and the immediate team tutored on the importance of using safety gloves at all times during specific activities. Workers and immediate team tutored on the importance of not touching items being lifted but rather use tag lines. TFMC/PTJ HSE Teams included "/>
    <m/>
    <m/>
    <m/>
    <m/>
    <x v="0"/>
    <m/>
  </r>
  <r>
    <n v="1481"/>
    <x v="180"/>
    <s v="Lance Pretorius"/>
    <x v="1"/>
    <s v="HSE"/>
    <x v="0"/>
    <x v="18"/>
    <x v="3"/>
    <s v="CPY observed Waste Bins  full of plastic bottles – no space _x000a_left for waste suitable disposal"/>
    <x v="2"/>
    <s v="Contacted TFMC HSE Manager to ensure waste disposal is conducted immediately - completed"/>
    <s v="Contacted TFMC HSE Manager to ensure waste disposal is conducted on a daily basis. "/>
    <m/>
    <m/>
    <m/>
    <m/>
    <x v="0"/>
    <m/>
  </r>
  <r>
    <n v="1482"/>
    <x v="178"/>
    <s v="Malcolm Garrington"/>
    <x v="1"/>
    <s v="Project Manager"/>
    <x v="3"/>
    <x v="4"/>
    <x v="8"/>
    <s v="CPY noted that the rigger had inserted the “R-Clip” type pin to the shackles prior _x000a_to component being lifted. "/>
    <x v="5"/>
    <m/>
    <m/>
    <m/>
    <m/>
    <m/>
    <m/>
    <x v="1"/>
    <m/>
  </r>
  <r>
    <n v="1483"/>
    <x v="178"/>
    <s v="Malcolm Garrington"/>
    <x v="1"/>
    <s v="Project Manager"/>
    <x v="2"/>
    <x v="7"/>
    <x v="8"/>
    <s v="CPY noted that a lifting operation was ongoing, during CPY observations it was _x000a_noted that PTJ had erected / placed good safety barriers and that PTJ HSE Advisors _x000a_where monitoring the barricade bounder to prevent unauthorized personnel _x000a_entry. "/>
    <x v="5"/>
    <m/>
    <m/>
    <m/>
    <m/>
    <m/>
    <m/>
    <x v="1"/>
    <m/>
  </r>
  <r>
    <n v="1484"/>
    <x v="181"/>
    <s v="Mahmoud Nasr"/>
    <x v="2"/>
    <s v="HSE"/>
    <x v="3"/>
    <x v="6"/>
    <x v="13"/>
    <s v="PTJ HSE make signs for how to use fire extinguisher to increase the worker _x000a_awareness for using fire extinguisher. "/>
    <x v="5"/>
    <s v="Thanked him and encourage him to make more improvement.  "/>
    <m/>
    <m/>
    <m/>
    <m/>
    <m/>
    <x v="1"/>
    <m/>
  </r>
  <r>
    <n v="1485"/>
    <x v="181"/>
    <s v="Mahmoud Nasr"/>
    <x v="2"/>
    <s v="HSE"/>
    <x v="3"/>
    <x v="1"/>
    <x v="5"/>
    <s v="PTJ HSE make segregation area for defected cylinder or any cylinder have issues _x000a_until it solved will be inside this area. "/>
    <x v="5"/>
    <s v="Thanked him and encourage him to make more improvement."/>
    <m/>
    <m/>
    <m/>
    <m/>
    <m/>
    <x v="1"/>
    <m/>
  </r>
  <r>
    <n v="1486"/>
    <x v="178"/>
    <s v="Mahmoud Elshahat"/>
    <x v="2"/>
    <s v="HSE"/>
    <x v="1"/>
    <x v="2"/>
    <x v="2"/>
    <s v="It was observed that the worker was not wearing the appropriate personal protective equipment (PPE) while performing grinding operations."/>
    <x v="1"/>
    <s v="The activity was suspended, a violation was issued to the employee, and it was advised that no further work is to be carried out until proper PPE is worn."/>
    <m/>
    <m/>
    <m/>
    <m/>
    <m/>
    <x v="0"/>
    <m/>
  </r>
  <r>
    <n v="1487"/>
    <x v="181"/>
    <s v="Mahmoud Elshahat"/>
    <x v="2"/>
    <s v="HSE"/>
    <x v="1"/>
    <x v="4"/>
    <x v="8"/>
    <s v="It was observed that workers were performing lifting operations using an uncertified lifting point, posing a potential safety risk."/>
    <x v="1"/>
    <s v="The work was suspended, and it was advised that the lifting point be inspected and certified by QC before resuming any lifting operations."/>
    <m/>
    <m/>
    <m/>
    <m/>
    <m/>
    <x v="0"/>
    <m/>
  </r>
  <r>
    <n v="1488"/>
    <x v="178"/>
    <s v="Mahmoud Nasr"/>
    <x v="2"/>
    <s v="HSE"/>
    <x v="1"/>
    <x v="7"/>
    <x v="16"/>
    <s v="I have observed workers using unaccepted accessway as short cut than the _x000a_main accessway.  "/>
    <x v="2"/>
    <s v="I inform HSE PTJ to close it .  "/>
    <m/>
    <m/>
    <m/>
    <m/>
    <m/>
    <x v="0"/>
    <m/>
  </r>
  <r>
    <n v="1489"/>
    <x v="178"/>
    <s v="Mahmoud Nasr"/>
    <x v="2"/>
    <s v="HSE"/>
    <x v="1"/>
    <x v="6"/>
    <x v="2"/>
    <s v="I have observed worker without PPE inside the hot working area."/>
    <x v="1"/>
    <s v="I inform HSE PTJ to take action with him. "/>
    <m/>
    <m/>
    <m/>
    <m/>
    <m/>
    <x v="0"/>
    <m/>
  </r>
  <r>
    <n v="1490"/>
    <x v="182"/>
    <s v="Mahmoud Elshahat"/>
    <x v="2"/>
    <s v="HSE"/>
    <x v="0"/>
    <x v="0"/>
    <x v="3"/>
    <s v="Observed that the materials in the workshop are not stored safely, with sharp edges exposed and some access pathways partially obstructed.Observed that the materials in the workshop are not stored safely, with sharp edges exposed and some access pathways partially obstructed."/>
    <x v="1"/>
    <s v="Advised workers to make sure material are safely stacked and access ways to be clear of any obstructions at all times."/>
    <m/>
    <m/>
    <m/>
    <m/>
    <m/>
    <x v="0"/>
    <m/>
  </r>
  <r>
    <n v="1491"/>
    <x v="178"/>
    <s v="Mahmoud Elshahat"/>
    <x v="2"/>
    <s v="HSE"/>
    <x v="0"/>
    <x v="0"/>
    <x v="0"/>
    <s v="It was observed that the grounding cable of the electrical panel is not connected to the designated grounding point."/>
    <x v="1"/>
    <s v="The area supervisor was advised not to use the panel and to request the maintenance team to verify proper grounding before it is put into use."/>
    <m/>
    <m/>
    <m/>
    <m/>
    <m/>
    <x v="0"/>
    <m/>
  </r>
  <r>
    <n v="1492"/>
    <x v="180"/>
    <s v="Mahmoud Elshahat"/>
    <x v="2"/>
    <s v="HSE"/>
    <x v="0"/>
    <x v="0"/>
    <x v="18"/>
    <s v="It was observed that the worker was using damaged or defective cover shield grinder.It was observed that the worker was using damaged or defective cover shield grinder."/>
    <x v="1"/>
    <s v="The activity was suspended, and it was advised that the grinder to be removed from the workplace or the grinder disk shield to be replaced with a proper disk cover.The activity was suspended, and it was advised that the grinder to be removed from the workplace or the grinder disk shield to be replaced with a proper disk cover."/>
    <m/>
    <m/>
    <m/>
    <m/>
    <m/>
    <x v="0"/>
    <m/>
  </r>
  <r>
    <n v="1493"/>
    <x v="182"/>
    <s v="Mahmoud Elshahat"/>
    <x v="2"/>
    <s v="HSE"/>
    <x v="0"/>
    <x v="2"/>
    <x v="18"/>
    <s v="It was observed that QC was checking weld points using a testing device with modified and uninsulated cables, posing a potential safety hazard."/>
    <x v="1"/>
    <s v="The work was suspended, and it was advised that tools should be used as manufactured, without any modifications to OEM components.The work was suspended, and it was advised that tools should be used as manufactured, without any modifications to OEM components."/>
    <m/>
    <m/>
    <m/>
    <m/>
    <m/>
    <x v="0"/>
    <m/>
  </r>
  <r>
    <n v="1494"/>
    <x v="179"/>
    <s v="Mahmoud Nasr"/>
    <x v="2"/>
    <s v="HSE"/>
    <x v="0"/>
    <x v="7"/>
    <x v="5"/>
    <s v="I have observed Defected regulator  "/>
    <x v="1"/>
    <s v="I inform HSE PTJ to change it immediately  "/>
    <m/>
    <m/>
    <m/>
    <m/>
    <m/>
    <x v="0"/>
    <m/>
  </r>
  <r>
    <n v="1495"/>
    <x v="179"/>
    <s v="Mahmoud Nasr"/>
    <x v="2"/>
    <s v="HSE"/>
    <x v="0"/>
    <x v="1"/>
    <x v="5"/>
    <s v="I have observed Defected regulator  "/>
    <x v="1"/>
    <s v="I inform HSE PTJ to change it immediately  "/>
    <m/>
    <m/>
    <m/>
    <m/>
    <m/>
    <x v="0"/>
    <m/>
  </r>
  <r>
    <n v="1496"/>
    <x v="177"/>
    <s v="Mahmoud Nasr"/>
    <x v="2"/>
    <s v="HSE"/>
    <x v="0"/>
    <x v="18"/>
    <x v="3"/>
    <s v="I have observed Poor house keeping  "/>
    <x v="1"/>
    <s v="I inform HSE PTJ to change it immediately  "/>
    <m/>
    <m/>
    <m/>
    <m/>
    <m/>
    <x v="0"/>
    <m/>
  </r>
  <r>
    <n v="1497"/>
    <x v="177"/>
    <s v="Mahmoud Nasr"/>
    <x v="2"/>
    <s v="HSE"/>
    <x v="0"/>
    <x v="1"/>
    <x v="18"/>
    <s v="I have observed Defected cover for angle grinder. I have observed Defected cover for angle grinder. "/>
    <x v="1"/>
    <s v="I inform HSE PTJ to take all this out of area immediately. "/>
    <m/>
    <m/>
    <m/>
    <m/>
    <m/>
    <x v="0"/>
    <m/>
  </r>
  <r>
    <n v="1498"/>
    <x v="180"/>
    <s v="Mahmoud Nasr"/>
    <x v="2"/>
    <s v="HSE"/>
    <x v="0"/>
    <x v="1"/>
    <x v="3"/>
    <s v="I have observed Tripping hazard from poor cable management   "/>
    <x v="1"/>
    <s v="vI inform HSE PTJ to take action."/>
    <m/>
    <m/>
    <m/>
    <m/>
    <m/>
    <x v="0"/>
    <m/>
  </r>
  <r>
    <n v="1499"/>
    <x v="180"/>
    <s v="Mahmoud Nasr"/>
    <x v="2"/>
    <s v="HSE"/>
    <x v="0"/>
    <x v="7"/>
    <x v="0"/>
    <s v="I have observed welding machine out of special stand for machines which have _x000a_earthing   "/>
    <x v="1"/>
    <s v="I inform HSE PTJ to take it back immediately to the stand. "/>
    <m/>
    <m/>
    <m/>
    <m/>
    <m/>
    <x v="0"/>
    <m/>
  </r>
  <r>
    <n v="1500"/>
    <x v="182"/>
    <s v="Mahmoud Nasr"/>
    <x v="2"/>
    <s v="HSE"/>
    <x v="0"/>
    <x v="7"/>
    <x v="7"/>
    <s v="I have observed scaffolding pipes without tie the clamps. "/>
    <x v="1"/>
    <s v="I inform HSE PTJ to take action immediately with remove it or tie it.  "/>
    <m/>
    <m/>
    <m/>
    <m/>
    <m/>
    <x v="0"/>
    <m/>
  </r>
  <r>
    <n v="1501"/>
    <x v="182"/>
    <s v="Mahmoud Nasr"/>
    <x v="2"/>
    <s v="HSE"/>
    <x v="0"/>
    <x v="1"/>
    <x v="0"/>
    <s v="I have observed cables without COLOR code."/>
    <x v="1"/>
    <s v="I inform HSE PTJ to take action  ."/>
    <m/>
    <m/>
    <m/>
    <m/>
    <m/>
    <x v="0"/>
    <m/>
  </r>
  <r>
    <n v="1502"/>
    <x v="181"/>
    <s v="Mahmoud Nasr"/>
    <x v="2"/>
    <s v="HSE"/>
    <x v="0"/>
    <x v="3"/>
    <x v="4"/>
    <s v="I have observed structure wholes without covering. "/>
    <x v="1"/>
    <s v="I have observed wholes without covering. "/>
    <m/>
    <m/>
    <m/>
    <m/>
    <m/>
    <x v="0"/>
    <m/>
  </r>
  <r>
    <n v="1503"/>
    <x v="160"/>
    <s v="Mostafa Abdelgany"/>
    <x v="0"/>
    <s v="HSE"/>
    <x v="0"/>
    <x v="1"/>
    <x v="8"/>
    <s v="Obseved No safety latch for a chain block hook"/>
    <x v="0"/>
    <s v="re-inspected all equipment in the project has been done and replaced the chain block by another one "/>
    <m/>
    <m/>
    <m/>
    <m/>
    <m/>
    <x v="0"/>
    <m/>
  </r>
  <r>
    <n v="1504"/>
    <x v="161"/>
    <s v="Abdelfatah Mohamed"/>
    <x v="0"/>
    <s v="HSE"/>
    <x v="0"/>
    <x v="9"/>
    <x v="3"/>
    <s v="Improper storage of scaffolding materials on a scaffold platform"/>
    <x v="0"/>
    <s v="Scaffolding materials was removed"/>
    <m/>
    <m/>
    <m/>
    <m/>
    <m/>
    <x v="0"/>
    <m/>
  </r>
  <r>
    <n v="1505"/>
    <x v="161"/>
    <s v="Ahmed Sobhy "/>
    <x v="0"/>
    <s v="HSE"/>
    <x v="0"/>
    <x v="15"/>
    <x v="0"/>
    <s v="Damaged cables were found in the area."/>
    <x v="0"/>
    <s v="Damaged unnessery cables were removed"/>
    <m/>
    <m/>
    <m/>
    <m/>
    <m/>
    <x v="0"/>
    <m/>
  </r>
  <r>
    <n v="1506"/>
    <x v="164"/>
    <s v="Mohamed Abdallah"/>
    <x v="0"/>
    <s v="HSE"/>
    <x v="0"/>
    <x v="7"/>
    <x v="3"/>
    <s v="Poor cable management was found in the area."/>
    <x v="0"/>
    <s v="Cable management had been conducted."/>
    <m/>
    <m/>
    <m/>
    <m/>
    <m/>
    <x v="0"/>
    <m/>
  </r>
  <r>
    <n v="1507"/>
    <x v="167"/>
    <s v="Ahmed Sobhy "/>
    <x v="0"/>
    <s v="HSE"/>
    <x v="0"/>
    <x v="1"/>
    <x v="0"/>
    <s v="Earthing cable was found unsafely isolated or protected."/>
    <x v="0"/>
    <s v="It was secured by tapes"/>
    <m/>
    <m/>
    <m/>
    <m/>
    <m/>
    <x v="0"/>
    <m/>
  </r>
  <r>
    <n v="1508"/>
    <x v="165"/>
    <s v="Abdelfatah Mohamed"/>
    <x v="0"/>
    <s v="HSE"/>
    <x v="0"/>
    <x v="9"/>
    <x v="0"/>
    <s v="Cabels were found in bad condition"/>
    <x v="0"/>
    <s v="Cabel management was conducted"/>
    <m/>
    <m/>
    <m/>
    <m/>
    <m/>
    <x v="0"/>
    <m/>
  </r>
  <r>
    <n v="1509"/>
    <x v="165"/>
    <s v="Mohamed Abdallah"/>
    <x v="0"/>
    <s v="HSE"/>
    <x v="0"/>
    <x v="3"/>
    <x v="6"/>
    <s v="Grinding machine with broken cover "/>
    <x v="0"/>
    <s v="Grinding supervisor replaced the cover"/>
    <m/>
    <m/>
    <m/>
    <m/>
    <m/>
    <x v="0"/>
    <m/>
  </r>
  <r>
    <n v="1510"/>
    <x v="164"/>
    <s v="Mahmoud Abdelnaser"/>
    <x v="0"/>
    <s v="HSE"/>
    <x v="0"/>
    <x v="9"/>
    <x v="1"/>
    <s v="Observed electrical Cable for welding cabinet may lead to tripping hazard"/>
    <x v="0"/>
    <s v="Relocated the welding cabinet very close to  the main electrical panel."/>
    <m/>
    <m/>
    <m/>
    <m/>
    <m/>
    <x v="0"/>
    <m/>
  </r>
  <r>
    <n v="1511"/>
    <x v="160"/>
    <s v="Ahmed Sobhy "/>
    <x v="0"/>
    <s v="HSE"/>
    <x v="0"/>
    <x v="1"/>
    <x v="11"/>
    <s v="One electric panel without electrical hazard sign "/>
    <x v="0"/>
    <s v="sign was put on the panel "/>
    <m/>
    <m/>
    <m/>
    <m/>
    <m/>
    <x v="0"/>
    <m/>
  </r>
  <r>
    <n v="1512"/>
    <x v="161"/>
    <s v="Mohamed Abdallah"/>
    <x v="0"/>
    <s v="HSE"/>
    <x v="0"/>
    <x v="5"/>
    <x v="8"/>
    <s v="Observed shackles without color code"/>
    <x v="0"/>
    <s v="green color code was put on shackle "/>
    <m/>
    <m/>
    <m/>
    <m/>
    <m/>
    <x v="0"/>
    <m/>
  </r>
  <r>
    <n v="1513"/>
    <x v="161"/>
    <s v="Mahmoud Abdelnaser"/>
    <x v="0"/>
    <s v="HSE"/>
    <x v="0"/>
    <x v="15"/>
    <x v="5"/>
    <s v="One gas cylinder need to be secured by chain"/>
    <x v="0"/>
    <s v="Immediatley tied and secured  the cylinder by chain "/>
    <m/>
    <m/>
    <m/>
    <m/>
    <m/>
    <x v="0"/>
    <m/>
  </r>
  <r>
    <n v="1514"/>
    <x v="164"/>
    <s v="Ahmed Sobhy "/>
    <x v="0"/>
    <s v="HSE"/>
    <x v="0"/>
    <x v="7"/>
    <x v="5"/>
    <s v="Propane cylinder manometer need to be changed "/>
    <x v="3"/>
    <s v="stopped the work for this cylinder until the manometer be changed "/>
    <m/>
    <m/>
    <m/>
    <m/>
    <m/>
    <x v="0"/>
    <m/>
  </r>
  <r>
    <n v="1515"/>
    <x v="167"/>
    <s v="Ibrahim Hamed"/>
    <x v="0"/>
    <s v="HSE"/>
    <x v="1"/>
    <x v="1"/>
    <x v="2"/>
    <s v="Worker was using grinding motor without any face protection "/>
    <x v="3"/>
    <s v="Stopped him to wear full ppe"/>
    <m/>
    <m/>
    <m/>
    <m/>
    <m/>
    <x v="0"/>
    <m/>
  </r>
  <r>
    <n v="1516"/>
    <x v="165"/>
    <s v="Mostafa Abdelgany"/>
    <x v="0"/>
    <s v="HSE"/>
    <x v="1"/>
    <x v="9"/>
    <x v="6"/>
    <s v="Observed that  wrong  replacing method of  grinding disk."/>
    <x v="0"/>
    <s v="Instructed the Grinders to use dedicaded tool  for changing grinding disks"/>
    <m/>
    <m/>
    <m/>
    <m/>
    <m/>
    <x v="0"/>
    <m/>
  </r>
  <r>
    <n v="1517"/>
    <x v="165"/>
    <s v="Abdelfatah Mohamed"/>
    <x v="0"/>
    <s v="HSE"/>
    <x v="3"/>
    <x v="5"/>
    <x v="2"/>
    <s v="All workers Commit with the site required PPE"/>
    <x v="5"/>
    <s v="Appreciate the good job."/>
    <m/>
    <m/>
    <m/>
    <m/>
    <s v="Invalid"/>
    <x v="1"/>
    <m/>
  </r>
  <r>
    <n v="1518"/>
    <x v="164"/>
    <s v="Ahmed Sobhy "/>
    <x v="0"/>
    <s v="HSE"/>
    <x v="2"/>
    <x v="9"/>
    <x v="18"/>
    <s v="Fire extinguishers in good condition, inspected and covered inside the dedicated box "/>
    <x v="5"/>
    <s v="Fire extinguishers in good condition, inspected and covered inside the dedicated box "/>
    <m/>
    <m/>
    <m/>
    <m/>
    <s v="Invalid"/>
    <x v="1"/>
    <m/>
  </r>
  <r>
    <n v="1519"/>
    <x v="167"/>
    <s v="Mohamed Abdallah"/>
    <x v="0"/>
    <s v="HSE"/>
    <x v="2"/>
    <x v="3"/>
    <x v="5"/>
    <s v="Good arrangement for the welding cables"/>
    <x v="5"/>
    <s v="Appreciate the good job."/>
    <m/>
    <m/>
    <m/>
    <m/>
    <s v="Invalid"/>
    <x v="1"/>
    <m/>
  </r>
  <r>
    <n v="1520"/>
    <x v="169"/>
    <s v="Mohamed Abdallah"/>
    <x v="0"/>
    <s v="HSE"/>
    <x v="2"/>
    <x v="1"/>
    <x v="0"/>
    <s v="Found some electrical wires on sharp edges."/>
    <x v="0"/>
    <s v="Remove and allocating the wires away from the sharp edges."/>
    <m/>
    <m/>
    <m/>
    <m/>
    <s v="Invalid"/>
    <x v="1"/>
    <m/>
  </r>
  <r>
    <n v="1521"/>
    <x v="166"/>
    <s v="Mahmoud Abdelnaser"/>
    <x v="0"/>
    <s v="HSE"/>
    <x v="2"/>
    <x v="17"/>
    <x v="5"/>
    <s v="Observed a propane gas cylinder near by the welding area"/>
    <x v="0"/>
    <s v="Instructed the sup to relocate the cylinder and he did"/>
    <m/>
    <m/>
    <m/>
    <m/>
    <s v="Invalid"/>
    <x v="1"/>
    <m/>
  </r>
  <r>
    <n v="1522"/>
    <x v="168"/>
    <s v="Hassan said "/>
    <x v="0"/>
    <s v="HSE"/>
    <x v="1"/>
    <x v="5"/>
    <x v="2"/>
    <s v="One of the workers sitting next to the electric  and welding machines cabinets "/>
    <x v="0"/>
    <s v="The worker was asked not to sit again and  inform the supervisor not to repeat."/>
    <m/>
    <m/>
    <m/>
    <m/>
    <m/>
    <x v="0"/>
    <m/>
  </r>
  <r>
    <n v="1523"/>
    <x v="175"/>
    <s v="Mostafa Abdelgany"/>
    <x v="0"/>
    <s v="HSE"/>
    <x v="1"/>
    <x v="1"/>
    <x v="2"/>
    <s v="grinders did not wear their Earplugs. "/>
    <x v="3"/>
    <s v="Stopped them and spoke to them about the useful use of the Earplugs.They wear their Earplugs and Highlighted the issue in TPT"/>
    <m/>
    <m/>
    <m/>
    <m/>
    <m/>
    <x v="0"/>
    <m/>
  </r>
  <r>
    <n v="1524"/>
    <x v="175"/>
    <s v="Ibrahim Hamed"/>
    <x v="0"/>
    <s v="HSE"/>
    <x v="1"/>
    <x v="17"/>
    <x v="2"/>
    <s v="An electrician was working and was not wearing helmet"/>
    <x v="3"/>
    <s v="Stopped the electrician and spoke to him about the head protection."/>
    <m/>
    <m/>
    <m/>
    <m/>
    <m/>
    <x v="0"/>
    <m/>
  </r>
  <r>
    <n v="1525"/>
    <x v="172"/>
    <s v="Mohamed Abdallah"/>
    <x v="0"/>
    <s v="HSE "/>
    <x v="0"/>
    <x v="3"/>
    <x v="3"/>
    <s v="observed some welding cable were in the way of the forklift"/>
    <x v="0"/>
    <s v="stopped him and informed a welder to remove the cable  and he did immediately"/>
    <m/>
    <m/>
    <m/>
    <m/>
    <m/>
    <x v="0"/>
    <m/>
  </r>
  <r>
    <n v="1526"/>
    <x v="171"/>
    <s v="Ibrahim Hamed"/>
    <x v="0"/>
    <s v="HSE "/>
    <x v="0"/>
    <x v="7"/>
    <x v="1"/>
    <s v=" scaffold access needs more Fixation "/>
    <x v="2"/>
    <m/>
    <m/>
    <m/>
    <m/>
    <m/>
    <m/>
    <x v="0"/>
    <m/>
  </r>
  <r>
    <n v="1527"/>
    <x v="169"/>
    <s v="Mahmoud Abdelnaser"/>
    <x v="0"/>
    <s v="HSE "/>
    <x v="0"/>
    <x v="1"/>
    <x v="5"/>
    <s v="one of the grinder using wooden plate as support which may cause fire "/>
    <x v="3"/>
    <s v="Advised him not to use combustible material near hot work area "/>
    <m/>
    <m/>
    <m/>
    <m/>
    <m/>
    <x v="0"/>
    <m/>
  </r>
  <r>
    <n v="1528"/>
    <x v="166"/>
    <s v="Mohamed Abdallah"/>
    <x v="0"/>
    <s v="HSE "/>
    <x v="0"/>
    <x v="1"/>
    <x v="18"/>
    <s v=" observed that  wrong  replacing method of  grinding disk."/>
    <x v="1"/>
    <s v=" Instructed the Grinders to use dedicaded tool  for changing grinding disks"/>
    <m/>
    <m/>
    <m/>
    <m/>
    <m/>
    <x v="0"/>
    <m/>
  </r>
  <r>
    <n v="1529"/>
    <x v="168"/>
    <s v="Mostafa Abdelgany"/>
    <x v="0"/>
    <s v="HSE "/>
    <x v="0"/>
    <x v="7"/>
    <x v="3"/>
    <s v="some scrap Was found  on the ground causing some  tripping hazard "/>
    <x v="1"/>
    <s v="The supervisor was informed and removed immediately. "/>
    <m/>
    <m/>
    <m/>
    <m/>
    <m/>
    <x v="0"/>
    <m/>
  </r>
  <r>
    <n v="1530"/>
    <x v="166"/>
    <s v="Mohamed Abdallah"/>
    <x v="0"/>
    <s v="HSE "/>
    <x v="0"/>
    <x v="9"/>
    <x v="3"/>
    <s v="observed that scaffolding material scattered on the working area without arrangement "/>
    <x v="1"/>
    <s v="material was arranged immediately After inform scaffolding SUP"/>
    <m/>
    <m/>
    <m/>
    <m/>
    <m/>
    <x v="0"/>
    <m/>
  </r>
  <r>
    <n v="1531"/>
    <x v="175"/>
    <s v="Ahmed Sobhy "/>
    <x v="0"/>
    <s v="HSE "/>
    <x v="0"/>
    <x v="9"/>
    <x v="3"/>
    <s v="observed some welding cable were in the way of the forklift"/>
    <x v="1"/>
    <s v="stopped him and informed a welder to remove the cable  and he did immediately"/>
    <m/>
    <m/>
    <m/>
    <m/>
    <m/>
    <x v="0"/>
    <m/>
  </r>
  <r>
    <n v="1532"/>
    <x v="172"/>
    <s v="Mohamed Abdallah"/>
    <x v="0"/>
    <s v="HSE "/>
    <x v="0"/>
    <x v="2"/>
    <x v="3"/>
    <s v="observed some steel pieces in  have sharp edegs may cause injury"/>
    <x v="1"/>
    <s v="informed fitting supervisor and he had taken the corrective action,"/>
    <m/>
    <m/>
    <m/>
    <m/>
    <m/>
    <x v="0"/>
    <m/>
  </r>
  <r>
    <n v="1533"/>
    <x v="171"/>
    <s v="Ibrahim Hamed"/>
    <x v="0"/>
    <s v="HSE "/>
    <x v="0"/>
    <x v="1"/>
    <x v="3"/>
    <s v=" Welding Cables were passed through scaffolding ladder may lead to tripping hazard , falling hazard during climbing ladders "/>
    <x v="3"/>
    <s v="asked the welder to adjust cable routes , arrange cables for safe access , and he did "/>
    <m/>
    <m/>
    <m/>
    <m/>
    <m/>
    <x v="0"/>
    <m/>
  </r>
  <r>
    <n v="1534"/>
    <x v="166"/>
    <s v="Mostafa Abdelgany"/>
    <x v="0"/>
    <s v="HSE "/>
    <x v="0"/>
    <x v="3"/>
    <x v="3"/>
    <s v="Cables need to arrangement "/>
    <x v="3"/>
    <s v="Tell the grinders sup to arrangement the cables "/>
    <m/>
    <m/>
    <m/>
    <m/>
    <m/>
    <x v="0"/>
    <m/>
  </r>
  <r>
    <n v="1535"/>
    <x v="176"/>
    <s v="Kareem Ehab"/>
    <x v="0"/>
    <s v="Welding Sup"/>
    <x v="2"/>
    <x v="7"/>
    <x v="5"/>
    <s v="One of the grinder using wooden plate as support which may cause fire "/>
    <x v="0"/>
    <s v="Stopped him to remove the wooden plate , advised him not to use combustible material near hot work area "/>
    <m/>
    <m/>
    <m/>
    <m/>
    <s v="Invalid"/>
    <x v="1"/>
    <m/>
  </r>
  <r>
    <n v="1536"/>
    <x v="173"/>
    <s v="Mahmoud Abdelnaser"/>
    <x v="0"/>
    <s v="HSE"/>
    <x v="1"/>
    <x v="5"/>
    <x v="2"/>
    <s v="one of te welders work without full PPE  "/>
    <x v="3"/>
    <s v="Stopped him and tolk with him aabout the nessesry of PPE and he wear his full PPE"/>
    <m/>
    <m/>
    <m/>
    <m/>
    <m/>
    <x v="0"/>
    <m/>
  </r>
  <r>
    <n v="1537"/>
    <x v="174"/>
    <s v="Ahmed Sobhy "/>
    <x v="0"/>
    <s v="HSE"/>
    <x v="1"/>
    <x v="1"/>
    <x v="18"/>
    <s v="observed a fitter using improper hammering tools"/>
    <x v="3"/>
    <s v="stopped him immediately, inform the sup to instruct the workers to use proper tools and he did"/>
    <m/>
    <m/>
    <m/>
    <m/>
    <m/>
    <x v="0"/>
    <m/>
  </r>
  <r>
    <n v="1538"/>
    <x v="174"/>
    <s v="Ibrahim Hamed"/>
    <x v="0"/>
    <s v="HSE"/>
    <x v="1"/>
    <x v="17"/>
    <x v="15"/>
    <s v="Worker on the scaffold with yellow card without a safety harness."/>
    <x v="3"/>
    <s v="Stopped the worker and warned him not to do that again."/>
    <m/>
    <m/>
    <m/>
    <m/>
    <m/>
    <x v="0"/>
    <m/>
  </r>
  <r>
    <n v="1539"/>
    <x v="179"/>
    <s v="Mostafa Abdelgany"/>
    <x v="0"/>
    <s v="HSE"/>
    <x v="1"/>
    <x v="3"/>
    <x v="5"/>
    <s v="Observed a grinder was operating and did not secure the workpiece which may fall during work"/>
    <x v="3"/>
    <s v="Stopped the grinder and spoke to him about a safe way of work and he secured the workpiece and returned to work."/>
    <m/>
    <m/>
    <m/>
    <m/>
    <m/>
    <x v="0"/>
    <m/>
  </r>
  <r>
    <n v="1540"/>
    <x v="177"/>
    <s v="Mahmoud Abdelnaser"/>
    <x v="0"/>
    <s v="HSE"/>
    <x v="0"/>
    <x v="7"/>
    <x v="4"/>
    <s v="some scaffold material scattered in the area "/>
    <x v="0"/>
    <s v="Transferred scaffold material from the area to the temporary storage area for scaffold material out side the work area as agreed"/>
    <m/>
    <m/>
    <m/>
    <m/>
    <m/>
    <x v="0"/>
    <m/>
  </r>
  <r>
    <n v="1541"/>
    <x v="180"/>
    <s v="Mohamed Abdallah"/>
    <x v="0"/>
    <s v="HSE"/>
    <x v="0"/>
    <x v="9"/>
    <x v="4"/>
    <s v="Incomplete hard barricade for the work area "/>
    <x v="0"/>
    <s v="Informed Scaffold Sup to complete the hard barricade "/>
    <m/>
    <m/>
    <m/>
    <m/>
    <m/>
    <x v="0"/>
    <m/>
  </r>
  <r>
    <n v="1542"/>
    <x v="176"/>
    <s v="Mostafa Abdelgany"/>
    <x v="0"/>
    <s v="HSE"/>
    <x v="0"/>
    <x v="9"/>
    <x v="4"/>
    <s v="The electrical panel cable needs to be managed "/>
    <x v="0"/>
    <s v="Cable management was done "/>
    <m/>
    <m/>
    <m/>
    <m/>
    <m/>
    <x v="0"/>
    <m/>
  </r>
  <r>
    <n v="1543"/>
    <x v="173"/>
    <s v="Mohamed Abdallah"/>
    <x v="0"/>
    <s v="HSE"/>
    <x v="0"/>
    <x v="3"/>
    <x v="5"/>
    <s v="Welders need wooden step"/>
    <x v="0"/>
    <s v="Informed Scaffold Sup to make scaffold steps"/>
    <m/>
    <m/>
    <m/>
    <m/>
    <m/>
    <x v="0"/>
    <m/>
  </r>
  <r>
    <n v="1544"/>
    <x v="174"/>
    <s v="Ahmed Sobhy "/>
    <x v="0"/>
    <s v="HSE"/>
    <x v="0"/>
    <x v="7"/>
    <x v="4"/>
    <s v="Scaffold clip in scaffold surface"/>
    <x v="0"/>
    <s v="clip was removed"/>
    <m/>
    <m/>
    <m/>
    <m/>
    <m/>
    <x v="0"/>
    <m/>
  </r>
  <r>
    <n v="1545"/>
    <x v="179"/>
    <s v="Ibrahim Hamed"/>
    <x v="0"/>
    <s v="HSE"/>
    <x v="0"/>
    <x v="8"/>
    <x v="4"/>
    <s v="Incomplete hard barricade for the work area "/>
    <x v="0"/>
    <s v="Informed Scaffold Sup to complete the hard barricade "/>
    <m/>
    <m/>
    <m/>
    <m/>
    <m/>
    <x v="0"/>
    <m/>
  </r>
  <r>
    <n v="1546"/>
    <x v="179"/>
    <s v="Mohamed Abdallah"/>
    <x v="0"/>
    <s v="HSE"/>
    <x v="0"/>
    <x v="15"/>
    <x v="4"/>
    <s v="Housekeeping need improvement  especially on scaffold plat form."/>
    <x v="0"/>
    <s v="Housekeeping was done"/>
    <m/>
    <m/>
    <m/>
    <m/>
    <m/>
    <x v="0"/>
    <m/>
  </r>
  <r>
    <n v="1547"/>
    <x v="180"/>
    <s v="Ibrahim Hamed"/>
    <x v="0"/>
    <s v="HSE"/>
    <x v="0"/>
    <x v="17"/>
    <x v="1"/>
    <s v="observed presence of a metal object in front of the scaffold's ladder inhibits movement"/>
    <x v="0"/>
    <s v="spoke to Sup to do re-arrangement of objects and clear access ways to the scaffolds "/>
    <m/>
    <m/>
    <m/>
    <m/>
    <m/>
    <x v="0"/>
    <m/>
  </r>
  <r>
    <n v="1548"/>
    <x v="180"/>
    <s v="Mohamed Abdallah"/>
    <x v="0"/>
    <s v="HSE"/>
    <x v="0"/>
    <x v="3"/>
    <x v="1"/>
    <s v="Observed  a crane hook without colorcode."/>
    <x v="0"/>
    <s v="Asked the supervisor to put the required colorcode based on the hook condition and certificate."/>
    <m/>
    <m/>
    <m/>
    <m/>
    <m/>
    <x v="0"/>
    <m/>
  </r>
  <r>
    <n v="1549"/>
    <x v="182"/>
    <s v="Ahmed Sobhy "/>
    <x v="0"/>
    <s v="HSE"/>
    <x v="2"/>
    <x v="1"/>
    <x v="0"/>
    <s v="electric panel inspection paper not inside "/>
    <x v="0"/>
    <s v="Electrician inspected  all electrical panels and inspection check list put on the panel"/>
    <m/>
    <m/>
    <m/>
    <m/>
    <s v="Invalid"/>
    <x v="1"/>
    <m/>
  </r>
  <r>
    <n v="1550"/>
    <x v="178"/>
    <s v="Mohamed Abdallah"/>
    <x v="0"/>
    <s v="HSE"/>
    <x v="2"/>
    <x v="5"/>
    <x v="5"/>
    <s v="Observed that welding machine nearby the fabrication activity"/>
    <x v="0"/>
    <s v="Spoke to rigging supervisor to relocate the welding machine, _x000a_They have been relocated."/>
    <m/>
    <m/>
    <m/>
    <m/>
    <s v="Invalid"/>
    <x v="1"/>
    <m/>
  </r>
  <r>
    <n v="1551"/>
    <x v="181"/>
    <s v="Mahmoud Abdelnaser"/>
    <x v="0"/>
    <s v="HSE"/>
    <x v="1"/>
    <x v="9"/>
    <x v="5"/>
    <s v="Grinder was working  close to propane cylinder  , sparks towards cylinder "/>
    <x v="3"/>
    <s v="Stopped him to take cylinder away , instructed him to make  grinding area free from any flammable material "/>
    <m/>
    <m/>
    <m/>
    <m/>
    <m/>
    <x v="0"/>
    <m/>
  </r>
  <r>
    <n v="1552"/>
    <x v="181"/>
    <s v="Omar Elmokhtar"/>
    <x v="0"/>
    <s v="HSE"/>
    <x v="1"/>
    <x v="1"/>
    <x v="2"/>
    <s v="one of the fitters make cutting by gas and he don’t wear his safety glasses"/>
    <x v="0"/>
    <s v="Talk to him about the importance of PPE and glasses and he wear his glasses"/>
    <m/>
    <m/>
    <m/>
    <m/>
    <m/>
    <x v="0"/>
    <m/>
  </r>
  <r>
    <n v="1553"/>
    <x v="183"/>
    <s v="Mahmoud Abdelnaser"/>
    <x v="0"/>
    <s v="HSE"/>
    <x v="1"/>
    <x v="17"/>
    <x v="2"/>
    <s v="grinder work without his  Face Mask shield"/>
    <x v="3"/>
    <s v="Stopped  him and  talk with him about the necessary of PPE and he wear his full  PPE immediately"/>
    <m/>
    <m/>
    <m/>
    <m/>
    <m/>
    <x v="0"/>
    <m/>
  </r>
  <r>
    <n v="1554"/>
    <x v="184"/>
    <s v="Kareem Ehab"/>
    <x v="0"/>
    <s v="Welding Sup"/>
    <x v="0"/>
    <x v="3"/>
    <x v="3"/>
    <s v="observed some steel pieces in  have sharp edegs may cause injury"/>
    <x v="1"/>
    <s v="informed fitting supervisor and he had taken the corrective action,"/>
    <m/>
    <m/>
    <m/>
    <m/>
    <m/>
    <x v="0"/>
    <m/>
  </r>
  <r>
    <n v="1555"/>
    <x v="185"/>
    <s v="Ibrahim Hamed"/>
    <x v="0"/>
    <s v="HSE "/>
    <x v="0"/>
    <x v="17"/>
    <x v="3"/>
    <s v=" Welding Cables were passed through scaffolding ladder may lead to tripping hazard , falling hazard during climbing ladders "/>
    <x v="3"/>
    <s v="asked the welder to adjust cable routes , arrange cables for safe access , and he did "/>
    <m/>
    <m/>
    <m/>
    <m/>
    <m/>
    <x v="0"/>
    <m/>
  </r>
  <r>
    <n v="1556"/>
    <x v="182"/>
    <s v="Mostafa Abdelgany"/>
    <x v="0"/>
    <s v="HSE "/>
    <x v="0"/>
    <x v="1"/>
    <x v="3"/>
    <s v="Cables need to arrangement "/>
    <x v="3"/>
    <s v="Tell the grinders sup to arrangement the cables "/>
    <m/>
    <m/>
    <m/>
    <m/>
    <m/>
    <x v="0"/>
    <m/>
  </r>
  <r>
    <n v="1557"/>
    <x v="178"/>
    <s v="Abdelfatah Mohamed"/>
    <x v="0"/>
    <s v="HSE "/>
    <x v="0"/>
    <x v="9"/>
    <x v="7"/>
    <s v="Storage material with sharp edge"/>
    <x v="2"/>
    <s v="put a cone in front sharp edge and Highlighted the issue with the lifting sup"/>
    <m/>
    <m/>
    <m/>
    <m/>
    <m/>
    <x v="0"/>
    <m/>
  </r>
  <r>
    <n v="1558"/>
    <x v="181"/>
    <s v="Ahmed Sobhy "/>
    <x v="0"/>
    <s v="HSE "/>
    <x v="0"/>
    <x v="7"/>
    <x v="3"/>
    <s v="Bad housekeeping on scaffolds"/>
    <x v="0"/>
    <s v="housekeeping has been done"/>
    <m/>
    <m/>
    <m/>
    <m/>
    <m/>
    <x v="0"/>
    <m/>
  </r>
  <r>
    <n v="1559"/>
    <x v="185"/>
    <s v="Abdelfatah Mohamed"/>
    <x v="0"/>
    <s v="HSE "/>
    <x v="0"/>
    <x v="9"/>
    <x v="3"/>
    <s v="observed  welding rods on scaffold platform "/>
    <x v="0"/>
    <s v="housekeeping was done "/>
    <m/>
    <m/>
    <m/>
    <m/>
    <m/>
    <x v="0"/>
    <m/>
  </r>
  <r>
    <n v="1560"/>
    <x v="183"/>
    <s v="Mohamed Abdallah"/>
    <x v="0"/>
    <s v="HSE "/>
    <x v="0"/>
    <x v="9"/>
    <x v="5"/>
    <s v="Argon Gas cylinder need to be Installed"/>
    <x v="3"/>
    <s v="Asked workers to install and fix the gas cylinders by chains "/>
    <m/>
    <m/>
    <m/>
    <m/>
    <m/>
    <x v="0"/>
    <m/>
  </r>
  <r>
    <n v="1561"/>
    <x v="184"/>
    <s v="Mahmoud Abdelnaser"/>
    <x v="0"/>
    <s v="HSE "/>
    <x v="0"/>
    <x v="8"/>
    <x v="3"/>
    <s v=" observed  some metal piece was left in the access way which may cause tripping hazards."/>
    <x v="0"/>
    <s v="Highlighted the tripping hazard and the poor housekeeping with area supervisor and he arranged for the corrective action immediately"/>
    <m/>
    <m/>
    <m/>
    <m/>
    <m/>
    <x v="0"/>
    <m/>
  </r>
  <r>
    <n v="1562"/>
    <x v="185"/>
    <s v="Ahmed Sobhy "/>
    <x v="0"/>
    <s v="HSE"/>
    <x v="0"/>
    <x v="7"/>
    <x v="5"/>
    <s v="Observed a grinder was operating and did not secure the workpiece which may fall during work,"/>
    <x v="0"/>
    <s v="Stopped the grinder and spoke to him about a safe way of work and he secured the workpiece and returned to work."/>
    <m/>
    <m/>
    <m/>
    <m/>
    <m/>
    <x v="0"/>
    <m/>
  </r>
  <r>
    <n v="1563"/>
    <x v="182"/>
    <s v="Mohamed Abdallah"/>
    <x v="0"/>
    <s v="HSE"/>
    <x v="0"/>
    <x v="9"/>
    <x v="5"/>
    <s v="Welding cables needed to be arranged"/>
    <x v="0"/>
    <s v="cable management has been performed "/>
    <m/>
    <m/>
    <m/>
    <m/>
    <m/>
    <x v="0"/>
    <m/>
  </r>
  <r>
    <n v="1564"/>
    <x v="183"/>
    <s v="Mahmoud Nasr"/>
    <x v="2"/>
    <s v="HSE"/>
    <x v="3"/>
    <x v="6"/>
    <x v="11"/>
    <s v="Good practice for PTJ HSE to make identification for each area with writing Area _x000a_( A,B,C) also to be related to work permit location. "/>
    <x v="5"/>
    <s v="Thanks him and encourage him to make more improvement. "/>
    <m/>
    <m/>
    <m/>
    <m/>
    <s v="Invalid"/>
    <x v="1"/>
    <m/>
  </r>
  <r>
    <n v="1565"/>
    <x v="184"/>
    <s v="Mahmoud Nasr"/>
    <x v="2"/>
    <s v="HSE"/>
    <x v="3"/>
    <x v="3"/>
    <x v="3"/>
    <s v="Good practice for PTJ HSE to make storage area clean and organized"/>
    <x v="5"/>
    <s v="Thanked him and encourage him to make more improvement. "/>
    <m/>
    <m/>
    <m/>
    <m/>
    <s v="Invalid"/>
    <x v="1"/>
    <m/>
  </r>
  <r>
    <n v="1566"/>
    <x v="183"/>
    <s v="Mahmoud Samir"/>
    <x v="2"/>
    <s v="HSE"/>
    <x v="3"/>
    <x v="1"/>
    <x v="3"/>
    <s v="The scaffolding supervisor was observed inspecting a blocked access way in the workshop and took immediate action to clear it by removing all tripping hazards."/>
    <x v="5"/>
    <s v="Positive feedback was sent, and an incentive card was awarded to the supervisor in recognition of his proactive safety performance."/>
    <m/>
    <m/>
    <m/>
    <m/>
    <s v="Invalid"/>
    <x v="1"/>
    <m/>
  </r>
  <r>
    <n v="1567"/>
    <x v="184"/>
    <s v="Mahmoud Samir"/>
    <x v="2"/>
    <s v="HSE"/>
    <x v="1"/>
    <x v="1"/>
    <x v="16"/>
    <s v="It has been observed that someone was smoking inside work place. "/>
    <x v="1"/>
    <s v="Took an immediate disciplinary action with him and create TBT meeting with all team."/>
    <m/>
    <m/>
    <m/>
    <m/>
    <m/>
    <x v="0"/>
    <m/>
  </r>
  <r>
    <n v="1568"/>
    <x v="185"/>
    <s v="Mahmoud Samir"/>
    <x v="2"/>
    <s v="HSE"/>
    <x v="1"/>
    <x v="1"/>
    <x v="8"/>
    <s v="It was observed that during the lifting activity, riggers were using their hands to control the load, which poses a safety hazard."/>
    <x v="1"/>
    <s v="I immediately intervened and stopped the unsafe activity. The entire rigging team was sent for retraining to ensure proper load handling procedures are followed."/>
    <m/>
    <m/>
    <m/>
    <m/>
    <m/>
    <x v="0"/>
    <m/>
  </r>
  <r>
    <n v="1569"/>
    <x v="186"/>
    <s v="Mahmoud Samir"/>
    <x v="2"/>
    <s v="HSE"/>
    <x v="3"/>
    <x v="7"/>
    <x v="15"/>
    <s v="Observed that fitter supervisor fabricating and erecting metal shield at open an area to protect his team from heat stress during fabrication activities."/>
    <x v="5"/>
    <s v="He was supported in completing this positive safety initiative, and positive feedback was sent in recognition of his proactive performance."/>
    <m/>
    <m/>
    <m/>
    <m/>
    <s v="Invalid"/>
    <x v="1"/>
    <m/>
  </r>
  <r>
    <n v="1570"/>
    <x v="186"/>
    <s v="Mahmoud Samir"/>
    <x v="2"/>
    <s v="HSE"/>
    <x v="0"/>
    <x v="7"/>
    <x v="3"/>
    <s v="It was observed that materials were stored unsafely in the temporary storage area. There was no clear access, and small frames were stacked on top without proper securing,"/>
    <x v="1"/>
    <s v="The area supervisor was instructed to regularly monitor the temporary storage zone and ensure that all materials are properly segregated and securely stored"/>
    <s v="Supervisor and HSE team instructed that make daily survey to checking the temporary storage areas states "/>
    <m/>
    <m/>
    <m/>
    <m/>
    <x v="0"/>
    <m/>
  </r>
  <r>
    <n v="1571"/>
    <x v="187"/>
    <s v="Mahmoud Samir"/>
    <x v="2"/>
    <s v="HSE"/>
    <x v="0"/>
    <x v="4"/>
    <x v="1"/>
    <s v="It was observed that un completed scaffold platform using for welding activities."/>
    <x v="1"/>
    <s v="The area supervisor was instructed to stop the activities until re-inspection and necessary modifications are carried out by the scaffolding inspector."/>
    <s v="Creating TBT with workshop team to check platform before start activities and with a focus on the topic of working at height."/>
    <m/>
    <m/>
    <m/>
    <m/>
    <x v="0"/>
    <m/>
  </r>
  <r>
    <n v="1572"/>
    <x v="188"/>
    <s v="Mahmoud Samir"/>
    <x v="2"/>
    <s v="HSE"/>
    <x v="0"/>
    <x v="8"/>
    <x v="4"/>
    <s v="It was observed that maintenance work on the overhead crane was being carried out inside the workshop without suspending nearby activities and without evacuating the area."/>
    <x v="1"/>
    <s v="I was interfered immediately and stop maintenance activity and supervisor instructed that evacuate the workshop then complete the activities. "/>
    <s v="Create TBT with all for SIMOPS topic"/>
    <m/>
    <m/>
    <m/>
    <m/>
    <x v="0"/>
    <m/>
  </r>
  <r>
    <n v="1573"/>
    <x v="187"/>
    <s v="Mahmoud Nasr"/>
    <x v="2"/>
    <s v="HSE"/>
    <x v="1"/>
    <x v="18"/>
    <x v="1"/>
    <s v="I have observed the worker siting on the handrail while he working.  "/>
    <x v="1"/>
    <s v="Inform PTJ HSE to take action with him. "/>
    <m/>
    <m/>
    <m/>
    <m/>
    <m/>
    <x v="0"/>
    <m/>
  </r>
  <r>
    <n v="1574"/>
    <x v="185"/>
    <s v="Mahmoud Nasr"/>
    <x v="2"/>
    <s v="HSE"/>
    <x v="0"/>
    <x v="5"/>
    <x v="12"/>
    <s v="I have observed the risk assessment not updated ( RA-002) and some papers _x000a_not clear printe. "/>
    <x v="2"/>
    <s v="Inform PTJ HSE to update this risk. "/>
    <m/>
    <m/>
    <m/>
    <m/>
    <m/>
    <x v="0"/>
    <m/>
  </r>
  <r>
    <n v="1575"/>
    <x v="186"/>
    <s v="Mahmoud Nasr"/>
    <x v="2"/>
    <s v="HSE"/>
    <x v="0"/>
    <x v="5"/>
    <x v="12"/>
    <s v="I have observed the risk assessment not updated ( RA-007) and some parts not _x000a_translated to Arabic also blasting and painting RA all in English not translated _x000a_into Arabic "/>
    <x v="2"/>
    <s v="Inform PTJ HSE to update this risk. "/>
    <m/>
    <m/>
    <m/>
    <m/>
    <m/>
    <x v="0"/>
    <m/>
  </r>
  <r>
    <n v="1576"/>
    <x v="184"/>
    <s v="Johan Kruger"/>
    <x v="1"/>
    <s v="HSE"/>
    <x v="0"/>
    <x v="5"/>
    <x v="21"/>
    <s v="Deep freezers on site are non-functional "/>
    <x v="2"/>
    <s v="PTJ to service / replace deep freezers on site as currently there is no cool drinking water for the workers on site. "/>
    <s v="Ensure Drinking stations have adequate cool water available during summer months. "/>
    <m/>
    <m/>
    <m/>
    <m/>
    <x v="0"/>
    <m/>
  </r>
  <r>
    <n v="1577"/>
    <x v="184"/>
    <s v="Johan Kruger"/>
    <x v="1"/>
    <s v="HSE"/>
    <x v="2"/>
    <x v="5"/>
    <x v="9"/>
    <s v="Observed TFMC and PTJ Safety personnel roaming on site as well as being in all _x000a_areas of work."/>
    <x v="5"/>
    <s v="Thanked TFMC /PTJ Safety Managers for ensuring all Safety Officers are on site and aware of the tasks within their respective areas. "/>
    <m/>
    <m/>
    <m/>
    <m/>
    <s v="Invalid"/>
    <x v="1"/>
    <m/>
  </r>
  <r>
    <n v="1578"/>
    <x v="184"/>
    <s v="Johan Kruger"/>
    <x v="1"/>
    <s v="HSE"/>
    <x v="1"/>
    <x v="5"/>
    <x v="1"/>
    <s v="Observed man basket passenger repairing the overhead crane in workshop#3 climb onto the mid rail to reach the work area. "/>
    <x v="2"/>
    <s v="Immediately ceased the task and informed the operator to ensure his passenger does not stand on the mid rail to reach his work area. "/>
    <s v="People in a manlift must ensure there is adequate lift in the basket to reach a work area and to perform their  task by standing on the floor only of a man basket. "/>
    <m/>
    <m/>
    <m/>
    <m/>
    <x v="0"/>
    <m/>
  </r>
  <r>
    <n v="1579"/>
    <x v="184"/>
    <s v="Gamal Abdelgawad"/>
    <x v="1"/>
    <s v="HSE"/>
    <x v="3"/>
    <x v="18"/>
    <x v="2"/>
    <s v="During my inspections on site, I identified 2 grinding operators wearing full PPE _x000a_and standing good positions not interfering with each other’s works. "/>
    <x v="5"/>
    <s v="Congratulated the operators on working safely. "/>
    <m/>
    <m/>
    <m/>
    <m/>
    <s v="Invalid"/>
    <x v="1"/>
    <m/>
  </r>
  <r>
    <n v="1580"/>
    <x v="184"/>
    <s v="Gamal Abdelgawad"/>
    <x v="1"/>
    <s v="HSE"/>
    <x v="3"/>
    <x v="4"/>
    <x v="14"/>
    <s v="It was observed that a forklift was being well controlled by a banksman with _x000a_good flag controls while shifting materials in a busy area with people"/>
    <x v="5"/>
    <s v="Commended the Banksman on his strong abilities to control and guide the forklift activities safely in a crowded area. "/>
    <s v="I spoke to the PTJ area HSE officer to ensure that the equipment was deenergized and that once the operator returned, he must be tutored on the importance of NOT leaving his equipment unattended and energized. "/>
    <m/>
    <m/>
    <m/>
    <s v="Invalid"/>
    <x v="1"/>
    <m/>
  </r>
  <r>
    <n v="1581"/>
    <x v="184"/>
    <s v="Gamal Abdelgawad"/>
    <x v="1"/>
    <s v="HSE"/>
    <x v="0"/>
    <x v="4"/>
    <x v="0"/>
    <s v="During my inspections on site, I identified a 9” grinding machine unattended and still energized. "/>
    <x v="2"/>
    <s v="I spoke to the PTJ area HSE officer to ensure that the equipment was deenergized and that once the operator returned, he must be tutored on the importance of NOT leaving his equipment unattended and energized."/>
    <s v="I spoke to the PTJ area HSE officer to ensure that the equipment was deenergized and that once the operator returned, he must be tutored on the importance of NOT leaving his equipment unattended and energized. "/>
    <m/>
    <m/>
    <m/>
    <m/>
    <x v="0"/>
    <m/>
  </r>
  <r>
    <n v="1582"/>
    <x v="187"/>
    <s v="Reda Zaghloul "/>
    <x v="1"/>
    <s v="QC"/>
    <x v="2"/>
    <x v="2"/>
    <x v="3"/>
    <s v="Good cables management in WS2 (piping fabrication area) "/>
    <x v="5"/>
    <s v="Encourage the team to keep it up. "/>
    <m/>
    <m/>
    <m/>
    <m/>
    <s v="Invalid"/>
    <x v="1"/>
    <m/>
  </r>
  <r>
    <n v="1583"/>
    <x v="188"/>
    <s v="Reda Zaghloul "/>
    <x v="1"/>
    <s v="QC"/>
    <x v="2"/>
    <x v="5"/>
    <x v="21"/>
    <s v="The suitable cold potable water issue was resolved and water bottles are _x000a_available now in the refrigerators. Workers are satisfied so far "/>
    <x v="5"/>
    <s v="Encourage the team to keep it up. "/>
    <m/>
    <m/>
    <m/>
    <m/>
    <s v="Invalid"/>
    <x v="1"/>
    <m/>
  </r>
  <r>
    <n v="1584"/>
    <x v="185"/>
    <s v="Malcolm Garrington"/>
    <x v="1"/>
    <s v="Project Manager"/>
    <x v="0"/>
    <x v="9"/>
    <x v="3"/>
    <s v=" CPY noted a copious amounts of plastic bottles lying around between w/shop 4 _x000a_and warehouse 1 "/>
    <x v="2"/>
    <s v="TFMC to address with PTJ for nominated supervisor to constantly check and keep clean. "/>
    <m/>
    <m/>
    <m/>
    <m/>
    <m/>
    <x v="0"/>
    <m/>
  </r>
  <r>
    <n v="1585"/>
    <x v="185"/>
    <s v="Malcolm Garrington"/>
    <x v="1"/>
    <s v="Project Manager"/>
    <x v="0"/>
    <x v="6"/>
    <x v="3"/>
    <s v=" CPY noted a copious amounts of plastic bottles lying around the blasting and _x000a_coating areas. "/>
    <x v="2"/>
    <s v="TFMC to address with PTJ for nominated supervisor to constantly check and keep clean. "/>
    <m/>
    <m/>
    <m/>
    <m/>
    <m/>
    <x v="0"/>
    <m/>
  </r>
  <r>
    <n v="1586"/>
    <x v="185"/>
    <s v="Chris Eaton"/>
    <x v="1"/>
    <s v="QC"/>
    <x v="0"/>
    <x v="4"/>
    <x v="2"/>
    <s v="Approached the operator and requested that he use the safety glasses provided _x000a_and in his possession. "/>
    <x v="2"/>
    <s v="Explained the importance of wearing the correct provided minimum PPE &amp; encouraged him to wear safety glasses. "/>
    <m/>
    <m/>
    <m/>
    <m/>
    <m/>
    <x v="0"/>
    <m/>
  </r>
  <r>
    <n v="1587"/>
    <x v="185"/>
    <s v="Chris Eaton"/>
    <x v="1"/>
    <s v="QC"/>
    <x v="0"/>
    <x v="5"/>
    <x v="21"/>
    <s v="Welfare of workers, Lack of cool water facilities during weather related elevated _x000a_temperature"/>
    <x v="2"/>
    <s v="No immediate corrective action from PTJ "/>
    <s v="TFMC states that they will review the situation 29/07/2025 "/>
    <m/>
    <m/>
    <m/>
    <m/>
    <x v="0"/>
    <m/>
  </r>
  <r>
    <n v="1588"/>
    <x v="189"/>
    <s v="Mahmoud Elshahat"/>
    <x v="2"/>
    <s v="HSE"/>
    <x v="0"/>
    <x v="1"/>
    <x v="0"/>
    <s v="It was observed that the grinding tool plug was defective and was not inspected or marked with the current colour code"/>
    <x v="1"/>
    <s v="Stopped the work immediately _x000a_advise to remove the Grinder from site _x000a_and get it fixed inspected to use it again"/>
    <m/>
    <m/>
    <m/>
    <m/>
    <m/>
    <x v="0"/>
    <m/>
  </r>
  <r>
    <n v="1589"/>
    <x v="190"/>
    <s v="Mahmoud Samir"/>
    <x v="2"/>
    <s v="HSE"/>
    <x v="0"/>
    <x v="7"/>
    <x v="5"/>
    <s v="It has been observed the storage basket of the compressed gas cylinders with Acetylene and oxygen in the same basket and being lashed with a sling."/>
    <x v="1"/>
    <s v="The area supervisor was informed to separate the acetylene away from the oxygen and provide chain to guard the cylinders properly."/>
    <m/>
    <m/>
    <m/>
    <m/>
    <m/>
    <x v="0"/>
    <m/>
  </r>
  <r>
    <n v="1590"/>
    <x v="190"/>
    <s v="Mahmoud Samir"/>
    <x v="2"/>
    <s v="HSE"/>
    <x v="0"/>
    <x v="18"/>
    <x v="3"/>
    <s v="It has been observed poor housekeeping and inadequate cable management at a welding area inside workshop 7"/>
    <x v="1"/>
    <s v="I stopped the work in the WS7 until it was maintained to be clean, safe, and tidy, _x000a_allowing the activity to continue."/>
    <m/>
    <m/>
    <m/>
    <m/>
    <m/>
    <x v="0"/>
    <m/>
  </r>
  <r>
    <n v="1591"/>
    <x v="189"/>
    <s v="Mahmoud Elshahat"/>
    <x v="2"/>
    <s v="HSE"/>
    <x v="0"/>
    <x v="7"/>
    <x v="5"/>
    <s v="It was observed that that the CGC gauge was faulty and there was no valve Safety cap on the CGC"/>
    <x v="1"/>
    <s v="Stopped work with the CGC immediately _x000a_advice to change faulty gauge and get a cap to use the CGC"/>
    <m/>
    <m/>
    <m/>
    <m/>
    <m/>
    <x v="0"/>
    <m/>
  </r>
  <r>
    <n v="1592"/>
    <x v="191"/>
    <s v="Mahmoud Samir"/>
    <x v="2"/>
    <s v="HSE"/>
    <x v="0"/>
    <x v="6"/>
    <x v="1"/>
    <s v="It was observed that an unsafe scaffold platform was being used during a hot work activity, which had an opening"/>
    <x v="1"/>
    <s v="I stopped the work and area supervisor informed that contact with scaffold team immediately and follow up by HSE PTJ  "/>
    <m/>
    <m/>
    <m/>
    <m/>
    <m/>
    <x v="0"/>
    <m/>
  </r>
  <r>
    <n v="1593"/>
    <x v="189"/>
    <s v="Mahmoud Elshahat"/>
    <x v="2"/>
    <s v="HSE"/>
    <x v="0"/>
    <x v="18"/>
    <x v="3"/>
    <s v="Observed that there was poor housekeeping in the area and there was a lot of welding rods on the ground"/>
    <x v="1"/>
    <s v="Advised area supervisor to ensure proper housekeeping is maintained in the workshop at all times"/>
    <m/>
    <m/>
    <m/>
    <m/>
    <m/>
    <x v="0"/>
    <m/>
  </r>
  <r>
    <n v="1594"/>
    <x v="192"/>
    <s v="Mahmoud Samir"/>
    <x v="2"/>
    <s v="HSE"/>
    <x v="0"/>
    <x v="1"/>
    <x v="5"/>
    <s v="It has been observed a compressed gas cylinder while it is on the trolley without being guarded with a chain"/>
    <x v="1"/>
    <s v="I’m interfered immediately and The area supervisor was informed and fixed the chain to the cylinder."/>
    <m/>
    <m/>
    <m/>
    <m/>
    <m/>
    <x v="0"/>
    <m/>
  </r>
  <r>
    <n v="1595"/>
    <x v="189"/>
    <s v="Mahmoud Elshahat"/>
    <x v="2"/>
    <s v="HSE"/>
    <x v="2"/>
    <x v="1"/>
    <x v="5"/>
    <s v="Observed that there was proper segregation of CGC and there was clear sign board to identify the area"/>
    <x v="5"/>
    <s v="Commended the work done and arrangements"/>
    <m/>
    <m/>
    <m/>
    <m/>
    <s v="Invalid"/>
    <x v="1"/>
    <m/>
  </r>
  <r>
    <n v="1596"/>
    <x v="193"/>
    <s v="Mahmoud Samir"/>
    <x v="2"/>
    <s v="HSE"/>
    <x v="2"/>
    <x v="0"/>
    <x v="3"/>
    <s v="It was observed that a worker demonstrated good behavior by arranging cable management and checking the condition of the access ways."/>
    <x v="5"/>
    <s v="The HSE team instructed the replacement or repair of all damaged habitats before resuming hot work and directed the supervisor to ensure continuous monitoring and adequate supervision on site."/>
    <s v="Incentive card given for him and positive feedback was given during TBT meeting. "/>
    <m/>
    <m/>
    <m/>
    <s v="Invalid"/>
    <x v="1"/>
    <m/>
  </r>
  <r>
    <n v="1597"/>
    <x v="189"/>
    <s v="Mahmoud Samir"/>
    <x v="2"/>
    <s v="HSE"/>
    <x v="0"/>
    <x v="3"/>
    <x v="3"/>
    <s v="It was observed that several damaged welding habitats were being used during hot work activities, and there was a lack of supervision on site."/>
    <x v="1"/>
    <s v="The HSE team instructed the replacement or repair of all damaged habitats before resuming hot work and directed the supervisor to ensure continuous monitoring and adequate supervision on site."/>
    <m/>
    <m/>
    <m/>
    <m/>
    <m/>
    <x v="0"/>
    <m/>
  </r>
  <r>
    <n v="1598"/>
    <x v="194"/>
    <s v="Mahmoud Samir"/>
    <x v="2"/>
    <s v="HSE"/>
    <x v="1"/>
    <x v="2"/>
    <x v="2"/>
    <s v="It was observed that a welder was using scaffold boards without installing guardrail system, and was also not wearing the required PPE for welding (apron) "/>
    <x v="1"/>
    <s v="The HSE team instructed the replacement or repair of all damaged habitats before resuming hot work and directed the supervisor to ensure continuous monitoring and adequate supervision on site."/>
    <m/>
    <m/>
    <m/>
    <m/>
    <m/>
    <x v="0"/>
    <m/>
  </r>
  <r>
    <n v="1599"/>
    <x v="195"/>
    <s v="Ehab Ibrahim Hassan"/>
    <x v="1"/>
    <s v="Coating Inspector"/>
    <x v="1"/>
    <x v="2"/>
    <x v="2"/>
    <s v="Some technicians handling heavy objects with bare hands, no gloves worn."/>
    <x v="1"/>
    <s v="Stopped work, instructed them to wear work gloves before lifting and handling any objects "/>
    <s v="Issue to be highlighted in the subcontractor pre-job TBT."/>
    <m/>
    <m/>
    <m/>
    <m/>
    <x v="0"/>
    <m/>
  </r>
  <r>
    <n v="1600"/>
    <x v="195"/>
    <s v="Ehab Ibrahim Hassan"/>
    <x v="1"/>
    <s v="Coating Inspector"/>
    <x v="0"/>
    <x v="2"/>
    <x v="3"/>
    <s v="Found cigarettes butts on the floor. "/>
    <x v="2"/>
    <s v="Called TECHNIP safety officer to investigate and communicate our findings with PTJ in charge to instruct all individuals in the area with the none smoking policy in working place. "/>
    <s v="Issue to be highlighted in the subcontractor pre-job TBT. "/>
    <m/>
    <m/>
    <m/>
    <m/>
    <x v="0"/>
    <m/>
  </r>
  <r>
    <n v="1601"/>
    <x v="195"/>
    <s v="Ehab Ibrahim Hassan"/>
    <x v="1"/>
    <s v="Coating Inspector"/>
    <x v="0"/>
    <x v="6"/>
    <x v="2"/>
    <s v="No use of earplugs while blasting. "/>
    <x v="1"/>
    <s v="Technicians were asked to leave the blasting area until their supervisor bring them earplugs. "/>
    <s v="Issue to be highlighted in the subcontractor pre-job TBT. "/>
    <m/>
    <m/>
    <m/>
    <m/>
    <x v="0"/>
    <m/>
  </r>
  <r>
    <n v="1602"/>
    <x v="184"/>
    <s v="Ehab Ibrahim Hassan"/>
    <x v="1"/>
    <s v="Coating Inspector"/>
    <x v="0"/>
    <x v="6"/>
    <x v="21"/>
    <s v="Shortage of cold drinking water in the blasting yard. "/>
    <x v="2"/>
    <s v="Discussed the issue with PTJ site engineer who informed me that it was discussed with their construction manager and issue was highlighted in the weekly TBT."/>
    <s v="On Monday PTJ construction manager confirmed they made available enough _x000a_quantity of cold water for all.  "/>
    <m/>
    <m/>
    <m/>
    <m/>
    <x v="0"/>
    <m/>
  </r>
  <r>
    <n v="1603"/>
    <x v="192"/>
    <s v="Gamal Abdelgawad"/>
    <x v="1"/>
    <s v="Fabrication"/>
    <x v="3"/>
    <x v="2"/>
    <x v="8"/>
    <s v="CPY observed a proper lifting operation has been carried out, during lifting / _x000a_moving yoke ladder using overhead crane, inside fabrication workshop#2."/>
    <x v="5"/>
    <s v="CPY approach TFMC / PTJ HSE representative, to encourage the whole team have been involved in the lifting operation, for their commitment to HSE rules and requirements during the execution.  "/>
    <m/>
    <m/>
    <m/>
    <m/>
    <s v="Invalid"/>
    <x v="1"/>
    <m/>
  </r>
  <r>
    <n v="1604"/>
    <x v="192"/>
    <s v="Gamal Abdelgawad"/>
    <x v="1"/>
    <s v="Fabrication"/>
    <x v="0"/>
    <x v="3"/>
    <x v="3"/>
    <s v="CPY observed that several cables were found on the ground without any _x000a_arrangement / cable management through cable management platform."/>
    <x v="2"/>
    <s v="Informed PTJ / TFMC HSE, to postpone the activities, to do all necessary for proper housekeeping all over the cable arrangement / cable management through cable management platform. "/>
    <s v="Ensure that all crew who involved in the activities inside this area are fully aware _x000a_and acknowledge that housekeeping is a daily routine activity to be done by end _x000a_of each shift.  "/>
    <m/>
    <m/>
    <m/>
    <m/>
    <x v="0"/>
    <m/>
  </r>
  <r>
    <n v="1605"/>
    <x v="192"/>
    <s v="Gamal Abdelgawad"/>
    <x v="1"/>
    <s v="Fabrication"/>
    <x v="2"/>
    <x v="1"/>
    <x v="3"/>
    <s v="CPY observed a proper Housekeeping during preparation of fabrication activities _x000a_included prefabrication and welding, have been carried out properly, within _x000a_outside fabrication area#4. "/>
    <x v="5"/>
    <s v="CPY approach TFMC / PTJ HSE representative, to encourage the whole team have been involved in the lifting operation, for their commitment to HSE rules and requirements.  "/>
    <m/>
    <m/>
    <m/>
    <m/>
    <s v="Invalid"/>
    <x v="1"/>
    <m/>
  </r>
  <r>
    <n v="1606"/>
    <x v="196"/>
    <s v="Johan Kruger"/>
    <x v="1"/>
    <s v="HSE"/>
    <x v="0"/>
    <x v="2"/>
    <x v="21"/>
    <s v="Observed the chest freezers containing  lukewarm drinking water bottles – not _x000a_cooling "/>
    <x v="2"/>
    <s v="TFMC has given an ultimatum to PTJ to rectify the issue. Failing to rectify will result in all permits being suspended until such time as cool drinking water is available to the workforce "/>
    <s v="NEW chest freezers should be purchased. "/>
    <m/>
    <m/>
    <m/>
    <m/>
    <x v="0"/>
    <m/>
  </r>
  <r>
    <n v="1607"/>
    <x v="197"/>
    <s v="Ehab Ibrahim Hassan"/>
    <x v="1"/>
    <s v="Coating Inspector"/>
    <x v="1"/>
    <x v="6"/>
    <x v="2"/>
    <s v="A few PTJ technicians in the blasting yard doing manual works without wearing _x000a_gloves "/>
    <x v="2"/>
    <s v="Spoke to their engineer who instructed them to wear their gloves during work ."/>
    <s v="Issue to be highlighted and briefed in daily TBT. "/>
    <m/>
    <m/>
    <m/>
    <m/>
    <x v="0"/>
    <m/>
  </r>
  <r>
    <n v="1608"/>
    <x v="198"/>
    <s v="Ehab Ibrahim Hassan"/>
    <x v="1"/>
    <s v="Coating Inspector"/>
    <x v="1"/>
    <x v="2"/>
    <x v="16"/>
    <s v="One welder was smoking under the structure he was working on. "/>
    <x v="2"/>
    <s v="Brought the issue to his supervisor who had a word with him and sent him off the place "/>
    <s v="Issue to be highlighted in the subcontractor pre-job TBT. "/>
    <m/>
    <m/>
    <m/>
    <m/>
    <x v="0"/>
    <m/>
  </r>
  <r>
    <n v="1609"/>
    <x v="197"/>
    <s v="Ahmed Nasr"/>
    <x v="1"/>
    <s v="Fabrication"/>
    <x v="0"/>
    <x v="5"/>
    <x v="0"/>
    <s v="It has been observed a damaged welding cable. "/>
    <x v="2"/>
    <s v="Discussed with HSE supervisor and immediately asked the electrician to replace the cable "/>
    <m/>
    <m/>
    <m/>
    <m/>
    <m/>
    <x v="0"/>
    <m/>
  </r>
  <r>
    <n v="1610"/>
    <x v="197"/>
    <s v="Ahmed Nasr"/>
    <x v="1"/>
    <s v="Fabrication"/>
    <x v="0"/>
    <x v="5"/>
    <x v="3"/>
    <s v="It has been observed that the waste management system is not implemented _x000a_properly. "/>
    <x v="2"/>
    <s v="Discussed with HSE supervisor and the case has been escalated to TFMC HSE manager in order to discuss with PTJ "/>
    <m/>
    <m/>
    <m/>
    <m/>
    <m/>
    <x v="0"/>
    <m/>
  </r>
  <r>
    <n v="1611"/>
    <x v="198"/>
    <s v="Lance Pretorius"/>
    <x v="1"/>
    <s v="HSE"/>
    <x v="3"/>
    <x v="8"/>
    <x v="2"/>
    <s v="A worker performing grinding activities called CPY to show that he was wearing _x000a_his full PPE and earplugs in a noisy environment"/>
    <x v="5"/>
    <s v="CPY commended  the worker on his commitment to use his full PPE as required to perform his activities safely "/>
    <m/>
    <m/>
    <m/>
    <m/>
    <s v="Invalid"/>
    <x v="1"/>
    <m/>
  </r>
  <r>
    <n v="1612"/>
    <x v="197"/>
    <s v="Lance Pretorius"/>
    <x v="1"/>
    <s v="HSE"/>
    <x v="2"/>
    <x v="18"/>
    <x v="1"/>
    <s v="Grinding activities at a low height being performed – tools and equipment _x000a_stored correctly to avoid dropped objects "/>
    <x v="5"/>
    <s v="Team commended on their dropped objects awareness. "/>
    <m/>
    <m/>
    <m/>
    <m/>
    <s v="Invalid"/>
    <x v="1"/>
    <m/>
  </r>
  <r>
    <n v="1613"/>
    <x v="197"/>
    <s v="Lance Pretorius"/>
    <x v="1"/>
    <s v="HSE"/>
    <x v="1"/>
    <x v="0"/>
    <x v="2"/>
    <s v="CPY observed a worker using a 4-pound hammer without suitable safety gloves. _x000a_On seeing CPY the worker then put on his gloves. The activity was suspended _x000a_and the worker and hi immediate team where tutored on the correct and _x000a_constant use of PPE for the activity. It was also noted that the hammer was damaged and removed from site.  Mini TBT was conducted with the workers/TFMC/PTJ HSE and CPY "/>
    <x v="2"/>
    <s v="An immediate mini-TBT was conducted with the workers/TFMC/PTJ HSE and CPY reiterating the importance of applying safe work practices at all times and not only when being seen to be unsafe. "/>
    <m/>
    <m/>
    <m/>
    <m/>
    <m/>
    <x v="0"/>
    <m/>
  </r>
  <r>
    <n v="1614"/>
    <x v="197"/>
    <s v="Lance Pretorius"/>
    <x v="1"/>
    <s v="HSE"/>
    <x v="0"/>
    <x v="0"/>
    <x v="8"/>
    <s v="CPY observed an overhead crane operator standing too close to the load being shifted – placing himself in the line of fire if the load had become unstable. "/>
    <x v="2"/>
    <s v="The activity was safely suspended – the overhead crane operator was immediately requested to distance himself from the load he was controlling and to maintain continued vigilance on his position of load control during further such activities at all times "/>
    <s v="An immediate mini-TBT was conducted with the rigging team/TFMC/PTJ HSE and CPY reiterating the importance of applying safe work lifting practices at all times.  "/>
    <m/>
    <m/>
    <m/>
    <m/>
    <x v="0"/>
    <m/>
  </r>
  <r>
    <n v="1615"/>
    <x v="199"/>
    <s v="Mahmoud Samir"/>
    <x v="2"/>
    <s v="HSE"/>
    <x v="3"/>
    <x v="18"/>
    <x v="2"/>
    <s v="Workers with damaged gloves has been instantly issued new PPE_x000a_"/>
    <x v="5"/>
    <s v="Commended the supervisor for his Quick response."/>
    <m/>
    <m/>
    <m/>
    <m/>
    <s v="Invalid"/>
    <x v="1"/>
    <m/>
  </r>
  <r>
    <n v="1616"/>
    <x v="199"/>
    <s v="Mahmoud Elshahat"/>
    <x v="2"/>
    <s v="HSE"/>
    <x v="2"/>
    <x v="7"/>
    <x v="5"/>
    <s v="Observed CGC was firmly secured with a metal sheet separator"/>
    <x v="5"/>
    <m/>
    <m/>
    <m/>
    <m/>
    <m/>
    <s v="Invalid"/>
    <x v="1"/>
    <m/>
  </r>
  <r>
    <n v="1617"/>
    <x v="197"/>
    <s v="Mahmoud Nasr"/>
    <x v="2"/>
    <s v="HSE"/>
    <x v="2"/>
    <x v="0"/>
    <x v="11"/>
    <s v="Observed that there was increase in informational signage around workshop"/>
    <x v="5"/>
    <m/>
    <m/>
    <m/>
    <m/>
    <m/>
    <s v="Invalid"/>
    <x v="1"/>
    <m/>
  </r>
  <r>
    <n v="1618"/>
    <x v="199"/>
    <s v="Mahmoud Elshahat"/>
    <x v="2"/>
    <s v="HSE"/>
    <x v="2"/>
    <x v="5"/>
    <x v="21"/>
    <s v="Observed that there was availability of cold drinking water for employees at site"/>
    <x v="5"/>
    <m/>
    <m/>
    <m/>
    <m/>
    <m/>
    <s v="Invalid"/>
    <x v="1"/>
    <m/>
  </r>
  <r>
    <n v="1619"/>
    <x v="200"/>
    <s v="Mahmoud Elshahat"/>
    <x v="2"/>
    <s v="HSE"/>
    <x v="1"/>
    <x v="7"/>
    <x v="17"/>
    <s v="Observed corrugated sheets being transported by the forklift were unsecured and may fly away and cause injury due to the wind"/>
    <x v="1"/>
    <s v="Advised the operator to stop the work _x000a_make sure material is properly secured before starting the work again"/>
    <m/>
    <m/>
    <m/>
    <m/>
    <m/>
    <x v="0"/>
    <m/>
  </r>
  <r>
    <n v="1620"/>
    <x v="200"/>
    <s v="Mahmoud Elshahat"/>
    <x v="2"/>
    <s v="HSE"/>
    <x v="1"/>
    <x v="7"/>
    <x v="1"/>
    <s v="Observed the worker was preforming welding activity on a scaffold with no valid scaff tag"/>
    <x v="1"/>
    <s v="Advised worker to get off the platform _x000a_and continue work only when the scaff tag is inspected and valid"/>
    <m/>
    <m/>
    <m/>
    <m/>
    <m/>
    <x v="0"/>
    <m/>
  </r>
  <r>
    <n v="1621"/>
    <x v="197"/>
    <s v="Mahmoud Nasr"/>
    <x v="2"/>
    <s v="HSE"/>
    <x v="1"/>
    <x v="0"/>
    <x v="2"/>
    <s v="Observed that the welder was not wearing proper PPE"/>
    <x v="1"/>
    <s v="Suspended the activity and advised worker to not start his work unless he has the appropriate PPE"/>
    <m/>
    <m/>
    <m/>
    <m/>
    <m/>
    <x v="0"/>
    <m/>
  </r>
  <r>
    <n v="1622"/>
    <x v="197"/>
    <s v="Mahmoud Nasr"/>
    <x v="2"/>
    <s v="HSE"/>
    <x v="1"/>
    <x v="0"/>
    <x v="1"/>
    <s v="Observed that the worker was on a scaffold and there were no scaff tags"/>
    <x v="1"/>
    <s v="Suspended the activity _x000a_advised the worker not to use any scaffolds that has no valid scaff tags on it "/>
    <m/>
    <m/>
    <m/>
    <m/>
    <m/>
    <x v="0"/>
    <m/>
  </r>
  <r>
    <n v="1623"/>
    <x v="201"/>
    <s v="Mahmoud Nasr"/>
    <x v="2"/>
    <s v="HSE"/>
    <x v="0"/>
    <x v="2"/>
    <x v="7"/>
    <s v="Observed that the electrical panel was placed in work area access   "/>
    <x v="1"/>
    <s v="Advised the area supervisor to clear work area for easy access for workers to work areas"/>
    <m/>
    <m/>
    <m/>
    <m/>
    <m/>
    <x v="0"/>
    <m/>
  </r>
  <r>
    <n v="1624"/>
    <x v="200"/>
    <s v="Mahmoud Samir"/>
    <x v="2"/>
    <s v="HSE"/>
    <x v="0"/>
    <x v="6"/>
    <x v="18"/>
    <s v="Observed that the painting machine in use has no serial number tagged on it and was not inspected"/>
    <x v="1"/>
    <s v="Suspended work with the painting machine_x000a_advised it to be sent to maintenance to get a serial number and to be inspected to be used again"/>
    <s v=" Workers should ensure that no equipment is used without any inspection tag."/>
    <m/>
    <m/>
    <m/>
    <m/>
    <x v="0"/>
    <m/>
  </r>
  <r>
    <n v="1625"/>
    <x v="200"/>
    <s v="Mahmoud Nasr"/>
    <x v="2"/>
    <s v="HSE"/>
    <x v="0"/>
    <x v="2"/>
    <x v="5"/>
    <s v="Observed that the CGC had an open cap on the top of the Cylinder while no hoses were on and was not in use   "/>
    <x v="1"/>
    <s v="Advised the area supervisor to ensure open cap protection only used while CGC is operated _x000a_if not it should be removed and stored in designated area and a closed cap should be installed on it"/>
    <m/>
    <m/>
    <m/>
    <m/>
    <m/>
    <x v="0"/>
    <m/>
  </r>
  <r>
    <n v="1626"/>
    <x v="200"/>
    <s v="Mahmoud Samir"/>
    <x v="2"/>
    <s v="HSE"/>
    <x v="0"/>
    <x v="18"/>
    <x v="18"/>
    <s v="Observed that there was a damaged power tool in use"/>
    <x v="1"/>
    <s v="Suspended work with the power tool _x000a_Advised operator to send it to maintenance_x000a_and get it reinspected before usage"/>
    <s v="Workers should ensure to send power tools to maintenance if they suspect any damage"/>
    <m/>
    <m/>
    <m/>
    <m/>
    <x v="0"/>
    <m/>
  </r>
  <r>
    <n v="1627"/>
    <x v="201"/>
    <s v="Mahmoud Elshahat"/>
    <x v="2"/>
    <s v="HSE"/>
    <x v="0"/>
    <x v="1"/>
    <x v="6"/>
    <s v="Observed grinding tool was being tied with a rope from the deadman switch trigger to bypass the safety feature of the tool"/>
    <x v="1"/>
    <s v="Suspended the activity _x000a_Advised to send the tool to maintenance _x000a_Remove the modification and reinspect it before using again."/>
    <m/>
    <m/>
    <m/>
    <m/>
    <m/>
    <x v="0"/>
    <m/>
  </r>
  <r>
    <n v="1628"/>
    <x v="198"/>
    <s v="Mahmoud Nasr"/>
    <x v="2"/>
    <s v="HSE"/>
    <x v="0"/>
    <x v="2"/>
    <x v="0"/>
    <s v="Observed that an electrical plug was damaged"/>
    <x v="1"/>
    <s v="Advised that the damaged electrical plug to be removed from site and ensure only safe condition inspected electrical tools to be used"/>
    <m/>
    <m/>
    <m/>
    <m/>
    <m/>
    <x v="0"/>
    <m/>
  </r>
  <r>
    <n v="1629"/>
    <x v="199"/>
    <s v="Mahmoud Samir"/>
    <x v="2"/>
    <s v="HSE"/>
    <x v="0"/>
    <x v="18"/>
    <x v="2"/>
    <s v="Observed that the welders are working with worn out and damaged gloves  "/>
    <x v="1"/>
    <s v="Suspended work_x000a_Advised the workers no to work with damaged PPE _x000a_and report it to supervisor to get it replaced"/>
    <m/>
    <m/>
    <m/>
    <m/>
    <m/>
    <x v="0"/>
    <m/>
  </r>
  <r>
    <n v="1630"/>
    <x v="198"/>
    <s v="Mahmoud Nasr"/>
    <x v="2"/>
    <s v="HSE"/>
    <x v="0"/>
    <x v="0"/>
    <x v="3"/>
    <s v="Observed that the waste was mixed up and not properly segregated   "/>
    <x v="1"/>
    <s v="Advised the area supervisor to ensure proper segregation of waste and ensure works are aware of it"/>
    <m/>
    <m/>
    <m/>
    <m/>
    <m/>
    <x v="0"/>
    <m/>
  </r>
  <r>
    <n v="1631"/>
    <x v="198"/>
    <s v="Mahmoud Samir"/>
    <x v="2"/>
    <s v="HSE"/>
    <x v="0"/>
    <x v="18"/>
    <x v="6"/>
    <s v="Observed that the fire extinguisher that is in the crane is empty  "/>
    <x v="1"/>
    <s v="Advised the operator not to work with the crane until the fire extinguisher is replaced with a full inspected one_x000a_"/>
    <m/>
    <m/>
    <m/>
    <m/>
    <m/>
    <x v="0"/>
    <m/>
  </r>
  <r>
    <n v="1632"/>
    <x v="199"/>
    <s v="Mahmoud Elshahat"/>
    <x v="2"/>
    <s v="HSE"/>
    <x v="0"/>
    <x v="8"/>
    <x v="3"/>
    <s v="Observed there was poor houskeeping (arrangement of material) in warehouse"/>
    <x v="1"/>
    <s v="Advised area supervisor _x000a_to prioritize housekeeping_x000a_for the safety of the workers and maintain it all the time"/>
    <m/>
    <m/>
    <m/>
    <m/>
    <m/>
    <x v="0"/>
    <m/>
  </r>
  <r>
    <n v="1633"/>
    <x v="197"/>
    <s v="Mahmoud Nasr"/>
    <x v="2"/>
    <s v="HSE"/>
    <x v="0"/>
    <x v="0"/>
    <x v="1"/>
    <s v="Observed that the hopup wooden planks were not secured"/>
    <x v="1"/>
    <s v="Advised area supervisor to ensure that all hopup wooden planks are secured before use"/>
    <m/>
    <m/>
    <m/>
    <m/>
    <m/>
    <x v="0"/>
    <m/>
  </r>
  <r>
    <n v="1634"/>
    <x v="202"/>
    <s v="Malcolm Garrington"/>
    <x v="1"/>
    <s v="Project Manager"/>
    <x v="2"/>
    <x v="0"/>
    <x v="4"/>
    <s v="CPY note and witnessed safe lifting operations with good hard barriers being _x000a_placed and safe working operations "/>
    <x v="5"/>
    <m/>
    <m/>
    <m/>
    <m/>
    <m/>
    <s v="Invalid"/>
    <x v="1"/>
    <m/>
  </r>
  <r>
    <n v="1635"/>
    <x v="202"/>
    <s v="Malcolm Garrington"/>
    <x v="1"/>
    <s v="Project Manager"/>
    <x v="2"/>
    <x v="2"/>
    <x v="8"/>
    <s v="CPY note and witnessed safe lifting operations with good hard barriers being _x000a_placed and safe working operations where ongoing within workshop 2 _x000a_Good presence of PTJ HSE personnel who was monitoring the activities. "/>
    <x v="5"/>
    <m/>
    <m/>
    <m/>
    <m/>
    <m/>
    <s v="Invalid"/>
    <x v="1"/>
    <m/>
  </r>
  <r>
    <n v="1636"/>
    <x v="203"/>
    <s v="Malcolm Garrington"/>
    <x v="1"/>
    <s v="Project Manager"/>
    <x v="0"/>
    <x v="2"/>
    <x v="3"/>
    <s v="CPY noted extremely poor housing in warehouse #2. "/>
    <x v="2"/>
    <s v="CPY liaised with TFMC to support and subsequently liaise with PTJ person responsible for providing a cleaning team. _x000a_TFMC took responsibility and immediately resolved the issues with evidence e(photos) being supplied to CPY "/>
    <s v="TFMC to liaise with PTJ and ensure the person responsible in charge of that area maintains and visual checks once per week."/>
    <m/>
    <m/>
    <m/>
    <m/>
    <x v="0"/>
    <m/>
  </r>
  <r>
    <n v="1637"/>
    <x v="204"/>
    <s v="Ahmed Nasr"/>
    <x v="1"/>
    <s v="Fabrication"/>
    <x v="0"/>
    <x v="5"/>
    <x v="3"/>
    <s v="It has been observed that a lot of welding electrodes end been through on the _x000a_ground. "/>
    <x v="2"/>
    <s v="Discussed with HSE and welding supervisors and greed that they will emphasize the message to welders to use the buckets to collect the welding electrodes and not to through them on ground "/>
    <m/>
    <m/>
    <m/>
    <m/>
    <m/>
    <x v="0"/>
    <m/>
  </r>
  <r>
    <n v="1638"/>
    <x v="204"/>
    <s v="Ahmed Nasr"/>
    <x v="1"/>
    <s v="Fabrication"/>
    <x v="2"/>
    <x v="3"/>
    <x v="3"/>
    <s v="A good house keeping and cable management has been observed in open _x000a_fabrication area 3 "/>
    <x v="5"/>
    <s v="Encouraged the labors to maintain the good house keeping "/>
    <m/>
    <m/>
    <m/>
    <m/>
    <s v="Invalid"/>
    <x v="1"/>
    <m/>
  </r>
  <r>
    <n v="1639"/>
    <x v="203"/>
    <s v="Mahmoud Elshahat"/>
    <x v="2"/>
    <s v="HSE"/>
    <x v="1"/>
    <x v="2"/>
    <x v="18"/>
    <s v="It was observed that the magnetic drill was not inspected and was in use"/>
    <x v="1"/>
    <s v="Advise that the magnetic drill to be removed from area and not used until inspected"/>
    <m/>
    <m/>
    <m/>
    <m/>
    <m/>
    <x v="0"/>
    <m/>
  </r>
  <r>
    <n v="1640"/>
    <x v="205"/>
    <s v="Mahmoud Elshahat"/>
    <x v="2"/>
    <s v="HSE"/>
    <x v="0"/>
    <x v="0"/>
    <x v="1"/>
    <s v="It was observed that the worker was standing on the structure to do hot work without any safety measures for height"/>
    <x v="1"/>
    <s v="Suspended the activity _x000a_Advised that there will be no work allowed from above the structure until an appropriate platform is erected."/>
    <m/>
    <m/>
    <m/>
    <m/>
    <m/>
    <x v="0"/>
    <m/>
  </r>
  <r>
    <n v="1641"/>
    <x v="205"/>
    <s v="Mahmoud Elshahat"/>
    <x v="2"/>
    <s v="HSE"/>
    <x v="1"/>
    <x v="0"/>
    <x v="18"/>
    <s v="It was observed that the worker was using grinding tool with no inspection color code or grinding handle"/>
    <x v="1"/>
    <s v="Advise that the grinding tool to be sent to maintenance to fit a handle and inspect it before using it at site"/>
    <s v="Ensure that there is no modification and tool are always inspected before usage"/>
    <m/>
    <m/>
    <m/>
    <m/>
    <x v="0"/>
    <m/>
  </r>
  <r>
    <n v="1642"/>
    <x v="204"/>
    <s v="Mahmoud Elshahat"/>
    <x v="2"/>
    <s v="HSE"/>
    <x v="2"/>
    <x v="0"/>
    <x v="3"/>
    <s v="Observed that the materials are safely arranged Infront of workshop 1"/>
    <x v="5"/>
    <s v="Maintain proper housekeeping and organization of area at all times"/>
    <m/>
    <m/>
    <m/>
    <m/>
    <s v="Invalid"/>
    <x v="1"/>
    <m/>
  </r>
  <r>
    <n v="1643"/>
    <x v="204"/>
    <s v="Mahmoud Samir"/>
    <x v="2"/>
    <s v="HSE"/>
    <x v="1"/>
    <x v="6"/>
    <x v="9"/>
    <s v="It was observed that a worker removed a scaffold tube without notifying the scaffold supervisor."/>
    <x v="1"/>
    <s v="Take disciplinary with him and conduct TBT for all team "/>
    <m/>
    <m/>
    <m/>
    <m/>
    <m/>
    <x v="0"/>
    <m/>
  </r>
  <r>
    <n v="1644"/>
    <x v="202"/>
    <s v="Mahmoud Samir"/>
    <x v="2"/>
    <s v="HSE"/>
    <x v="1"/>
    <x v="3"/>
    <x v="7"/>
    <s v="It was observed that hot work activities using damage welding habitat "/>
    <x v="1"/>
    <s v="The activities were suspended, and the supervisor was instructed to stop the work until the damaged habitat was replaced."/>
    <m/>
    <m/>
    <m/>
    <m/>
    <m/>
    <x v="0"/>
    <m/>
  </r>
  <r>
    <n v="1645"/>
    <x v="206"/>
    <s v="Mahmoud Samir"/>
    <x v="2"/>
    <s v="HSE"/>
    <x v="1"/>
    <x v="6"/>
    <x v="18"/>
    <s v="It was observed that bad housekeeping and using damage hand tools "/>
    <x v="1"/>
    <s v="The area supervisor was instructed to carry out housekeeping, remove all damaged hand tools, and conduct a Toolbox Talk with the team."/>
    <m/>
    <m/>
    <m/>
    <m/>
    <m/>
    <x v="0"/>
    <m/>
  </r>
  <r>
    <n v="1646"/>
    <x v="207"/>
    <s v="Mahmoud Nasr"/>
    <x v="2"/>
    <s v="HSE"/>
    <x v="1"/>
    <x v="7"/>
    <x v="1"/>
    <s v="I have observed the worker he goes up from unsafe way without using the clear _x000a_accessway. "/>
    <x v="1"/>
    <s v="Inform HSE PTJ to take action,"/>
    <m/>
    <m/>
    <m/>
    <m/>
    <m/>
    <x v="0"/>
    <m/>
  </r>
  <r>
    <n v="1647"/>
    <x v="208"/>
    <s v="Mahmoud Nasr"/>
    <x v="2"/>
    <s v="HSE"/>
    <x v="0"/>
    <x v="3"/>
    <x v="8"/>
    <s v="I have observed that the wire without identification label  "/>
    <x v="1"/>
    <s v="Inform HSE PTJ to reject it and take it out of the area. "/>
    <s v="Make inspection for all lifting tools inside the area and make TBT about this _x000a_issue  "/>
    <m/>
    <m/>
    <m/>
    <m/>
    <x v="0"/>
    <m/>
  </r>
  <r>
    <n v="1648"/>
    <x v="208"/>
    <s v="Mahmoud Nasr"/>
    <x v="2"/>
    <s v="HSE"/>
    <x v="0"/>
    <x v="7"/>
    <x v="7"/>
    <s v="I have observed that the access way to the frames  is limited and not clearly _x000a_maintained which may restrict safe access to essential services such as welding _x000a_machines and the electrical panel. "/>
    <x v="1"/>
    <s v="Inform HSE PTJ to make the access clear so we open new access to be exit point _x000a_and provide for each frame extra ladder also we managing the cable and remove _x000a_the unused stand for welding machines from the accessway. "/>
    <m/>
    <m/>
    <m/>
    <m/>
    <m/>
    <x v="0"/>
    <m/>
  </r>
  <r>
    <n v="1649"/>
    <x v="203"/>
    <s v="Mahmoud Nasr"/>
    <x v="2"/>
    <s v="HSE"/>
    <x v="0"/>
    <x v="7"/>
    <x v="17"/>
    <s v="I have observed that the truck was loaded without good securing. "/>
    <x v="1"/>
    <s v="Inform HSE PTJ to take action, "/>
    <m/>
    <m/>
    <m/>
    <m/>
    <m/>
    <x v="0"/>
    <m/>
  </r>
  <r>
    <n v="1650"/>
    <x v="205"/>
    <s v="Mahmoud Nasr"/>
    <x v="2"/>
    <s v="HSE"/>
    <x v="0"/>
    <x v="4"/>
    <x v="3"/>
    <s v="I have observed poor housekeeping in the workshop"/>
    <x v="1"/>
    <s v="Inform HSE PTJ to take action, "/>
    <m/>
    <m/>
    <m/>
    <m/>
    <m/>
    <x v="0"/>
    <m/>
  </r>
  <r>
    <n v="1651"/>
    <x v="190"/>
    <s v="Ibrahim Hamed"/>
    <x v="0"/>
    <s v="HSE "/>
    <x v="0"/>
    <x v="1"/>
    <x v="0"/>
    <s v="Electrical cable in bad condition."/>
    <x v="0"/>
    <s v="Cable to be replaced as an immediate action. Ensure good housekeeping and cable management in the area."/>
    <m/>
    <m/>
    <m/>
    <m/>
    <m/>
    <x v="0"/>
    <m/>
  </r>
  <r>
    <n v="1652"/>
    <x v="191"/>
    <s v="Mohamed Abdallah"/>
    <x v="0"/>
    <s v="HSE "/>
    <x v="0"/>
    <x v="7"/>
    <x v="3"/>
    <s v="many cables welding machines laid on the floor unorganized which could lead to the tripping hazard."/>
    <x v="3"/>
    <s v="Work stopped, HSE officer was informed and supervised the condition"/>
    <m/>
    <m/>
    <m/>
    <m/>
    <m/>
    <x v="0"/>
    <m/>
  </r>
  <r>
    <n v="1653"/>
    <x v="192"/>
    <s v="Ibrahim Hamed"/>
    <x v="0"/>
    <s v="HSE "/>
    <x v="0"/>
    <x v="9"/>
    <x v="0"/>
    <s v="It has been observed that many electrical plugs with out plastic cover"/>
    <x v="0"/>
    <s v=" change the plugs with proper plugs with cover"/>
    <m/>
    <m/>
    <m/>
    <m/>
    <m/>
    <x v="0"/>
    <m/>
  </r>
  <r>
    <n v="1654"/>
    <x v="190"/>
    <s v="Mohamed Abdallah"/>
    <x v="0"/>
    <s v="HSE "/>
    <x v="0"/>
    <x v="17"/>
    <x v="3"/>
    <s v="observed scrap box was full"/>
    <x v="1"/>
    <s v="informed the sup to keep it empty "/>
    <m/>
    <m/>
    <m/>
    <m/>
    <m/>
    <x v="0"/>
    <m/>
  </r>
  <r>
    <n v="1655"/>
    <x v="191"/>
    <s v="Ibrahim Hamed"/>
    <x v="0"/>
    <s v="HSE "/>
    <x v="0"/>
    <x v="9"/>
    <x v="3"/>
    <s v="observed improper housekeeping "/>
    <x v="0"/>
    <s v="housekeeping has been done"/>
    <m/>
    <m/>
    <m/>
    <m/>
    <m/>
    <x v="0"/>
    <m/>
  </r>
  <r>
    <n v="1656"/>
    <x v="191"/>
    <s v="Ahmed Maher"/>
    <x v="0"/>
    <s v="HSE "/>
    <x v="0"/>
    <x v="3"/>
    <x v="3"/>
    <s v="Observed poor welding cable management"/>
    <x v="0"/>
    <s v="proper cable management was done"/>
    <m/>
    <m/>
    <m/>
    <m/>
    <m/>
    <x v="0"/>
    <m/>
  </r>
  <r>
    <n v="1657"/>
    <x v="190"/>
    <s v="Mohamed Abdallah"/>
    <x v="0"/>
    <s v="HSE "/>
    <x v="0"/>
    <x v="17"/>
    <x v="5"/>
    <s v="oxygen and acetlyene hoses were near hot surface during cutting stell plates"/>
    <x v="1"/>
    <s v="Job stopped , hoses were secured away from the hot surfaces"/>
    <m/>
    <m/>
    <m/>
    <m/>
    <m/>
    <x v="0"/>
    <m/>
  </r>
  <r>
    <n v="1658"/>
    <x v="191"/>
    <s v="Ahmed Sobhy "/>
    <x v="0"/>
    <s v="HSE "/>
    <x v="0"/>
    <x v="3"/>
    <x v="0"/>
    <s v="Unsafe earthing connection was found in the area."/>
    <x v="0"/>
    <s v="the connection was safely repaired by clamp"/>
    <m/>
    <m/>
    <m/>
    <m/>
    <m/>
    <x v="0"/>
    <m/>
  </r>
  <r>
    <n v="1659"/>
    <x v="192"/>
    <s v="Ahmed Sobhy "/>
    <x v="0"/>
    <s v="HSE "/>
    <x v="0"/>
    <x v="7"/>
    <x v="8"/>
    <s v="Chain hoist without safety latch"/>
    <x v="0"/>
    <s v="It was removed from work area and identified it with red color code"/>
    <m/>
    <m/>
    <m/>
    <m/>
    <m/>
    <x v="0"/>
    <m/>
  </r>
  <r>
    <n v="1660"/>
    <x v="190"/>
    <s v="Ibrahim Hamed"/>
    <x v="0"/>
    <s v="HSE "/>
    <x v="0"/>
    <x v="7"/>
    <x v="18"/>
    <s v="Grinding machine with broken cover "/>
    <x v="1"/>
    <s v="Grinding supervisor replaced the cover"/>
    <m/>
    <m/>
    <m/>
    <m/>
    <m/>
    <x v="0"/>
    <m/>
  </r>
  <r>
    <n v="1661"/>
    <x v="192"/>
    <s v="Mohamed Abdallah"/>
    <x v="0"/>
    <s v="HSE "/>
    <x v="0"/>
    <x v="1"/>
    <x v="3"/>
    <s v="Observed electrical Cable for welding cabinet may lead to tripping hazard"/>
    <x v="0"/>
    <s v="Relocated the welding cabinet very close to  the main electrical panel."/>
    <m/>
    <m/>
    <m/>
    <m/>
    <m/>
    <x v="0"/>
    <m/>
  </r>
  <r>
    <n v="1662"/>
    <x v="192"/>
    <s v="Ibrahim Hamed"/>
    <x v="0"/>
    <s v="HSE "/>
    <x v="0"/>
    <x v="3"/>
    <x v="3"/>
    <s v="Improper storage of material in the work area lead to poor access"/>
    <x v="1"/>
    <s v="Removed the material to the dedicated storage area."/>
    <m/>
    <m/>
    <m/>
    <m/>
    <m/>
    <x v="0"/>
    <m/>
  </r>
  <r>
    <n v="1663"/>
    <x v="190"/>
    <s v="Ibrahim Hamed"/>
    <x v="0"/>
    <s v="HSE "/>
    <x v="1"/>
    <x v="1"/>
    <x v="2"/>
    <s v="observed that Pipe fitter was working without proper ppe "/>
    <x v="1"/>
    <s v="Advised the fitter to wear full ppe and he did."/>
    <m/>
    <m/>
    <m/>
    <m/>
    <m/>
    <x v="0"/>
    <m/>
  </r>
  <r>
    <n v="1664"/>
    <x v="191"/>
    <s v="Ahmed Sobhy "/>
    <x v="0"/>
    <s v="HSE "/>
    <x v="1"/>
    <x v="7"/>
    <x v="2"/>
    <s v="One of the workers working without wearing glasses"/>
    <x v="1"/>
    <s v="wear glasses Immediately."/>
    <m/>
    <m/>
    <m/>
    <m/>
    <m/>
    <x v="0"/>
    <m/>
  </r>
  <r>
    <n v="1665"/>
    <x v="192"/>
    <s v="Mostafa Abdelgany"/>
    <x v="0"/>
    <s v="HSE "/>
    <x v="1"/>
    <x v="8"/>
    <x v="2"/>
    <s v="Pipe fitter was wearing welding faceshield "/>
    <x v="1"/>
    <s v="Stopped him to wear clear face shield"/>
    <m/>
    <m/>
    <m/>
    <m/>
    <m/>
    <x v="0"/>
    <m/>
  </r>
  <r>
    <n v="1666"/>
    <x v="190"/>
    <s v="Ibrahim Hamed"/>
    <x v="0"/>
    <s v="HSE "/>
    <x v="2"/>
    <x v="9"/>
    <x v="5"/>
    <s v="Observed that welding operation is carried out safely and full PPE and leather apron are inplace as required, "/>
    <x v="5"/>
    <s v="Thanked the welders and reinforced their  positive behaviors"/>
    <m/>
    <m/>
    <m/>
    <m/>
    <m/>
    <x v="1"/>
    <m/>
  </r>
  <r>
    <n v="1667"/>
    <x v="190"/>
    <s v="Mohamed Abdallah"/>
    <x v="0"/>
    <s v="HSE "/>
    <x v="2"/>
    <x v="1"/>
    <x v="8"/>
    <s v="good control for the load during lifting operation, good use of tag lines by the riggers . Banks man with high visible vest"/>
    <x v="5"/>
    <s v="Appreciated the good work"/>
    <m/>
    <m/>
    <m/>
    <m/>
    <m/>
    <x v="1"/>
    <m/>
  </r>
  <r>
    <n v="1668"/>
    <x v="192"/>
    <s v="Mostafa Abdelgany"/>
    <x v="0"/>
    <s v="HSE"/>
    <x v="3"/>
    <x v="9"/>
    <x v="2"/>
    <s v="Good commitment from the work force with the site required PPE especially from the grinders "/>
    <x v="5"/>
    <s v="Appreciate the good work"/>
    <m/>
    <m/>
    <m/>
    <m/>
    <m/>
    <x v="1"/>
    <m/>
  </r>
  <r>
    <n v="1669"/>
    <x v="190"/>
    <s v="Mohamed Abdallah"/>
    <x v="0"/>
    <s v="HSE"/>
    <x v="1"/>
    <x v="17"/>
    <x v="15"/>
    <s v="Worker on the scaffold with yellow card without a safety harness."/>
    <x v="3"/>
    <s v="Stopped the worker and warned him not to do that again."/>
    <m/>
    <m/>
    <m/>
    <m/>
    <m/>
    <x v="0"/>
    <m/>
  </r>
  <r>
    <n v="1670"/>
    <x v="191"/>
    <s v="Mohamed Abdallah"/>
    <x v="0"/>
    <s v="HSE"/>
    <x v="1"/>
    <x v="3"/>
    <x v="5"/>
    <s v="Observed a grinder was operating and did not secure the workpiece which may fall during work"/>
    <x v="3"/>
    <s v="Stopped the grinder and spoke to him about a safe way of work and he secured the workpiece and returned to work."/>
    <m/>
    <m/>
    <m/>
    <m/>
    <m/>
    <x v="0"/>
    <m/>
  </r>
  <r>
    <n v="1671"/>
    <x v="192"/>
    <s v="Mohamed Abdallah"/>
    <x v="0"/>
    <s v="HSE"/>
    <x v="2"/>
    <x v="11"/>
    <x v="3"/>
    <s v="Observed Good Level  Housekeeping "/>
    <x v="5"/>
    <s v="Appreciate the good job."/>
    <m/>
    <m/>
    <m/>
    <m/>
    <m/>
    <x v="1"/>
    <m/>
  </r>
  <r>
    <n v="1672"/>
    <x v="191"/>
    <s v="Mahmoud Abdelnaser"/>
    <x v="0"/>
    <s v="HSE"/>
    <x v="3"/>
    <x v="4"/>
    <x v="22"/>
    <s v="good participation and intervention throught the morning TBT"/>
    <x v="5"/>
    <s v="Appreciate the good job."/>
    <m/>
    <m/>
    <m/>
    <m/>
    <m/>
    <x v="1"/>
    <m/>
  </r>
  <r>
    <n v="1673"/>
    <x v="192"/>
    <s v="mohamed ahmed"/>
    <x v="0"/>
    <s v="welder"/>
    <x v="2"/>
    <x v="17"/>
    <x v="8"/>
    <s v="Lifting Gears&amp;Equipment In good condition, have valid certificates and color coded"/>
    <x v="5"/>
    <s v="Appreciate the good job."/>
    <m/>
    <m/>
    <m/>
    <m/>
    <m/>
    <x v="1"/>
    <m/>
  </r>
  <r>
    <n v="1675"/>
    <x v="209"/>
    <s v="Mohamed Abdallah"/>
    <x v="0"/>
    <s v="HSE "/>
    <x v="0"/>
    <x v="17"/>
    <x v="5"/>
    <s v="observed grinder was working , grinding machine spark was toward gas bottle hoses may lead to Fire Hazard "/>
    <x v="0"/>
    <s v="instructed him to focus all the time to the direction of spark to be away from workers, electric panels , cables , gas bottles"/>
    <m/>
    <m/>
    <m/>
    <m/>
    <m/>
    <x v="0"/>
    <m/>
  </r>
  <r>
    <n v="1676"/>
    <x v="193"/>
    <s v="Ahmed Sobhy "/>
    <x v="0"/>
    <s v="HSE "/>
    <x v="0"/>
    <x v="17"/>
    <x v="1"/>
    <s v="observed The Scaffolding ladder was not fixed well"/>
    <x v="0"/>
    <s v="stopped work and inform the sup of area to fixed it and check all scaffold in the site work"/>
    <m/>
    <m/>
    <m/>
    <m/>
    <m/>
    <x v="0"/>
    <m/>
  </r>
  <r>
    <n v="1677"/>
    <x v="209"/>
    <s v="Ibrahim Hamed"/>
    <x v="0"/>
    <s v="HSE "/>
    <x v="0"/>
    <x v="1"/>
    <x v="10"/>
    <s v="The barricade around our area have some gaps "/>
    <x v="1"/>
    <s v="Notify the scaffolder supervisor  to complete the barricade"/>
    <m/>
    <m/>
    <m/>
    <m/>
    <m/>
    <x v="0"/>
    <m/>
  </r>
  <r>
    <n v="1678"/>
    <x v="210"/>
    <s v="Ahmed Sobhy "/>
    <x v="0"/>
    <s v="HSE "/>
    <x v="0"/>
    <x v="17"/>
    <x v="3"/>
    <s v="observed scaffolding material scattered on the working area without arrangement"/>
    <x v="0"/>
    <s v="materials has been arranged  "/>
    <m/>
    <m/>
    <m/>
    <m/>
    <m/>
    <x v="0"/>
    <m/>
  </r>
  <r>
    <n v="1679"/>
    <x v="211"/>
    <s v="Mohamed Abdallah"/>
    <x v="0"/>
    <s v="HSE "/>
    <x v="0"/>
    <x v="3"/>
    <x v="0"/>
    <s v="Observed poor welding cables management"/>
    <x v="0"/>
    <s v="proper cable management was done"/>
    <m/>
    <m/>
    <m/>
    <m/>
    <m/>
    <x v="0"/>
    <m/>
  </r>
  <r>
    <n v="1680"/>
    <x v="212"/>
    <s v="Ibrahim Hamed"/>
    <x v="0"/>
    <s v="HSE "/>
    <x v="0"/>
    <x v="17"/>
    <x v="5"/>
    <s v="gas cylinder without protection cap "/>
    <x v="0"/>
    <s v="telling to Welding Sup and he put cap on it "/>
    <m/>
    <m/>
    <m/>
    <m/>
    <m/>
    <x v="0"/>
    <m/>
  </r>
  <r>
    <n v="1681"/>
    <x v="209"/>
    <s v="Mostafa Abdelgany"/>
    <x v="0"/>
    <s v="HSE "/>
    <x v="0"/>
    <x v="7"/>
    <x v="0"/>
    <s v="It has been observed that there some welding cables are damaged"/>
    <x v="3"/>
    <s v="inform welding supervisor to change the damaged cables."/>
    <m/>
    <m/>
    <m/>
    <m/>
    <m/>
    <x v="0"/>
    <m/>
  </r>
  <r>
    <n v="1682"/>
    <x v="212"/>
    <s v="Mostafa Abdelgany"/>
    <x v="0"/>
    <s v="HSE "/>
    <x v="0"/>
    <x v="17"/>
    <x v="3"/>
    <s v="Observed poor House keeping and improper material arrangement "/>
    <x v="0"/>
    <s v="materials has been arranged  "/>
    <m/>
    <m/>
    <m/>
    <m/>
    <m/>
    <x v="0"/>
    <m/>
  </r>
  <r>
    <n v="1683"/>
    <x v="189"/>
    <s v="Ibrahim Hamed"/>
    <x v="0"/>
    <s v="HSE "/>
    <x v="0"/>
    <x v="3"/>
    <x v="5"/>
    <s v="Propane gauge wasnot working well"/>
    <x v="0"/>
    <s v="Informmed worker and sup to replace it , They  replaced it "/>
    <m/>
    <m/>
    <m/>
    <m/>
    <m/>
    <x v="0"/>
    <m/>
  </r>
  <r>
    <n v="1684"/>
    <x v="210"/>
    <s v="Mohamed Abdallah"/>
    <x v="0"/>
    <s v="HSE "/>
    <x v="0"/>
    <x v="4"/>
    <x v="3"/>
    <s v="scaffolding material in the access"/>
    <x v="0"/>
    <s v="ask the scaffolding sup to clean the acces"/>
    <m/>
    <m/>
    <m/>
    <m/>
    <m/>
    <x v="0"/>
    <m/>
  </r>
  <r>
    <n v="1685"/>
    <x v="211"/>
    <s v="Ahmed Sobhy "/>
    <x v="0"/>
    <s v="HSE "/>
    <x v="2"/>
    <x v="1"/>
    <x v="8"/>
    <s v="good control for the load during lifting operation, good use of tag lines by the riggers . Banks man with high visible vest"/>
    <x v="5"/>
    <s v="Appreciated the good work"/>
    <m/>
    <m/>
    <m/>
    <m/>
    <m/>
    <x v="1"/>
    <m/>
  </r>
  <r>
    <n v="1686"/>
    <x v="212"/>
    <s v="Mahmoud Abdelnaser"/>
    <x v="0"/>
    <s v="HSE "/>
    <x v="2"/>
    <x v="3"/>
    <x v="8"/>
    <s v="Safe Handling Of gas cylinder on trollys , secured by chain and provided with protection cap"/>
    <x v="5"/>
    <s v="Thanked the team for the positive behaviours "/>
    <m/>
    <m/>
    <m/>
    <m/>
    <m/>
    <x v="1"/>
    <m/>
  </r>
  <r>
    <n v="1687"/>
    <x v="209"/>
    <s v="Mohamed Abdallah"/>
    <x v="0"/>
    <s v="HSE "/>
    <x v="2"/>
    <x v="1"/>
    <x v="3"/>
    <s v="good level of housekeeping and clearness of passages"/>
    <x v="5"/>
    <s v="Appreciated the good work"/>
    <m/>
    <m/>
    <m/>
    <m/>
    <m/>
    <x v="1"/>
    <m/>
  </r>
  <r>
    <n v="1688"/>
    <x v="193"/>
    <s v="Ibrahim Hamed"/>
    <x v="0"/>
    <s v="HSE"/>
    <x v="1"/>
    <x v="1"/>
    <x v="2"/>
    <s v="There was a rigger without safety glasses"/>
    <x v="3"/>
    <s v="He was stopped from work ,warning letter was issued "/>
    <m/>
    <m/>
    <m/>
    <m/>
    <m/>
    <x v="0"/>
    <m/>
  </r>
  <r>
    <n v="1689"/>
    <x v="189"/>
    <s v="Mahmoud Abdelnaser"/>
    <x v="0"/>
    <s v="HSE"/>
    <x v="1"/>
    <x v="17"/>
    <x v="2"/>
    <s v="Worker was using grinding motor without any face protection "/>
    <x v="3"/>
    <s v="Stopped him to wear full ppe"/>
    <m/>
    <m/>
    <m/>
    <m/>
    <m/>
    <x v="0"/>
    <m/>
  </r>
  <r>
    <n v="1690"/>
    <x v="189"/>
    <s v="Kareem Ehab"/>
    <x v="0"/>
    <s v="Welding Sup"/>
    <x v="1"/>
    <x v="9"/>
    <x v="6"/>
    <s v="Observed some fitters were guiding the crane operator during the lifting operation."/>
    <x v="3"/>
    <s v="Stop them and inform them that the banksman should only guide the crane operator,This issue has been highlighted in the collective TBT."/>
    <m/>
    <m/>
    <m/>
    <m/>
    <m/>
    <x v="0"/>
    <m/>
  </r>
  <r>
    <n v="1691"/>
    <x v="211"/>
    <s v="Mostafa Abdelgany"/>
    <x v="0"/>
    <s v="HSE"/>
    <x v="1"/>
    <x v="17"/>
    <x v="2"/>
    <s v="observed a grinder was grinding a metal without face sheild"/>
    <x v="3"/>
    <s v="stopped him and inform him to must wear it"/>
    <m/>
    <m/>
    <m/>
    <m/>
    <m/>
    <x v="0"/>
    <m/>
  </r>
  <r>
    <n v="1692"/>
    <x v="212"/>
    <s v="Ibrahim Hamed"/>
    <x v="0"/>
    <s v="HSE"/>
    <x v="1"/>
    <x v="7"/>
    <x v="2"/>
    <s v="found worker was not wearing his safety glassess "/>
    <x v="3"/>
    <s v="stop him and inform him to wear a safety glassess and comply with site PPE "/>
    <m/>
    <m/>
    <m/>
    <m/>
    <m/>
    <x v="0"/>
    <m/>
  </r>
  <r>
    <n v="1693"/>
    <x v="193"/>
    <s v="Mohamed Abdallah"/>
    <x v="0"/>
    <s v="HSE"/>
    <x v="1"/>
    <x v="1"/>
    <x v="18"/>
    <s v=" observed that  wrong  replacing method of  grinding disk."/>
    <x v="0"/>
    <s v=" Instructed the Grinders to use dedicaded tool  for changing grinding disks"/>
    <m/>
    <m/>
    <m/>
    <m/>
    <m/>
    <x v="0"/>
    <m/>
  </r>
  <r>
    <n v="1695"/>
    <x v="213"/>
    <s v="Mostafa Abdelgany"/>
    <x v="0"/>
    <s v="HSE "/>
    <x v="0"/>
    <x v="8"/>
    <x v="8"/>
    <s v="While site inspection it was observed that one of the soft slings has minor sign of damage"/>
    <x v="3"/>
    <s v="Asked the rigging supervisor to change the sling and he did,"/>
    <m/>
    <m/>
    <m/>
    <m/>
    <m/>
    <x v="0"/>
    <m/>
  </r>
  <r>
    <n v="1696"/>
    <x v="196"/>
    <s v="Ahmed Sobhy "/>
    <x v="0"/>
    <s v="HSE "/>
    <x v="0"/>
    <x v="3"/>
    <x v="5"/>
    <s v="Cabels were found in bad condition"/>
    <x v="0"/>
    <s v="Cabel management was conducted"/>
    <m/>
    <m/>
    <m/>
    <m/>
    <m/>
    <x v="0"/>
    <m/>
  </r>
  <r>
    <n v="1697"/>
    <x v="200"/>
    <s v="Mahmoud Abdelnaser"/>
    <x v="0"/>
    <s v="HSE "/>
    <x v="0"/>
    <x v="4"/>
    <x v="1"/>
    <s v="Scaffold was having open spots not covered by timber boards creating a falling hazards."/>
    <x v="3"/>
    <s v="openings were protected by timber boards"/>
    <m/>
    <m/>
    <m/>
    <m/>
    <m/>
    <x v="0"/>
    <m/>
  </r>
  <r>
    <n v="1698"/>
    <x v="214"/>
    <s v="Ahmed Sobhy "/>
    <x v="0"/>
    <s v="HSE "/>
    <x v="0"/>
    <x v="17"/>
    <x v="3"/>
    <s v="Observed pipes and beams which are blocked the access ways "/>
    <x v="0"/>
    <s v="Informed Lifting sup, he removed it immediately"/>
    <m/>
    <m/>
    <m/>
    <m/>
    <m/>
    <x v="0"/>
    <m/>
  </r>
  <r>
    <n v="1699"/>
    <x v="201"/>
    <s v="Ahmed Sobhy "/>
    <x v="0"/>
    <s v="HSE "/>
    <x v="0"/>
    <x v="17"/>
    <x v="5"/>
    <s v="Observed damaged cable for portable electrical panel"/>
    <x v="3"/>
    <s v="Replaced the portable electrical panel"/>
    <m/>
    <m/>
    <m/>
    <m/>
    <m/>
    <x v="0"/>
    <m/>
  </r>
  <r>
    <n v="1700"/>
    <x v="213"/>
    <s v="Mohamed Abdallah"/>
    <x v="0"/>
    <s v="HSE "/>
    <x v="0"/>
    <x v="7"/>
    <x v="3"/>
    <s v="some scarb need to be reomved "/>
    <x v="0"/>
    <s v="informed Riiging sup and he removed scrap"/>
    <m/>
    <m/>
    <m/>
    <m/>
    <m/>
    <x v="0"/>
    <m/>
  </r>
  <r>
    <n v="1701"/>
    <x v="213"/>
    <s v="Hassan said "/>
    <x v="0"/>
    <s v="HSE "/>
    <x v="0"/>
    <x v="9"/>
    <x v="3"/>
    <s v="observed long earthing cable lead to tripping Hazard "/>
    <x v="0"/>
    <s v="Informed electrician and he buried the cable"/>
    <m/>
    <m/>
    <m/>
    <m/>
    <m/>
    <x v="0"/>
    <m/>
  </r>
  <r>
    <n v="1702"/>
    <x v="196"/>
    <s v="Mohamed Abdallah"/>
    <x v="0"/>
    <s v="HSE "/>
    <x v="0"/>
    <x v="7"/>
    <x v="3"/>
    <s v="observed welding cables need to be arranged "/>
    <x v="0"/>
    <s v="cable management has been performed"/>
    <m/>
    <m/>
    <m/>
    <m/>
    <m/>
    <x v="0"/>
    <m/>
  </r>
  <r>
    <n v="1703"/>
    <x v="215"/>
    <s v="Ibrahim Hamed"/>
    <x v="0"/>
    <s v="HSE "/>
    <x v="0"/>
    <x v="3"/>
    <x v="1"/>
    <s v="Incomplete hand rail of work step"/>
    <x v="0"/>
    <s v="Informed Scaffold Sup to complete the work step, and Scaffold Sup complete it"/>
    <m/>
    <m/>
    <m/>
    <m/>
    <m/>
    <x v="0"/>
    <m/>
  </r>
  <r>
    <n v="1704"/>
    <x v="214"/>
    <s v="Mohamed Ahmed"/>
    <x v="0"/>
    <s v="welder"/>
    <x v="0"/>
    <x v="7"/>
    <x v="3"/>
    <s v="Observed poor House keeping and improper material arrangement"/>
    <x v="1"/>
    <s v="materials has been arranged  "/>
    <m/>
    <m/>
    <m/>
    <m/>
    <m/>
    <x v="0"/>
    <m/>
  </r>
  <r>
    <n v="1705"/>
    <x v="201"/>
    <s v="Ibrahim Hamed"/>
    <x v="0"/>
    <s v="HSE "/>
    <x v="0"/>
    <x v="4"/>
    <x v="5"/>
    <s v="observed  welding rods on the ground"/>
    <x v="0"/>
    <s v="housekeeping was done"/>
    <m/>
    <m/>
    <m/>
    <m/>
    <m/>
    <x v="0"/>
    <m/>
  </r>
  <r>
    <n v="1706"/>
    <x v="216"/>
    <s v="Mostafa Abdelgany"/>
    <x v="0"/>
    <s v="HSE "/>
    <x v="0"/>
    <x v="8"/>
    <x v="5"/>
    <s v="observed damaged grinding cable "/>
    <x v="3"/>
    <s v="Stopped the grinder , instructed him to send the machine to electric dept to change the cable  , he did"/>
    <m/>
    <m/>
    <m/>
    <m/>
    <m/>
    <x v="0"/>
    <m/>
  </r>
  <r>
    <n v="1707"/>
    <x v="213"/>
    <s v="Ibrahim Hamed"/>
    <x v="0"/>
    <s v="HSE "/>
    <x v="2"/>
    <x v="1"/>
    <x v="0"/>
    <s v="A worker moved the gas cylinder to a safe distance before starting the welding activity as instructed before."/>
    <x v="5"/>
    <s v="Thanked the team for the positive behaviours"/>
    <m/>
    <m/>
    <m/>
    <m/>
    <m/>
    <x v="1"/>
    <m/>
  </r>
  <r>
    <n v="1708"/>
    <x v="196"/>
    <s v="Mohamed Abdallah"/>
    <x v="0"/>
    <s v="HSE "/>
    <x v="2"/>
    <x v="3"/>
    <x v="8"/>
    <s v="Crane is inspected , has a valid calibration certificate , color coded and inspected daily as required "/>
    <x v="5"/>
    <s v="Appreciate the good job."/>
    <m/>
    <m/>
    <m/>
    <m/>
    <m/>
    <x v="1"/>
    <m/>
  </r>
  <r>
    <n v="1709"/>
    <x v="215"/>
    <s v="Mohamed Galal"/>
    <x v="0"/>
    <s v="Rigging Sup"/>
    <x v="1"/>
    <x v="5"/>
    <x v="18"/>
    <s v=" observed that  wrong  replacing method of  grinding disk."/>
    <x v="0"/>
    <s v=" Instructed the Grinders to use dedicaded tool  for changing grinding disks"/>
    <m/>
    <m/>
    <m/>
    <m/>
    <m/>
    <x v="0"/>
    <m/>
  </r>
  <r>
    <n v="1710"/>
    <x v="214"/>
    <s v="Abdelfatah Mohamed"/>
    <x v="0"/>
    <s v="HSE"/>
    <x v="1"/>
    <x v="9"/>
    <x v="4"/>
    <s v="one of lifting team was under the load in the line of fire "/>
    <x v="0"/>
    <s v="Instructed the lifting sup to relocate his position to be away from the line of fire , TOFS Held with lifting crew to highlight the issue , Line of fire stand down was done to highlight the risk of being in the line of fire."/>
    <m/>
    <m/>
    <m/>
    <m/>
    <m/>
    <x v="0"/>
    <m/>
  </r>
  <r>
    <n v="1711"/>
    <x v="215"/>
    <s v="Mohamed Abdallah"/>
    <x v="0"/>
    <s v="HSE"/>
    <x v="1"/>
    <x v="17"/>
    <x v="4"/>
    <s v="one worker standing next to the crane during lifting operation "/>
    <x v="0"/>
    <s v="instructed the worker to go away the manuvering crane area"/>
    <m/>
    <m/>
    <m/>
    <m/>
    <m/>
    <x v="0"/>
    <m/>
  </r>
  <r>
    <n v="1712"/>
    <x v="200"/>
    <s v="Mahmoud Abdelnaser"/>
    <x v="0"/>
    <s v="HSE"/>
    <x v="1"/>
    <x v="9"/>
    <x v="17"/>
    <s v="observed a worker transporting an electric panel without any assisstance"/>
    <x v="3"/>
    <s v="Stopped him and called another worker to help him carrying the panel And the issue was highlighted in the next TBT"/>
    <m/>
    <m/>
    <m/>
    <m/>
    <m/>
    <x v="0"/>
    <m/>
  </r>
  <r>
    <n v="1713"/>
    <x v="213"/>
    <s v="Ahmed Sobhy "/>
    <x v="0"/>
    <s v="HSE"/>
    <x v="1"/>
    <x v="7"/>
    <x v="2"/>
    <s v="observed that one of grinders working without safety glasses and gloves  "/>
    <x v="0"/>
    <s v="told the worker to wear his PPE all the time in the working site and he did immediately "/>
    <m/>
    <m/>
    <m/>
    <m/>
    <m/>
    <x v="0"/>
    <m/>
  </r>
  <r>
    <n v="1714"/>
    <x v="199"/>
    <s v="Abdelfatah Mohamed"/>
    <x v="0"/>
    <s v="HSE "/>
    <x v="0"/>
    <x v="17"/>
    <x v="5"/>
    <s v="Observed that welding machine nearby the fabrication activity,"/>
    <x v="0"/>
    <s v="Spoke to rigging supervisor to relocate the welding machine"/>
    <m/>
    <m/>
    <m/>
    <m/>
    <m/>
    <x v="0"/>
    <m/>
  </r>
  <r>
    <n v="1715"/>
    <x v="198"/>
    <s v="Ibrahim Hamed"/>
    <x v="0"/>
    <s v="HSE "/>
    <x v="0"/>
    <x v="4"/>
    <x v="3"/>
    <s v="some scaffold material scattered in the area "/>
    <x v="0"/>
    <s v="Transferred all scaffold material to the dedicated storage area"/>
    <m/>
    <m/>
    <m/>
    <m/>
    <m/>
    <x v="0"/>
    <m/>
  </r>
  <r>
    <n v="1716"/>
    <x v="197"/>
    <s v="Abdelfatah Mohamed"/>
    <x v="0"/>
    <s v="HSE "/>
    <x v="0"/>
    <x v="17"/>
    <x v="3"/>
    <s v="Material stands blocked the main access  "/>
    <x v="0"/>
    <s v="removed them from the main access"/>
    <m/>
    <m/>
    <m/>
    <m/>
    <m/>
    <x v="0"/>
    <m/>
  </r>
  <r>
    <n v="1717"/>
    <x v="208"/>
    <s v="Mahmoud Abdelnaser"/>
    <x v="0"/>
    <s v="HSE "/>
    <x v="0"/>
    <x v="7"/>
    <x v="3"/>
    <s v="Housekeeping improvement is required."/>
    <x v="0"/>
    <s v="Housekeeping has been performed"/>
    <m/>
    <m/>
    <m/>
    <m/>
    <m/>
    <x v="0"/>
    <m/>
  </r>
  <r>
    <n v="1718"/>
    <x v="207"/>
    <s v="Mohamed Abdallah"/>
    <x v="0"/>
    <s v="HSE "/>
    <x v="0"/>
    <x v="1"/>
    <x v="5"/>
    <s v="observed Acytelene cylinder without cap "/>
    <x v="1"/>
    <s v="The cylinder was secured by protection cap"/>
    <m/>
    <m/>
    <m/>
    <m/>
    <m/>
    <x v="0"/>
    <m/>
  </r>
  <r>
    <n v="1719"/>
    <x v="203"/>
    <s v="Ibrahim Hamed"/>
    <x v="0"/>
    <s v="HSE "/>
    <x v="0"/>
    <x v="0"/>
    <x v="8"/>
    <s v="Observed chain block hook without safety latch"/>
    <x v="0"/>
    <s v="Removed it from the area , marked it with red color code"/>
    <m/>
    <m/>
    <m/>
    <m/>
    <m/>
    <x v="0"/>
    <m/>
  </r>
  <r>
    <n v="1720"/>
    <x v="197"/>
    <s v="Ibrahim Hamed"/>
    <x v="0"/>
    <s v="HSE "/>
    <x v="1"/>
    <x v="15"/>
    <x v="2"/>
    <s v="Observed grinder was working without ear plug"/>
    <x v="3"/>
    <s v="Stopped him to wear ear plugs"/>
    <m/>
    <m/>
    <m/>
    <m/>
    <m/>
    <x v="0"/>
    <m/>
  </r>
  <r>
    <n v="1721"/>
    <x v="203"/>
    <s v="Mahmoud Abdelnaser"/>
    <x v="0"/>
    <s v="HSE "/>
    <x v="1"/>
    <x v="3"/>
    <x v="8"/>
    <s v="observed one shackle without color code"/>
    <x v="0"/>
    <s v="informed Rigging sup , reinspected the shackle and color coded "/>
    <m/>
    <m/>
    <m/>
    <m/>
    <m/>
    <x v="0"/>
    <m/>
  </r>
  <r>
    <n v="1722"/>
    <x v="205"/>
    <s v="Ibrahim Hamed"/>
    <x v="0"/>
    <s v="HSE"/>
    <x v="2"/>
    <x v="17"/>
    <x v="3"/>
    <s v="Observed good housekeeping in the project area."/>
    <x v="5"/>
    <s v="Encouraged the team for their commitment"/>
    <m/>
    <m/>
    <m/>
    <m/>
    <m/>
    <x v="1"/>
    <m/>
  </r>
  <r>
    <n v="1723"/>
    <x v="197"/>
    <s v="Abdelfatah Mohamed"/>
    <x v="0"/>
    <s v="HSE"/>
    <x v="2"/>
    <x v="7"/>
    <x v="17"/>
    <s v="Good securing of gas cylinders on trolly provided with protection caps /Flash back arrestor and fixed by chains. "/>
    <x v="5"/>
    <s v="Appreciate the good job."/>
    <m/>
    <m/>
    <m/>
    <m/>
    <m/>
    <x v="1"/>
    <m/>
  </r>
  <r>
    <n v="1724"/>
    <x v="93"/>
    <s v="Ibrahim Hamed"/>
    <x v="0"/>
    <s v="HSE "/>
    <x v="0"/>
    <x v="7"/>
    <x v="3"/>
    <s v="Observed poor House keeping and improper material arrangement "/>
    <x v="0"/>
    <s v="houskeeping was done immediately"/>
    <m/>
    <m/>
    <m/>
    <m/>
    <m/>
    <x v="0"/>
    <m/>
  </r>
  <r>
    <n v="1725"/>
    <x v="93"/>
    <s v="Mohamed Abdallah"/>
    <x v="0"/>
    <s v="HSE "/>
    <x v="0"/>
    <x v="1"/>
    <x v="0"/>
    <s v="observed damaged grinding cable "/>
    <x v="3"/>
    <s v="Stopped the grinder , instructed him to send the macchine to electric dept to change the cable , he did "/>
    <m/>
    <m/>
    <m/>
    <m/>
    <m/>
    <x v="0"/>
    <m/>
  </r>
  <r>
    <n v="1726"/>
    <x v="199"/>
    <s v="Omar Elmokhtar"/>
    <x v="0"/>
    <s v="Fitter"/>
    <x v="0"/>
    <x v="17"/>
    <x v="1"/>
    <s v="Inspection scaffold tag for one of scaffold was not in place."/>
    <x v="3"/>
    <s v="Stopped the fitters and asked them to get down and emphasized the issue with scaffold inspector at site and he corrected"/>
    <m/>
    <m/>
    <m/>
    <m/>
    <m/>
    <x v="0"/>
    <m/>
  </r>
  <r>
    <n v="1727"/>
    <x v="197"/>
    <s v="Mahmoud Abdelnaser"/>
    <x v="0"/>
    <s v="HSE"/>
    <x v="1"/>
    <x v="17"/>
    <x v="2"/>
    <s v="observed grinder was working without ear plugs"/>
    <x v="3"/>
    <s v="stopped him to wear ear plug "/>
    <m/>
    <m/>
    <m/>
    <m/>
    <m/>
    <x v="0"/>
    <m/>
  </r>
  <r>
    <n v="1728"/>
    <x v="217"/>
    <s v="Lance Pretorius"/>
    <x v="1"/>
    <s v="HSE"/>
    <x v="3"/>
    <x v="18"/>
    <x v="2"/>
    <s v="A worker performing grinding activities in WS#7 observed working safely with _x000a_all required PPE. "/>
    <x v="5"/>
    <s v="Commended the worker for his excellent PPE awareness and safe working practices"/>
    <m/>
    <m/>
    <m/>
    <m/>
    <m/>
    <x v="1"/>
    <m/>
  </r>
  <r>
    <n v="1729"/>
    <x v="217"/>
    <s v="Lance Pretorius"/>
    <x v="1"/>
    <s v="HSE"/>
    <x v="3"/>
    <x v="7"/>
    <x v="2"/>
    <s v="4 x PTJ Supervisors observed wearing their newly provided 4-point chinstrap _x000a_safety helmet systems as required PPE procedures "/>
    <x v="5"/>
    <s v="Commended the supervisors on their excellent PPE awareness and safe working practices "/>
    <m/>
    <m/>
    <m/>
    <m/>
    <m/>
    <x v="1"/>
    <m/>
  </r>
  <r>
    <n v="1730"/>
    <x v="217"/>
    <s v="Lance Pretorius"/>
    <x v="1"/>
    <s v="HSE"/>
    <x v="1"/>
    <x v="1"/>
    <x v="2"/>
    <s v="PTJ Supervision observed moving/lifting small pieces of cut steel with his bare hands (no safety gloves)  ."/>
    <x v="1"/>
    <s v="Tutored the supervisor and included the PTJ HSE to ensure continued compliance with PPE requirements "/>
    <m/>
    <m/>
    <m/>
    <m/>
    <m/>
    <x v="0"/>
    <m/>
  </r>
  <r>
    <n v="1731"/>
    <x v="217"/>
    <s v="Lance Pretorius"/>
    <x v="1"/>
    <s v="HSE"/>
    <x v="0"/>
    <x v="3"/>
    <x v="3"/>
    <s v="Workers preparing for torch heating activities placed his gas pipes across the entrance _x000a_to an elevated structure without allowing safe access. "/>
    <x v="1"/>
    <s v="CPY suspended the activity requested the worker to move his gas bottles and review his gas pipe arrangement o ensure safe access at all times "/>
    <s v="Tutored the worker to ensure his understanding of keeping access ways free of hazards"/>
    <m/>
    <m/>
    <m/>
    <m/>
    <x v="0"/>
    <m/>
  </r>
  <r>
    <n v="1732"/>
    <x v="218"/>
    <s v="Reda Zaghloul "/>
    <x v="1"/>
    <s v="QC"/>
    <x v="0"/>
    <x v="6"/>
    <x v="1"/>
    <s v="vTwo scaffolds located in painting areas A and B were found in use without green _x000a_Scaftags. "/>
    <x v="2"/>
    <s v="The issue has been reported to the TFMC/PTJ area safety advisors who took immediate actions by stopping the activities until rectifying the issue. "/>
    <s v="The issue has been reported to the TFMC/PTJ area safety advisors. "/>
    <m/>
    <m/>
    <m/>
    <m/>
    <x v="0"/>
    <m/>
  </r>
  <r>
    <n v="1733"/>
    <x v="203"/>
    <s v="Malcolm Garrington"/>
    <x v="1"/>
    <s v="Project Manager"/>
    <x v="0"/>
    <x v="2"/>
    <x v="7"/>
    <s v="CPY noted extremely dangerous roofing corrugated sheets which are loose on _x000a_the roof of warehouse #2. "/>
    <x v="2"/>
    <s v="TFMC to do a weekly inspection of their installed sheeting and ensure fitments are in good order.. "/>
    <m/>
    <m/>
    <m/>
    <m/>
    <m/>
    <x v="0"/>
    <m/>
  </r>
  <r>
    <n v="1734"/>
    <x v="203"/>
    <s v="Malcolm Garrington"/>
    <x v="1"/>
    <s v="Project Manager"/>
    <x v="0"/>
    <x v="2"/>
    <x v="3"/>
    <s v="CPY noted that project yard material wastage is being placed within provided metal skips. _x000a_However, these skips are typically full most of the time and becoming unsafe. _x000a_Collection and emptying short be arranged on a more frequent order to ensure safe conditions of personnel who are placing the scrap into skips."/>
    <x v="2"/>
    <s v="TFMC to do a weekly inspection of their installed sheeting and ensure fitments are in good order.. "/>
    <m/>
    <m/>
    <m/>
    <m/>
    <m/>
    <x v="0"/>
    <m/>
  </r>
  <r>
    <n v="1735"/>
    <x v="219"/>
    <s v="Mahmoud Samir"/>
    <x v="2"/>
    <s v="HSE"/>
    <x v="0"/>
    <x v="3"/>
    <x v="5"/>
    <s v="It has been observed more combustible materials on frame during hot work activities  "/>
    <x v="1"/>
    <s v="Suspended activities and supervisor informed that make housekeeping and check the area condition before start the activities."/>
    <s v="TBT conducted with all team."/>
    <m/>
    <m/>
    <m/>
    <m/>
    <x v="0"/>
    <m/>
  </r>
  <r>
    <n v="1736"/>
    <x v="217"/>
    <s v="Mahmoud Samir"/>
    <x v="2"/>
    <s v="HSE"/>
    <x v="1"/>
    <x v="18"/>
    <x v="8"/>
    <s v="It has been observed lifting activity by unsafe way also lifting guy wasn’t use tagline."/>
    <x v="1"/>
    <s v="Suspended activities and contact with lifting coach to make TBT with team and disciplinary action was taken with him "/>
    <s v="TBT conducted with all team."/>
    <m/>
    <m/>
    <m/>
    <m/>
    <x v="0"/>
    <m/>
  </r>
  <r>
    <n v="1737"/>
    <x v="220"/>
    <s v="Mahmoud Samir"/>
    <x v="2"/>
    <s v="HSE"/>
    <x v="0"/>
    <x v="7"/>
    <x v="3"/>
    <s v="It was observed that there was excess metal scrap on the structure, along with numerous used grinder disks that needed to be removed."/>
    <x v="1"/>
    <s v="Fabrication supervisor informed that make housekeeping before start activities and make supervision."/>
    <m/>
    <m/>
    <m/>
    <m/>
    <m/>
    <x v="0"/>
    <m/>
  </r>
  <r>
    <n v="1738"/>
    <x v="221"/>
    <s v="Mahmoud Samir"/>
    <x v="2"/>
    <s v="HSE"/>
    <x v="1"/>
    <x v="1"/>
    <x v="8"/>
    <s v="I interfered and suspended activity and contact with lifting coach for conduct TBT with team and take disciplinary action was taken. "/>
    <x v="1"/>
    <s v="It was observed that a rigger performed a lifting activity without using a tag line, instead controlling the load with his hand."/>
    <m/>
    <m/>
    <m/>
    <m/>
    <m/>
    <x v="0"/>
    <m/>
  </r>
  <r>
    <n v="1739"/>
    <x v="222"/>
    <s v="Mahmoud Samir"/>
    <x v="2"/>
    <s v="HSE"/>
    <x v="0"/>
    <x v="0"/>
    <x v="3"/>
    <s v="Observed poor cable management in welding area at workshop 1"/>
    <x v="1"/>
    <s v="Suspended activities and supervisor informed that make housekeeping and check the area condition before start the activities."/>
    <m/>
    <m/>
    <m/>
    <m/>
    <m/>
    <x v="0"/>
    <m/>
  </r>
  <r>
    <n v="1740"/>
    <x v="218"/>
    <s v="Mahmoud Samir"/>
    <x v="2"/>
    <s v="HSE"/>
    <x v="0"/>
    <x v="6"/>
    <x v="1"/>
    <s v="It has been observed dismantling some part from scaffold without inform scaffold inspector "/>
    <x v="1"/>
    <s v="Activities on scaffold platform suspended and remove scaffold TAG by inspector and make re inspection "/>
    <s v="TBT conducted with all team for not repeat that unsafe behavior  "/>
    <m/>
    <m/>
    <m/>
    <m/>
    <x v="0"/>
    <m/>
  </r>
  <r>
    <n v="1741"/>
    <x v="223"/>
    <s v="Mahmoud Samir"/>
    <x v="2"/>
    <s v="HSE"/>
    <x v="0"/>
    <x v="6"/>
    <x v="4"/>
    <s v="It has been observed unsafe storage pipelines on support for sandblasting activities "/>
    <x v="1"/>
    <s v="Suspended activities and supervisor informed that change pipelines condition "/>
    <m/>
    <m/>
    <m/>
    <m/>
    <m/>
    <x v="0"/>
    <m/>
  </r>
  <r>
    <n v="1742"/>
    <x v="219"/>
    <s v="Mahmoud Nasr"/>
    <x v="2"/>
    <s v="HSE"/>
    <x v="1"/>
    <x v="4"/>
    <x v="5"/>
    <s v="I have observed that the welder working on unsafe way. "/>
    <x v="1"/>
    <s v="Inform HSE PTJ to take action with him. "/>
    <m/>
    <m/>
    <m/>
    <m/>
    <m/>
    <x v="0"/>
    <m/>
  </r>
  <r>
    <n v="1743"/>
    <x v="217"/>
    <s v="Mahmoud Nasr"/>
    <x v="2"/>
    <s v="HSE"/>
    <x v="1"/>
    <x v="2"/>
    <x v="5"/>
    <s v="I have observed that the grinder working while the load connected with sling _x000a_and the sparks will affect the wire. "/>
    <x v="1"/>
    <s v="Inform HSE PTJ to take action with him. "/>
    <m/>
    <m/>
    <m/>
    <m/>
    <m/>
    <x v="0"/>
    <m/>
  </r>
  <r>
    <n v="1744"/>
    <x v="220"/>
    <s v="Mahmoud Nasr"/>
    <x v="2"/>
    <s v="HSE"/>
    <x v="1"/>
    <x v="2"/>
    <x v="2"/>
    <s v="I have observed the worker not specified to work with grinder using the grinder _x000a_without specified PPE. "/>
    <x v="1"/>
    <s v="Inform HSE PTJ to take action. "/>
    <m/>
    <m/>
    <m/>
    <m/>
    <m/>
    <x v="0"/>
    <m/>
  </r>
  <r>
    <n v="1745"/>
    <x v="220"/>
    <s v="Mahmoud Nasr"/>
    <x v="2"/>
    <s v="HSE"/>
    <x v="1"/>
    <x v="2"/>
    <x v="8"/>
    <s v="I have observed that the rigging team not using enough wood to make the roll _x000a_guide stable after uprighting  "/>
    <x v="1"/>
    <s v="Inform lifting coach PTJ to take action and make TBT for safe lifting operation."/>
    <m/>
    <m/>
    <m/>
    <m/>
    <m/>
    <x v="0"/>
    <m/>
  </r>
  <r>
    <n v="1746"/>
    <x v="218"/>
    <s v="Mahmoud Nasr"/>
    <x v="2"/>
    <s v="HSE"/>
    <x v="1"/>
    <x v="0"/>
    <x v="1"/>
    <s v="I have observed the welder working and his side insecure. "/>
    <x v="1"/>
    <s v="Inform HSE PTJ to take action to stop working until secure this side. "/>
    <m/>
    <m/>
    <m/>
    <m/>
    <m/>
    <x v="0"/>
    <m/>
  </r>
  <r>
    <n v="1747"/>
    <x v="223"/>
    <s v="Mahmoud Nasr"/>
    <x v="2"/>
    <s v="HSE"/>
    <x v="1"/>
    <x v="2"/>
    <x v="8"/>
    <s v="I have observed the using lifting tools on wrong way. "/>
    <x v="1"/>
    <s v="Inform lifting coach to take action how to use lifting tools on right way."/>
    <m/>
    <m/>
    <m/>
    <m/>
    <m/>
    <x v="0"/>
    <m/>
  </r>
  <r>
    <n v="1748"/>
    <x v="219"/>
    <s v="Mahmoud Nasr"/>
    <x v="2"/>
    <s v="HSE"/>
    <x v="0"/>
    <x v="2"/>
    <x v="18"/>
    <s v="I have observed that the grinder cover was broken and have color code. "/>
    <x v="1"/>
    <s v="Inform HSE to remove the color code and take it out. "/>
    <m/>
    <m/>
    <m/>
    <m/>
    <m/>
    <x v="0"/>
    <m/>
  </r>
  <r>
    <n v="1749"/>
    <x v="217"/>
    <s v="Mahmoud Nasr"/>
    <x v="2"/>
    <s v="HSE"/>
    <x v="0"/>
    <x v="8"/>
    <x v="4"/>
    <s v="I have observed that the material on unsafe way for work. "/>
    <x v="1"/>
    <s v="Inform HSE PTJ to take action. "/>
    <m/>
    <m/>
    <m/>
    <m/>
    <m/>
    <x v="0"/>
    <m/>
  </r>
  <r>
    <n v="1750"/>
    <x v="220"/>
    <s v="Mahmoud Nasr"/>
    <x v="2"/>
    <s v="HSE"/>
    <x v="0"/>
    <x v="2"/>
    <x v="4"/>
    <s v="I have observed that the material on unsafe position for work. "/>
    <x v="1"/>
    <s v="Inform HSE PTJ to take action. "/>
    <m/>
    <m/>
    <m/>
    <m/>
    <m/>
    <x v="0"/>
    <m/>
  </r>
  <r>
    <n v="1751"/>
    <x v="222"/>
    <s v="Mahmoud Samir"/>
    <x v="2"/>
    <s v="HSE"/>
    <x v="3"/>
    <x v="0"/>
    <x v="8"/>
    <s v="It was observed that the rigging team inspected all temporary storage areas inside the site and carried out rearrangement."/>
    <x v="5"/>
    <s v="Positive feedback was given to the rigging team and give them incentive cards."/>
    <m/>
    <m/>
    <m/>
    <m/>
    <m/>
    <x v="1"/>
    <m/>
  </r>
  <r>
    <n v="1752"/>
    <x v="224"/>
    <s v="Mahmoud Samir"/>
    <x v="2"/>
    <s v="HSE"/>
    <x v="0"/>
    <x v="17"/>
    <x v="7"/>
    <s v="It was observed that using damage welding habitat and there is more combustible materials nearby from hot work activity. "/>
    <x v="1"/>
    <s v="The activities was suspended and supervisor informed that all damage welding habitat must be replacement and housekeeping mandatory before start work."/>
    <m/>
    <m/>
    <m/>
    <m/>
    <m/>
    <x v="0"/>
    <m/>
  </r>
  <r>
    <n v="1753"/>
    <x v="225"/>
    <s v="Mahmoud Samir"/>
    <x v="2"/>
    <s v="HSE"/>
    <x v="0"/>
    <x v="2"/>
    <x v="3"/>
    <s v="It was observed that more tripping hazard on access way there is more cables and two trolly gas cylinders."/>
    <x v="1"/>
    <s v="I intervened and stopped the activity. The fitting supervisor was instructed to reposition the frame on a metal platform before continuing the work."/>
    <m/>
    <m/>
    <m/>
    <m/>
    <m/>
    <x v="0"/>
    <m/>
  </r>
  <r>
    <n v="1754"/>
    <x v="226"/>
    <s v="Mahmoud Samir"/>
    <x v="2"/>
    <s v="HSE"/>
    <x v="0"/>
    <x v="2"/>
    <x v="8"/>
    <s v="It was observed that fabrication work on the hub frame was carried out without securing the frame during hot work activities."/>
    <x v="1"/>
    <s v="I intervened and stopped the activity. The fitting supervisor was instructed to reposition the frame on a metal platform before continuing the work."/>
    <m/>
    <m/>
    <m/>
    <m/>
    <m/>
    <x v="0"/>
    <m/>
  </r>
  <r>
    <n v="1755"/>
    <x v="227"/>
    <s v="Mahmoud Samir"/>
    <x v="2"/>
    <s v="HSE"/>
    <x v="1"/>
    <x v="0"/>
    <x v="5"/>
    <s v="It was observed that a worker operating the CNC machine was not wearing the required PPE for welding activities."/>
    <x v="1"/>
    <s v="The activity was stopped immediately, and the worker was instructed to wear the required PPE before resuming work and disciplinary action was taken. "/>
    <m/>
    <m/>
    <m/>
    <m/>
    <m/>
    <x v="0"/>
    <m/>
  </r>
  <r>
    <n v="1756"/>
    <x v="228"/>
    <s v="Mahmoud Samir"/>
    <x v="2"/>
    <s v="HSE"/>
    <x v="0"/>
    <x v="0"/>
    <x v="5"/>
    <s v="It has been observed fabrication activity on frame without provide safe access way "/>
    <x v="1"/>
    <s v="The activities was suspended and fabrication supervisor informed that checking area condition before start activity   "/>
    <m/>
    <m/>
    <m/>
    <m/>
    <m/>
    <x v="0"/>
    <m/>
  </r>
  <r>
    <n v="1757"/>
    <x v="229"/>
    <s v="Mahmoud Samir"/>
    <x v="2"/>
    <s v="HSE"/>
    <x v="0"/>
    <x v="2"/>
    <x v="3"/>
    <s v="It was observed that materials were unsafely stored under the structure, which could cause injury to anyone entering the storage area."/>
    <x v="1"/>
    <s v="The unsafe materials stored under the structure were immediately removed, and the area was cleared to ensure safe access. The supervisor was instructed to prevent any future storage in that location and to designate a proper, secure storage area."/>
    <m/>
    <m/>
    <m/>
    <m/>
    <m/>
    <x v="0"/>
    <m/>
  </r>
  <r>
    <n v="1758"/>
    <x v="227"/>
    <s v="Mahmoud Elshahat"/>
    <x v="2"/>
    <s v="HSE"/>
    <x v="3"/>
    <x v="6"/>
    <x v="2"/>
    <s v="Observed workers are compliant to the job specific PPE requirements in the painting and blasting area"/>
    <x v="5"/>
    <m/>
    <m/>
    <m/>
    <m/>
    <m/>
    <m/>
    <x v="1"/>
    <m/>
  </r>
  <r>
    <n v="1759"/>
    <x v="225"/>
    <s v="Mahmoud Elshahat"/>
    <x v="2"/>
    <s v="HSE"/>
    <x v="1"/>
    <x v="3"/>
    <x v="18"/>
    <s v="Observed worker is using a grinder that is not color coded and has the disk shield damaged"/>
    <x v="1"/>
    <s v="Advised the grinder to be removed from workplace _x000a_and to be maintained, inspected then used at work again"/>
    <m/>
    <m/>
    <m/>
    <m/>
    <m/>
    <x v="0"/>
    <m/>
  </r>
  <r>
    <n v="1760"/>
    <x v="227"/>
    <s v="Mahmoud Elshahat"/>
    <x v="2"/>
    <s v="HSE"/>
    <x v="1"/>
    <x v="6"/>
    <x v="8"/>
    <s v="Observed that the forklift is lifting the load using the wrong lifting methods (wires and shackles) "/>
    <x v="1"/>
    <s v="Advised to stop the lifting process _x000a_secure the load properly to proceed with transporting the load "/>
    <s v="Supervisor to conduct TBT regarding the Trending lifting issues to make sure riggers comply with safe and adequate lifting practices"/>
    <m/>
    <m/>
    <m/>
    <m/>
    <x v="0"/>
    <m/>
  </r>
  <r>
    <n v="1761"/>
    <x v="224"/>
    <s v="Mahmoud Elshahat"/>
    <x v="2"/>
    <s v="HSE"/>
    <x v="0"/>
    <x v="3"/>
    <x v="1"/>
    <s v="Observed structure with opening that is unsecured which may lead to workers working on it to fall"/>
    <x v="1"/>
    <s v="Advised the structure to be barricaded and the cover to be securely closed so workers can commence work on the structure again"/>
    <m/>
    <m/>
    <m/>
    <m/>
    <m/>
    <x v="0"/>
    <m/>
  </r>
  <r>
    <n v="1762"/>
    <x v="228"/>
    <s v="Mahmoud Elshahat"/>
    <x v="2"/>
    <s v="HSE"/>
    <x v="0"/>
    <x v="6"/>
    <x v="3"/>
    <s v="Observed that cable management is poor in the area increasing the potential of slip and trip hazard."/>
    <x v="1"/>
    <s v="Advised the work to be suspended till the cable is managed properly through the area to eliminate the slip and trip hazard"/>
    <m/>
    <m/>
    <m/>
    <m/>
    <m/>
    <x v="0"/>
    <m/>
  </r>
  <r>
    <n v="1763"/>
    <x v="225"/>
    <s v="Mahmoud Nasr"/>
    <x v="2"/>
    <s v="HSE"/>
    <x v="1"/>
    <x v="7"/>
    <x v="8"/>
    <s v="I have observed that the rigger using his hand to control the load. "/>
    <x v="1"/>
    <s v="Inform HSE PTJ to take action and lifting coach to make training for the rigging _x000a_team. "/>
    <m/>
    <m/>
    <m/>
    <m/>
    <m/>
    <x v="0"/>
    <m/>
  </r>
  <r>
    <n v="1764"/>
    <x v="222"/>
    <s v="Mahmoud Nasr"/>
    <x v="2"/>
    <s v="HSE"/>
    <x v="0"/>
    <x v="4"/>
    <x v="3"/>
    <s v="I have observed poor house keeping and unfixed boards inside the roll guide. "/>
    <x v="1"/>
    <s v="Inform HSE PTJ to stop working and take action. "/>
    <m/>
    <m/>
    <m/>
    <m/>
    <m/>
    <x v="0"/>
    <m/>
  </r>
  <r>
    <n v="1765"/>
    <x v="224"/>
    <s v="Mahmoud Nasr"/>
    <x v="2"/>
    <s v="HSE"/>
    <x v="0"/>
    <x v="7"/>
    <x v="3"/>
    <s v="I have observed poor house keeping and cable management. "/>
    <x v="1"/>
    <s v="Inform HSE PTJ to take action. "/>
    <m/>
    <m/>
    <m/>
    <m/>
    <m/>
    <x v="0"/>
    <m/>
  </r>
  <r>
    <n v="1766"/>
    <x v="225"/>
    <s v="Mahmoud Nasr"/>
    <x v="2"/>
    <s v="HSE"/>
    <x v="0"/>
    <x v="7"/>
    <x v="8"/>
    <s v="I have observed wrong lifting activities. "/>
    <x v="1"/>
    <s v="Inform HSE PTJ to take action and lifting coach to make training for the rigging _x000a_team."/>
    <m/>
    <m/>
    <m/>
    <m/>
    <m/>
    <x v="0"/>
    <m/>
  </r>
  <r>
    <n v="1767"/>
    <x v="226"/>
    <s v="Mahmoud Nasr"/>
    <x v="2"/>
    <s v="HSE"/>
    <x v="0"/>
    <x v="1"/>
    <x v="8"/>
    <s v="I have observed that forklift loaded the material on wrong way. "/>
    <x v="1"/>
    <s v="Stop him and inform the rigger to rearrange this material. "/>
    <m/>
    <m/>
    <m/>
    <m/>
    <m/>
    <x v="0"/>
    <m/>
  </r>
  <r>
    <n v="1768"/>
    <x v="227"/>
    <s v="Mahmoud Nasr"/>
    <x v="2"/>
    <s v="HSE"/>
    <x v="0"/>
    <x v="7"/>
    <x v="3"/>
    <s v="I have observed poor housekeeping. "/>
    <x v="1"/>
    <s v="Inform HSE PTJ to take action. "/>
    <m/>
    <m/>
    <m/>
    <m/>
    <m/>
    <x v="0"/>
    <m/>
  </r>
  <r>
    <n v="1769"/>
    <x v="228"/>
    <s v="Mahmoud Nasr"/>
    <x v="2"/>
    <s v="HSE"/>
    <x v="0"/>
    <x v="1"/>
    <x v="3"/>
    <s v="I have observed unsecured piping. "/>
    <x v="1"/>
    <s v="Inform HSE PTJ to take action. "/>
    <m/>
    <m/>
    <m/>
    <m/>
    <m/>
    <x v="0"/>
    <m/>
  </r>
  <r>
    <n v="1770"/>
    <x v="223"/>
    <s v="Ehab Ibrahim Hassan"/>
    <x v="1"/>
    <s v="Coating Inspector"/>
    <x v="1"/>
    <x v="2"/>
    <x v="3"/>
    <s v="During inspection in WS2 I found may cigarettes butts on the floor. "/>
    <x v="2"/>
    <s v="Spoke to PTJ safety officer and asked him to convey a message to his technicians not to smoke in the workshop and use designated area, he also got a laborer to do housekeeping for the findings. "/>
    <s v="Issue to be highlighted and briefed in daily and weekly TBT."/>
    <m/>
    <m/>
    <m/>
    <m/>
    <x v="0"/>
    <m/>
  </r>
  <r>
    <n v="1771"/>
    <x v="219"/>
    <s v="Ehab Ibrahim Hassan"/>
    <x v="1"/>
    <s v="Coating Inspector"/>
    <x v="0"/>
    <x v="6"/>
    <x v="5"/>
    <s v="One gas cylinder was kept very close to grinding work."/>
    <x v="2"/>
    <s v="Instructed PTJ safety officer to remove it from place "/>
    <s v="Issue to be highlighted in the subcontractor pre-job TBT. "/>
    <m/>
    <m/>
    <m/>
    <m/>
    <x v="0"/>
    <m/>
  </r>
  <r>
    <n v="1772"/>
    <x v="219"/>
    <s v="Ehab Ibrahim Hassan"/>
    <x v="1"/>
    <s v="Coating Inspector"/>
    <x v="1"/>
    <x v="6"/>
    <x v="5"/>
    <s v="One technician was using the back of the grinding desk while doing grinding _x000a_work on the mudmats in the blasting yard. "/>
    <x v="2"/>
    <s v="Instructed the technician that only the desk face to be used for grinding and that the back face of the grinding desk is not for use. "/>
    <s v="Issue to be highlighted in the subcontractor pre-job TBT. "/>
    <m/>
    <m/>
    <m/>
    <m/>
    <x v="0"/>
    <m/>
  </r>
  <r>
    <n v="1773"/>
    <x v="225"/>
    <s v="Mohamed El Sawah "/>
    <x v="1"/>
    <s v="QC"/>
    <x v="0"/>
    <x v="0"/>
    <x v="3"/>
    <s v="While site inspection I noticed plates stacked in a bad position in WK#1, along _x000a_the side of the walk way. "/>
    <x v="2"/>
    <s v="I informed safety officer and he took the corrective action and redo the stacking from the beginning in a proper manner."/>
    <m/>
    <m/>
    <m/>
    <m/>
    <m/>
    <x v="0"/>
    <m/>
  </r>
  <r>
    <n v="1774"/>
    <x v="225"/>
    <s v="Mohamed El Sawah "/>
    <x v="1"/>
    <s v="QC"/>
    <x v="1"/>
    <x v="2"/>
    <x v="2"/>
    <s v="Workers need to have both black and clear goggles, and ensure that the clear _x000a_glasses are worn inside the work shop for a clearer vision "/>
    <x v="2"/>
    <s v="Informed TFMC/ Petrojet HSE and tutored worker on the importance of safety glasses importance. "/>
    <s v="Workers guidance during toolbox talk and quick actions to anyone on site not _x000a_wearing them."/>
    <m/>
    <m/>
    <m/>
    <m/>
    <x v="0"/>
    <m/>
  </r>
  <r>
    <n v="1775"/>
    <x v="226"/>
    <s v="Mohamed El Sawah "/>
    <x v="1"/>
    <s v="QC"/>
    <x v="0"/>
    <x v="8"/>
    <x v="3"/>
    <s v="While site inspection in WK#1, CPY noticed left over for foods under the _x000a_mudmat frames structure, workers are having their lunch during break time in _x000a_non dedicated areas for lunch such as workshops.  "/>
    <x v="2"/>
    <s v="Informed TFMC/ Petrojet HSE and they did the corrective action by cleaning the Workshop and promised to mention the topic in the weekly toolbox talk "/>
    <m/>
    <m/>
    <m/>
    <m/>
    <m/>
    <x v="0"/>
    <m/>
  </r>
  <r>
    <n v="1776"/>
    <x v="224"/>
    <s v="Lance Pretorius"/>
    <x v="1"/>
    <s v="HSE"/>
    <x v="2"/>
    <x v="18"/>
    <x v="2"/>
    <s v="Worker wearing full PPE whilst grinding in WS#7 "/>
    <x v="5"/>
    <s v="Commended the worker on safe PPE awareness."/>
    <m/>
    <m/>
    <m/>
    <m/>
    <m/>
    <x v="1"/>
    <m/>
  </r>
  <r>
    <n v="1777"/>
    <x v="224"/>
    <s v="Lance Pretorius"/>
    <x v="1"/>
    <s v="HSE"/>
    <x v="2"/>
    <x v="6"/>
    <x v="2"/>
    <s v="Scaffolding Team observed wearing 4-point chinstrap helmets in windy conditions "/>
    <x v="5"/>
    <s v="Commended the scaffold team on safe PPE awareness "/>
    <m/>
    <m/>
    <m/>
    <m/>
    <m/>
    <x v="1"/>
    <m/>
  </r>
  <r>
    <n v="1778"/>
    <x v="227"/>
    <s v="Ahmed Nasr"/>
    <x v="1"/>
    <s v="Fabrication"/>
    <x v="0"/>
    <x v="5"/>
    <x v="5"/>
    <s v="It has been observed that couple of gas cylinders left pressurized while not_x000a_being used."/>
    <x v="2"/>
    <s v="A discussion has been made with the welder supervisor, and action has been taken immediately to release the pressure from the cylinders."/>
    <m/>
    <m/>
    <m/>
    <m/>
    <m/>
    <x v="0"/>
    <m/>
  </r>
  <r>
    <n v="1779"/>
    <x v="227"/>
    <s v="Ahmed Nasr"/>
    <x v="1"/>
    <s v="Fabrication"/>
    <x v="0"/>
    <x v="5"/>
    <x v="2"/>
    <s v="It has been observed that a worker operating the cold cutting MC without_x000a_wearing a protective cover."/>
    <x v="2"/>
    <s v="A discussion has been made with the cold cut MC operator and immediately he went and get face shield"/>
    <m/>
    <m/>
    <m/>
    <m/>
    <m/>
    <x v="0"/>
    <m/>
  </r>
  <r>
    <n v="1780"/>
    <x v="230"/>
    <s v="Reda Zaghloul"/>
    <x v="1"/>
    <s v="QC"/>
    <x v="2"/>
    <x v="2"/>
    <x v="3"/>
    <s v="The housekeeping in the piping fabrication area of Workshop 2 is observed to be _x000a_in good condition, with the area appearing clean, well-organized, and tidy. "/>
    <x v="5"/>
    <s v="Encourage the team to keep it up."/>
    <m/>
    <m/>
    <m/>
    <m/>
    <m/>
    <x v="1"/>
    <m/>
  </r>
  <r>
    <n v="1781"/>
    <x v="224"/>
    <s v="Lance Pretorius"/>
    <x v="1"/>
    <s v="HSE"/>
    <x v="0"/>
    <x v="3"/>
    <x v="2"/>
    <s v="Rigger not wearing a helmet with chin strap – helmet came off due to high winds "/>
    <x v="2"/>
    <s v="Informed area supervisor and HSE to ensure riggers wear at least a 2-point chin strap until 4-point types are provided "/>
    <s v="Scaffolding Team observed wearing 4-point chinstrap helmets in windy conditions "/>
    <m/>
    <m/>
    <m/>
    <m/>
    <x v="0"/>
    <m/>
  </r>
  <r>
    <n v="1782"/>
    <x v="226"/>
    <s v="Lance Pretorius"/>
    <x v="1"/>
    <s v="HSE"/>
    <x v="1"/>
    <x v="4"/>
    <x v="2"/>
    <s v="Worker shifting heavy steel plate without safety gloves – directly after attending the _x000a_Weekly Group TBT regarding Manual Handling"/>
    <x v="2"/>
    <s v="Informed area supervisor and HSE to ensure workers are wearing the correct PPE for activities at all times "/>
    <m/>
    <m/>
    <m/>
    <m/>
    <m/>
    <x v="0"/>
    <m/>
  </r>
  <r>
    <n v="1783"/>
    <x v="225"/>
    <s v="Malcolm Garrington"/>
    <x v="1"/>
    <s v="Project Manager"/>
    <x v="0"/>
    <x v="7"/>
    <x v="7"/>
    <s v="CPY noted in outside area 2 several overhead corrugated sheeting was incorrectly loose due to rigging team accessing below to lift and insert a section of material to the PLET Mudmat base/frame. _x000a_Several HSE and PTJ supervisors were present and discussing the course of action while several workers were continuing to work in a potential high-risk situation"/>
    <x v="2"/>
    <s v="CPY immediately requested that PTJ workers stop their activities and remove themselves from underneath the loose corrugated overhead sheet.  This action was implemented "/>
    <s v="TFMC to do a weekly inspection of their installed corrugated sheeting and ensure sheets are correctly secure and safe for their workers to have a safe environment to work in. "/>
    <m/>
    <m/>
    <m/>
    <m/>
    <x v="0"/>
    <m/>
  </r>
  <r>
    <n v="1784"/>
    <x v="225"/>
    <s v="Malcolm Garrington"/>
    <x v="1"/>
    <s v="Project Manager"/>
    <x v="1"/>
    <x v="5"/>
    <x v="2"/>
    <s v="CPY noted in in most PTJ yard facilities that several workers are not correctly wearing their PPE as per mandatory requirements.   _x000a_There are many HSE , PPE signages throughout the yard and yet lack of supervision or HSE advisors taking the correct intervention steps to ensure workers adhere to correct PPE requirements.  _x000a_CPY intervened to all observed wearing of PPE – examples noted: _x000a_➢ Coverage sleeves rolled up in hotwork environments; _x000a_➢ No glasses on; _x000a_➢ Incorrect dark glasses withinside workshops; _x000a_➢ Incorrect wearing of hard hat with application of chin straps being incorrect or not utilised; _x000a_➢ No gloves on when lifting or carrying material / cables / rigging etc. "/>
    <x v="2"/>
    <s v="CPY immediately requested that PTJ workers stop their activities and donned / corrected their PPE to align with mandatory PPE requirements.   This action was implemented   "/>
    <s v="TFMC HSE and PTJ HSE must do BETTER and intervene when see incorrect _x000a_behaviour. ."/>
    <m/>
    <m/>
    <m/>
    <m/>
    <x v="0"/>
    <m/>
  </r>
  <r>
    <n v="1785"/>
    <x v="231"/>
    <s v="Lance Pretorius"/>
    <x v="1"/>
    <s v="HSE"/>
    <x v="3"/>
    <x v="6"/>
    <x v="2"/>
    <s v="Scaffold crew all wearing 4-point chinstraps in Blasting &amp;Painting area "/>
    <x v="5"/>
    <s v="Commended the team on their safe act practices "/>
    <m/>
    <m/>
    <m/>
    <m/>
    <m/>
    <x v="1"/>
    <m/>
  </r>
  <r>
    <n v="1786"/>
    <x v="231"/>
    <s v="Lance Pretorius"/>
    <x v="1"/>
    <s v="HSE"/>
    <x v="2"/>
    <x v="6"/>
    <x v="1"/>
    <s v="Scaffold walkway erected between the Texas barriers form compressor are  into the _x000a_blasting &amp;painting area – 2 entrances rectified for afer acccess "/>
    <x v="5"/>
    <s v="Commended the team on their creation of safe walkway access "/>
    <m/>
    <m/>
    <m/>
    <m/>
    <m/>
    <x v="1"/>
    <m/>
  </r>
  <r>
    <n v="1787"/>
    <x v="232"/>
    <s v="Lance Pretorius"/>
    <x v="1"/>
    <s v="HSE"/>
    <x v="1"/>
    <x v="0"/>
    <x v="2"/>
    <s v="Worker observed working without gloves whilst punching numbers onto steel plate – excuse being that the gloves provided were too thick to choose the correct steel stamp number – therefore the worker was forced to take them off – the worker was working with thick welding gloves – incorrect PPE provided for the activity"/>
    <x v="2"/>
    <s v="Engaged the direct supervisor to ensure the worker was provided with a lighter weigh type safety glove in order that the worker kept his gloves on at all times "/>
    <m/>
    <m/>
    <m/>
    <m/>
    <m/>
    <x v="0"/>
    <m/>
  </r>
  <r>
    <n v="1788"/>
    <x v="232"/>
    <s v="Lance Pretorius"/>
    <x v="1"/>
    <s v="HSE"/>
    <x v="0"/>
    <x v="4"/>
    <x v="5"/>
    <s v="Worker observed using a large  grinder in a space suitable for a smaller grinder – the _x000a_large grinder was being used whereas a smaller size grinder would be safer without _x000a_chance of snagging or jerking during the actvitiy "/>
    <x v="2"/>
    <s v="Engaged the worker and direct supervisor to ensure the worker was provided with the suitable grinding tool for the activity thus eliminating any possible incidents "/>
    <m/>
    <m/>
    <m/>
    <m/>
    <m/>
    <x v="0"/>
    <m/>
  </r>
  <r>
    <n v="1789"/>
    <x v="231"/>
    <s v="Malcolm Garrington"/>
    <x v="1"/>
    <s v="Project Manager"/>
    <x v="0"/>
    <x v="9"/>
    <x v="7"/>
    <s v="CPY noted in outside area 4 that poor condition of tarpaulins which are loose and _x000a_required to be securely tied. "/>
    <x v="2"/>
    <s v="No immediate action provided by CPY – submission of PTJ SHOC Card "/>
    <s v="TFMC to ensure mitigations are corrected and set up a daily HSE team _x000a_walkaround.."/>
    <m/>
    <m/>
    <m/>
    <m/>
    <x v="0"/>
    <m/>
  </r>
  <r>
    <n v="1790"/>
    <x v="231"/>
    <s v="Malcolm Garrington"/>
    <x v="1"/>
    <s v="Project Manager"/>
    <x v="1"/>
    <x v="2"/>
    <x v="1"/>
    <s v="CPY noted at outside fab shop #2 that scaffolders were walking from inside fab shop #2 to outside area with no safety glasses on. _x000a_Even though at today’s TBT this was related to wearing mandatory PPE requirements."/>
    <x v="2"/>
    <s v="CPY proceeded to intervene and asked PTJ scaffolders their reason for not wearing correct PPE (safety glasses) while walking in a hazards area.    _x000a_CPY requested both scaffolders to use and requested a near by PTJ HSE Advisor to explain and ensure correct compliance.  "/>
    <s v="TFMC to ensure that everyone intervenes and help/support to keep everyone safe/ "/>
    <m/>
    <m/>
    <m/>
    <m/>
    <x v="0"/>
    <m/>
  </r>
  <r>
    <n v="1791"/>
    <x v="233"/>
    <s v="Phil Remnant"/>
    <x v="1"/>
    <s v="QC"/>
    <x v="2"/>
    <x v="6"/>
    <x v="2"/>
    <s v="CPY noted during a yard walkaround that within the blasting and coating area there were coating applications ongoing with several PTJ workers _x000a_Positive observation was the correct donning/wearing of applicable PPE such as correct type of breathing masks, gloves, glasses or over glasses  "/>
    <x v="5"/>
    <s v="CPY request TFMC and PTJ HSE to keep up the correct level of innervations in relation to wearing of correct type of PPE for tasks in hand."/>
    <m/>
    <m/>
    <m/>
    <m/>
    <m/>
    <x v="1"/>
    <m/>
  </r>
  <r>
    <n v="1792"/>
    <x v="233"/>
    <s v="Phil Remnant"/>
    <x v="1"/>
    <s v="QC"/>
    <x v="0"/>
    <x v="6"/>
    <x v="1"/>
    <s v="CPY noted loose boards with scaffold flooring arrangements with PLET 323-M. _x000a_During walkaround on board these boards lifting to unsafe condition with potential risk of tripping/falling. "/>
    <x v="2"/>
    <s v="TFMC to ensure PTJ scaffolding supervisor is informed and implemented a full scaffolding inspection prior to scafftag(s) being signed off as good condition. "/>
    <m/>
    <m/>
    <m/>
    <m/>
    <m/>
    <x v="0"/>
    <m/>
  </r>
  <r>
    <n v="1793"/>
    <x v="233"/>
    <s v="Mahmoud Samir"/>
    <x v="2"/>
    <s v="HSE"/>
    <x v="3"/>
    <x v="0"/>
    <x v="5"/>
    <s v="Observed that Welder under roll guide has been assigned a watcher to observe the welder to monitor the safety of the welder."/>
    <x v="5"/>
    <m/>
    <m/>
    <m/>
    <m/>
    <m/>
    <m/>
    <x v="1"/>
    <m/>
  </r>
  <r>
    <n v="1794"/>
    <x v="233"/>
    <s v="Mahmoud Elshahat"/>
    <x v="2"/>
    <s v="HSE"/>
    <x v="1"/>
    <x v="18"/>
    <x v="1"/>
    <s v="Observed some workers working on an uninspected- incomplete scaffold."/>
    <x v="1"/>
    <s v="Suspended the Activity _x000a_Gave an on-spot coaching for the workers on the dangers of working on an inspected platform._x000a_advised area supervisor to ensure platform is safe and inspect it if needed to be used."/>
    <m/>
    <m/>
    <m/>
    <m/>
    <m/>
    <x v="0"/>
    <m/>
  </r>
  <r>
    <n v="1795"/>
    <x v="234"/>
    <s v="Mahmoud Samir"/>
    <x v="2"/>
    <s v="HSE"/>
    <x v="1"/>
    <x v="0"/>
    <x v="16"/>
    <s v="Observed worker smoking in workshop"/>
    <x v="1"/>
    <s v="Advised area supervisor to take action against worker"/>
    <m/>
    <m/>
    <m/>
    <m/>
    <m/>
    <x v="0"/>
    <m/>
  </r>
  <r>
    <n v="1796"/>
    <x v="232"/>
    <s v="Mahmoud Elshahat"/>
    <x v="2"/>
    <s v="HSE"/>
    <x v="0"/>
    <x v="6"/>
    <x v="0"/>
    <s v="Observed electric panel with no inspection cards and some outlets that have broken covers on them."/>
    <x v="1"/>
    <s v="Reported the panel to the maintenance team to sort out the issue and inspect the panel so that it can be authorized to be used "/>
    <s v="Ensure electric panels to be inspected before usage at all times."/>
    <m/>
    <m/>
    <m/>
    <m/>
    <x v="0"/>
    <m/>
  </r>
  <r>
    <n v="1797"/>
    <x v="232"/>
    <s v="Mahmoud Samir"/>
    <x v="2"/>
    <s v="HSE"/>
    <x v="0"/>
    <x v="2"/>
    <x v="0"/>
    <s v="Observed that electric panel cables are not isolated and arranged properly."/>
    <x v="1"/>
    <s v="Advised electric supervisor to arrange and isolate the cables, then put inspection tag so that it will be used."/>
    <m/>
    <m/>
    <m/>
    <m/>
    <m/>
    <x v="0"/>
    <m/>
  </r>
  <r>
    <n v="1798"/>
    <x v="231"/>
    <s v="Mahmoud Elshahat"/>
    <x v="2"/>
    <s v="HSE"/>
    <x v="0"/>
    <x v="9"/>
    <x v="5"/>
    <s v="Observed that CGC is not segregated adequately. And has been secured with ropes."/>
    <x v="1"/>
    <s v="Advised the area supervisor to segregate the CGC adequately and use chains to secure CGC in place"/>
    <m/>
    <m/>
    <m/>
    <m/>
    <m/>
    <x v="0"/>
    <m/>
  </r>
  <r>
    <n v="1799"/>
    <x v="231"/>
    <s v="Mahmoud Samir"/>
    <x v="2"/>
    <s v="HSE"/>
    <x v="0"/>
    <x v="0"/>
    <x v="0"/>
    <s v="Observed that electric panel grounding plate is been painted which may not ground the electricity properly."/>
    <x v="1"/>
    <s v="Advised electric supervisor to arrange and remove the paint coat from the grounding plate then put inspection tag so that it will be used."/>
    <m/>
    <m/>
    <m/>
    <m/>
    <m/>
    <x v="0"/>
    <m/>
  </r>
  <r>
    <n v="1800"/>
    <x v="235"/>
    <s v="Mahmoud Elshahat"/>
    <x v="2"/>
    <s v="HSE"/>
    <x v="0"/>
    <x v="6"/>
    <x v="3"/>
    <s v="Observed that in the area that the blasting hoses are not managed properly which may lead to slip and trip hazard."/>
    <x v="1"/>
    <s v="Advised area supervisor to ensure that the hoses are managed at all times and the access is left clear"/>
    <m/>
    <m/>
    <m/>
    <m/>
    <m/>
    <x v="0"/>
    <m/>
  </r>
  <r>
    <n v="1801"/>
    <x v="236"/>
    <s v="Mahmoud Nasr"/>
    <x v="2"/>
    <s v="HSE"/>
    <x v="0"/>
    <x v="7"/>
    <x v="3"/>
    <s v="I have observed cylinder closed the accessway.  "/>
    <x v="1"/>
    <s v="Inform HSE PTJ to take action. "/>
    <m/>
    <m/>
    <m/>
    <m/>
    <m/>
    <x v="0"/>
    <m/>
  </r>
  <r>
    <n v="1802"/>
    <x v="232"/>
    <s v="Mahmoud Nasr"/>
    <x v="2"/>
    <s v="HSE"/>
    <x v="0"/>
    <x v="1"/>
    <x v="7"/>
    <s v="I have observed Screw clamp found in a non-designated area. "/>
    <x v="1"/>
    <s v="Inform HSE PTJ to take action. "/>
    <m/>
    <m/>
    <m/>
    <m/>
    <m/>
    <x v="0"/>
    <m/>
  </r>
  <r>
    <n v="1803"/>
    <x v="231"/>
    <s v="Mahmoud Nasr"/>
    <x v="2"/>
    <s v="HSE"/>
    <x v="0"/>
    <x v="1"/>
    <x v="3"/>
    <s v="I have observed Scaffolding material and metal sheet found stored near the _x000a_active work area "/>
    <x v="1"/>
    <s v="Inform HSE PTJ to take action. "/>
    <m/>
    <m/>
    <m/>
    <m/>
    <m/>
    <x v="0"/>
    <m/>
  </r>
  <r>
    <n v="1804"/>
    <x v="233"/>
    <s v="Mahmoud Nasr"/>
    <x v="2"/>
    <s v="HSE"/>
    <x v="0"/>
    <x v="7"/>
    <x v="3"/>
    <s v="I have observed poor cable management. "/>
    <x v="1"/>
    <s v="Inform HSE PTJ to take action. "/>
    <m/>
    <m/>
    <m/>
    <m/>
    <m/>
    <x v="0"/>
    <m/>
  </r>
  <r>
    <n v="1805"/>
    <x v="235"/>
    <s v="Mahmoud Nasr"/>
    <x v="2"/>
    <s v="HSE"/>
    <x v="0"/>
    <x v="4"/>
    <x v="3"/>
    <s v="I have observed Access way is blocked or not properly maintained. "/>
    <x v="1"/>
    <s v="Inform HSE PTJ to take action. "/>
    <m/>
    <m/>
    <m/>
    <m/>
    <m/>
    <x v="0"/>
    <m/>
  </r>
  <r>
    <n v="1806"/>
    <x v="234"/>
    <s v="Mahmoud Nasr"/>
    <x v="2"/>
    <s v="HSE"/>
    <x v="0"/>
    <x v="4"/>
    <x v="2"/>
    <s v="Grinder operator observed not wearing gloves and face shield. "/>
    <x v="1"/>
    <s v="Inform HSE PTJ to take action. "/>
    <m/>
    <m/>
    <m/>
    <m/>
    <m/>
    <x v="0"/>
    <m/>
  </r>
  <r>
    <n v="1807"/>
    <x v="237"/>
    <s v="Mohamed El Sawah "/>
    <x v="1"/>
    <s v="QC"/>
    <x v="0"/>
    <x v="6"/>
    <x v="3"/>
    <s v="While witnessing UT inspection in the blasting and painting area #A, CPY _x000a_noticed a large piece of metal with a very sharp edge left in the middle of the _x000a_mudmat, that could hurt or cause injury to any person passing by it.  "/>
    <x v="2"/>
    <s v="I Informed PTJ site safety officer and he took the corrective action by stopping the work util the fitters came and remove the left steal plate and put it in it’s normal place. "/>
    <m/>
    <m/>
    <m/>
    <m/>
    <m/>
    <x v="0"/>
    <m/>
  </r>
  <r>
    <n v="1808"/>
    <x v="238"/>
    <s v="Mohamed El Sawah "/>
    <x v="1"/>
    <s v="QC"/>
    <x v="0"/>
    <x v="0"/>
    <x v="1"/>
    <s v="While site inspection in WK#1, CPY noticed a scaffolding with a not fit for work _x000a_tag, while the ladder itself still in it’s place and there aren’t any tag lines to close _x000a_the entrance.  "/>
    <x v="2"/>
    <s v="I Informed TFMC site safety officer and he took directly the corrective action, contacted PTJ safety officer to put a tag line to close the scaffolding entrance. "/>
    <m/>
    <m/>
    <m/>
    <m/>
    <m/>
    <x v="0"/>
    <m/>
  </r>
  <r>
    <n v="1809"/>
    <x v="238"/>
    <s v="Mohamed El Sawah "/>
    <x v="1"/>
    <s v="QC"/>
    <x v="0"/>
    <x v="2"/>
    <x v="7"/>
    <s v="While site inspection in WK#2, CPY noticed a broken metal shield with sharp _x000a_edges which could really cause injuries to any of the workers while working or _x000a_transferring it.  "/>
    <x v="2"/>
    <s v="I Informed PTJ site safety officer and he eliminated the metal shield out of service and contacted the responsible team to fix it."/>
    <m/>
    <m/>
    <m/>
    <m/>
    <m/>
    <x v="0"/>
    <m/>
  </r>
  <r>
    <n v="1810"/>
    <x v="239"/>
    <s v="Reda Zaghloul"/>
    <x v="1"/>
    <s v="QC"/>
    <x v="0"/>
    <x v="2"/>
    <x v="3"/>
    <s v="The housekeeping in the piping fabrication area of Workshop 2 is observed to be _x000a_in good condition, with the area appearing clean, well-organized, and tidy. "/>
    <x v="2"/>
    <s v="Organic solvents used for cleaning pipe bevels were improperly stored in non-dedicated containers, as it was stored in drinking water bottle, posing potential safety hazards. "/>
    <s v="CPY highlighted the issue to PTJ/TFMC area safety officer who took immediate _x000a_action by removing it from site. "/>
    <m/>
    <m/>
    <m/>
    <m/>
    <x v="0"/>
    <m/>
  </r>
  <r>
    <n v="1811"/>
    <x v="234"/>
    <s v="Malcolm Garrington"/>
    <x v="1"/>
    <s v="Project Manager"/>
    <x v="0"/>
    <x v="5"/>
    <x v="7"/>
    <s v="CPY noted several sharp edges from cutting on the scaffold tubulars have been left in dangerous conditions. _x000a_Risk to personnel being cut personnel should not be wearing their gloves. "/>
    <x v="2"/>
    <s v=" TFMC to ensure that that PTJ act accordingly and remove dangerous scaffolding tubulars and replace them with safe ones"/>
    <m/>
    <m/>
    <m/>
    <m/>
    <m/>
    <x v="0"/>
    <m/>
  </r>
  <r>
    <n v="1812"/>
    <x v="240"/>
    <s v="Malcolm Garrington"/>
    <x v="1"/>
    <s v="Project Manager"/>
    <x v="0"/>
    <x v="6"/>
    <x v="3"/>
    <s v="CPY noted that a mudmat structure had been lifted away from coating area several days and no housekeeping was conducted for overspill of blasting medium. _x000a_PTJ proceeded to lift and place a subsequent structure without good housekeeping being applied. "/>
    <x v="2"/>
    <s v=" TFMC to HSE to ensure that PTJ conduct regular housekeeping operations to minimize the area and remove used blasting garnet from building up."/>
    <m/>
    <m/>
    <m/>
    <m/>
    <m/>
    <x v="0"/>
    <m/>
  </r>
  <r>
    <n v="1813"/>
    <x v="240"/>
    <s v="Malcolm Garrington"/>
    <x v="1"/>
    <s v="Project Manager"/>
    <x v="0"/>
    <x v="8"/>
    <x v="8"/>
    <s v="CPY noted that a sub-element structure was being lifted (limited height) on CPY observations the PTJ rigging crew did not use any tag lines and were guiding with their hands. _x000a_Additionally, there was a PTJ worker in close proximity due to in adequate barriers being placed as SEZ zone. "/>
    <x v="2"/>
    <s v=" CPY intervened and corrected the negative observations with explanations on correct lifting applications.  Followed up with a discussion with PTJ HSE advisor. "/>
    <s v="TFMC to PTJ HSE personnel support and assist PTJ rigging crew on ways how to conduct a safe lift without placing themselves in harm’s way. "/>
    <m/>
    <m/>
    <m/>
    <m/>
    <x v="0"/>
    <m/>
  </r>
  <r>
    <n v="1814"/>
    <x v="240"/>
    <s v="Malcolm Garrington"/>
    <x v="1"/>
    <s v="Project Manager"/>
    <x v="1"/>
    <x v="6"/>
    <x v="4"/>
    <s v="CPY noted that lifting operations ongoing on a project mudmat base frame weighing circa 25mT and classed as a “critical lift”  _x000a_Several PTJ personnel being in the line fire or extremely close to crane lifting operations.  CPY raised concerns with TFMC HSE Lead to query why non-essential personnel were so close to the lifting operations. CPY then challenged, with _x000a_TFMC HSE continuing to take no action or discussion with PTJ HSE during the lower of the structure. "/>
    <x v="2"/>
    <s v=" CPY intervened by going through the SEZ barrier to have a better angle of the circumstances and PTJ personnel standing positions.  CPY Fabrication Manager assessed the situation and was ready to announce a full Safety Stop Authorization being implemented.   "/>
    <s v="TFMC and PTJ HSE personnel must intervene when seeing a non-safe condition. _x000a_However, based on TFMC HSE Manager response TFMC did not see any issue with current and multiple personnel within the SEZ. "/>
    <m/>
    <m/>
    <m/>
    <m/>
    <x v="0"/>
    <m/>
  </r>
  <r>
    <n v="1815"/>
    <x v="240"/>
    <s v="Malcolm Garrington"/>
    <x v="1"/>
    <s v="Project Manager"/>
    <x v="0"/>
    <x v="6"/>
    <x v="8"/>
    <s v="CPY noted that lifting operations ongoing on a project mudmat base frame weighing circa 25mT and classed as a “critical lift”  _x000a_PTJ had two (2) personnel with yellow high-vis jackets while PTJ rigging supervisor was giving instructions to grain drivers. _x000a_PTJ Lifting procedure was not adhered to and therefore a violation"/>
    <x v="2"/>
    <s v=" CPY questioned all TFMC and PTJ HSE and management as to why no one intervened and questioned the rationale as to why. A debriefing TBT was arranged to discuss CPY observations.  TFMC HSE shared CPY observations to PTJ "/>
    <s v="TFMC and PTJ HSE personnel must intervene when seeing a non-safe condition."/>
    <m/>
    <m/>
    <m/>
    <m/>
    <x v="0"/>
    <m/>
  </r>
  <r>
    <n v="1816"/>
    <x v="241"/>
    <s v="Mahmoud Elshahat"/>
    <x v="2"/>
    <s v="HSE"/>
    <x v="2"/>
    <x v="3"/>
    <x v="8"/>
    <s v="Observed that the lifting activity had adequate barricading around the lifting area."/>
    <x v="5"/>
    <m/>
    <m/>
    <m/>
    <m/>
    <m/>
    <m/>
    <x v="1"/>
    <m/>
  </r>
  <r>
    <n v="1817"/>
    <x v="238"/>
    <s v="Mahmoud Samir"/>
    <x v="2"/>
    <s v="HSE"/>
    <x v="2"/>
    <x v="2"/>
    <x v="0"/>
    <s v="Observed that cable ramps have been implemented and used at workshop 1&amp;2"/>
    <x v="5"/>
    <s v="Appreciated the work done and advised that this safe condition should be implemented throughout the whole site."/>
    <m/>
    <m/>
    <m/>
    <m/>
    <m/>
    <x v="1"/>
    <m/>
  </r>
  <r>
    <n v="1818"/>
    <x v="242"/>
    <s v="Mahmoud Elshahat"/>
    <x v="2"/>
    <s v="HSE"/>
    <x v="1"/>
    <x v="6"/>
    <x v="6"/>
    <s v="Worker has tied the deadman switch for the sandblasting trigger bypassing the safety control."/>
    <x v="1"/>
    <s v="Suspended the activity instantly_x000a_Advised the worker to remove the rope from the trigger and not tamper with the trigger.."/>
    <m/>
    <m/>
    <m/>
    <m/>
    <m/>
    <x v="0"/>
    <m/>
  </r>
  <r>
    <n v="1819"/>
    <x v="243"/>
    <s v="Mahmoud Elshahat"/>
    <x v="2"/>
    <s v="HSE"/>
    <x v="1"/>
    <x v="18"/>
    <x v="8"/>
    <s v="Observed that the lifting activity preformed had in adequate and not safe rigging."/>
    <x v="1"/>
    <s v="Advised that the load to be grounded _x000a_and use adequate and safe lifting methods."/>
    <m/>
    <m/>
    <m/>
    <m/>
    <m/>
    <x v="0"/>
    <m/>
  </r>
  <r>
    <n v="1820"/>
    <x v="241"/>
    <s v="Mahmoud Samir"/>
    <x v="2"/>
    <s v="HSE"/>
    <x v="1"/>
    <x v="2"/>
    <x v="8"/>
    <s v="Observed that the rigging team were using inadequate rigging and lifting methods to move the hubs out of the crates to the work area."/>
    <x v="1"/>
    <s v="Safely Suspended the activity _x000a_Advised the lifting supervisor to follow the safe and adequate measures for lifting and prevent shortcuts "/>
    <m/>
    <m/>
    <m/>
    <m/>
    <m/>
    <x v="0"/>
    <m/>
  </r>
  <r>
    <n v="1821"/>
    <x v="243"/>
    <s v="Mahmoud Samir"/>
    <x v="2"/>
    <s v="HSE"/>
    <x v="1"/>
    <x v="2"/>
    <x v="2"/>
    <s v="Observed that grinder was using poka dot gloves for grinding activities."/>
    <x v="1"/>
    <s v="Safely Suspended the activity _x000a_Advised the grinder to use dedicated PPE for the Job and informed the supervisor with the violation."/>
    <m/>
    <m/>
    <m/>
    <m/>
    <m/>
    <x v="0"/>
    <m/>
  </r>
  <r>
    <n v="1822"/>
    <x v="238"/>
    <s v="Mahmoud Samir"/>
    <x v="2"/>
    <s v="HSE"/>
    <x v="1"/>
    <x v="2"/>
    <x v="10"/>
    <s v="Observed that worker was doing touch up paint job in the workshop without any valid permit."/>
    <x v="1"/>
    <s v="Safely Suspended the activity _x000a_Advised the area supervisor no minor activities to be done with out any permit."/>
    <m/>
    <m/>
    <m/>
    <m/>
    <m/>
    <x v="0"/>
    <m/>
  </r>
  <r>
    <n v="1823"/>
    <x v="240"/>
    <s v="Mahmoud Elshahat"/>
    <x v="2"/>
    <s v="HSE"/>
    <x v="0"/>
    <x v="6"/>
    <x v="18"/>
    <s v="Observed that the air hose has a puncture and was leaking air during the blasting activity."/>
    <x v="1"/>
    <s v="Suspended work with the compressor _x000a_Advised that maintenance team to fix / replace the punctured hose and inspect the compressor before starting any work."/>
    <m/>
    <m/>
    <m/>
    <m/>
    <m/>
    <x v="0"/>
    <m/>
  </r>
  <r>
    <n v="1824"/>
    <x v="241"/>
    <s v="Mahmoud Elshahat"/>
    <x v="2"/>
    <s v="HSE"/>
    <x v="0"/>
    <x v="9"/>
    <x v="2"/>
    <s v="Observed that the worker was heating up material without using adequate PPE"/>
    <x v="1"/>
    <s v="Suspended the activity _x000a_advised the worker to use adequate PPE for the Job"/>
    <m/>
    <m/>
    <m/>
    <m/>
    <m/>
    <x v="0"/>
    <m/>
  </r>
  <r>
    <n v="1825"/>
    <x v="242"/>
    <s v="Mahmoud Samir"/>
    <x v="2"/>
    <s v="HSE"/>
    <x v="0"/>
    <x v="0"/>
    <x v="3"/>
    <s v="Observed that there is poor housekeeping on the structure_x000a_Combustible material on the frame that has hotwork activities"/>
    <x v="1"/>
    <s v="Advised area supervisor that regular housekeeping should be maintained to prevent any fire hazards during hotwork"/>
    <m/>
    <m/>
    <m/>
    <m/>
    <m/>
    <x v="0"/>
    <m/>
  </r>
  <r>
    <n v="1826"/>
    <x v="237"/>
    <s v="Mahmoud Nasr"/>
    <x v="2"/>
    <s v="HSE"/>
    <x v="0"/>
    <x v="7"/>
    <x v="1"/>
    <s v="Observed scaffolding erected without a midrail, posing a potential fall hazard "/>
    <x v="1"/>
    <s v="Inform HSE PTJ to take action. "/>
    <m/>
    <m/>
    <m/>
    <m/>
    <m/>
    <x v="0"/>
    <m/>
  </r>
  <r>
    <n v="1827"/>
    <x v="242"/>
    <s v="Mahmoud Nasr"/>
    <x v="2"/>
    <s v="HSE"/>
    <x v="0"/>
    <x v="7"/>
    <x v="3"/>
    <s v="I have Observed poor cable management.  "/>
    <x v="1"/>
    <s v="Inform HSE PTJ to take action. "/>
    <m/>
    <m/>
    <m/>
    <m/>
    <m/>
    <x v="0"/>
    <m/>
  </r>
  <r>
    <n v="1828"/>
    <x v="240"/>
    <s v="Mahmoud Nasr"/>
    <x v="2"/>
    <s v="HSE"/>
    <x v="0"/>
    <x v="7"/>
    <x v="5"/>
    <s v="I have Observed damage on cylinder, indicating potential safety and operational _x000a_risk. \"/>
    <x v="1"/>
    <s v="Inform HSE PTJ to take action."/>
    <m/>
    <m/>
    <m/>
    <m/>
    <m/>
    <x v="0"/>
    <m/>
  </r>
  <r>
    <n v="1829"/>
    <x v="238"/>
    <s v="Mahmoud Nasr"/>
    <x v="2"/>
    <s v="HSE"/>
    <x v="0"/>
    <x v="7"/>
    <x v="8"/>
    <s v="I have Observed unsafe lifting operation performed in a manner not in _x000a_accordance with standard lifting practices. "/>
    <x v="1"/>
    <s v="Inform HSE PTJ to take action."/>
    <m/>
    <m/>
    <m/>
    <m/>
    <m/>
    <x v="0"/>
    <m/>
  </r>
  <r>
    <n v="1830"/>
    <x v="243"/>
    <s v="Mahmoud Nasr"/>
    <x v="2"/>
    <s v="HSE"/>
    <x v="0"/>
    <x v="4"/>
    <x v="7"/>
    <s v="I have observed that the entrance to the workshop is very narrow, limiting _x000a_access. The accessway is further obstructed by scaffolding, which should have _x000a_been removed beforehand. This obstruction must be addressed immediately to _x000a_allow safe and efficient entry and exit. "/>
    <x v="1"/>
    <s v="Inform HSE PTJ to take action. "/>
    <m/>
    <m/>
    <m/>
    <m/>
    <m/>
    <x v="0"/>
    <m/>
  </r>
  <r>
    <n v="1831"/>
    <x v="217"/>
    <s v="Mostafa Abdelgany"/>
    <x v="0"/>
    <s v="HSE"/>
    <x v="0"/>
    <x v="7"/>
    <x v="5"/>
    <s v="observed a propane gas cylinder near by the welding area"/>
    <x v="0"/>
    <s v="instructed the sup to relocate the cylinder and he did"/>
    <m/>
    <m/>
    <m/>
    <m/>
    <m/>
    <x v="0"/>
    <m/>
  </r>
  <r>
    <n v="1832"/>
    <x v="220"/>
    <s v="Abdelfatah mohamed"/>
    <x v="0"/>
    <s v="HSE"/>
    <x v="0"/>
    <x v="9"/>
    <x v="1"/>
    <s v="Some scaffold plates on scaffold need to be propely installed and fixed "/>
    <x v="0"/>
    <s v="Scaffolders installed and fixed the wooden plates "/>
    <m/>
    <m/>
    <m/>
    <m/>
    <m/>
    <x v="0"/>
    <m/>
  </r>
  <r>
    <n v="1833"/>
    <x v="221"/>
    <s v="Ahmed Sobhy "/>
    <x v="0"/>
    <s v="HSE"/>
    <x v="0"/>
    <x v="3"/>
    <x v="1"/>
    <s v="Observed an incomplete scaffold with no limitation to its access."/>
    <x v="0"/>
    <s v="Warning tape was added to prevent workers from going up."/>
    <m/>
    <m/>
    <m/>
    <m/>
    <m/>
    <x v="0"/>
    <m/>
  </r>
  <r>
    <n v="1834"/>
    <x v="221"/>
    <s v="Mohamed Abdallah"/>
    <x v="0"/>
    <s v="HSE"/>
    <x v="0"/>
    <x v="17"/>
    <x v="4"/>
    <s v="observed that one of welding cable in improper position above the scaffold causing workers tripping "/>
    <x v="0"/>
    <s v="spoke to supervisor to adjust the cables"/>
    <m/>
    <m/>
    <m/>
    <m/>
    <m/>
    <x v="0"/>
    <m/>
  </r>
  <r>
    <n v="1835"/>
    <x v="222"/>
    <s v="Ibrahim Hamed"/>
    <x v="0"/>
    <s v="HSE"/>
    <x v="0"/>
    <x v="1"/>
    <x v="7"/>
    <s v="Found some tools scattered on the scaffold at the  whch create tripping /dropped Objects  hazards."/>
    <x v="0"/>
    <s v="Removed the tools form the area and performed housekeeping to the area."/>
    <m/>
    <m/>
    <m/>
    <m/>
    <m/>
    <x v="0"/>
    <m/>
  </r>
  <r>
    <n v="1836"/>
    <x v="224"/>
    <s v="Mohamed Galal"/>
    <x v="0"/>
    <s v="Rigging Sup"/>
    <x v="0"/>
    <x v="5"/>
    <x v="3"/>
    <s v="Poor housekeeping underneath the structure."/>
    <x v="3"/>
    <s v="Stopped the welders and asked all to clean the area.  Housekeeping done"/>
    <m/>
    <m/>
    <m/>
    <m/>
    <m/>
    <x v="0"/>
    <m/>
  </r>
  <r>
    <n v="1837"/>
    <x v="225"/>
    <s v="Kareem Ehab"/>
    <x v="0"/>
    <s v="Welding Sup"/>
    <x v="0"/>
    <x v="17"/>
    <x v="3"/>
    <s v="Observed that some waste container is full, and it needs to be empty. "/>
    <x v="0"/>
    <s v="Informed Scaffold Sup to complete the hard barricade and action took place. "/>
    <m/>
    <m/>
    <m/>
    <m/>
    <m/>
    <x v="0"/>
    <m/>
  </r>
  <r>
    <n v="1838"/>
    <x v="217"/>
    <s v="Ahmed Abdelrady"/>
    <x v="0"/>
    <s v="HSE"/>
    <x v="0"/>
    <x v="3"/>
    <x v="3"/>
    <s v="Observed scattered welding electrodes residue on top of scaffolds and under piles  - trash bin placed in improper  place"/>
    <x v="0"/>
    <s v="Buckets were provided to welders to maintain good housekeeping -trash bin relocated immediately"/>
    <m/>
    <m/>
    <m/>
    <m/>
    <m/>
    <x v="0"/>
    <m/>
  </r>
  <r>
    <n v="1839"/>
    <x v="220"/>
    <s v="Mostafa Abdelgany"/>
    <x v="0"/>
    <s v="HSE"/>
    <x v="0"/>
    <x v="7"/>
    <x v="7"/>
    <s v="cables need to arrangement "/>
    <x v="0"/>
    <s v="Ask the welding sup to arrangement the cables and he do it immediately "/>
    <m/>
    <m/>
    <m/>
    <m/>
    <m/>
    <x v="0"/>
    <m/>
  </r>
  <r>
    <n v="1840"/>
    <x v="221"/>
    <s v="Abdelfatah mohamed"/>
    <x v="0"/>
    <s v="HSE"/>
    <x v="0"/>
    <x v="9"/>
    <x v="7"/>
    <s v="scaffold material in the access "/>
    <x v="0"/>
    <s v="ask the scaffolding sup to clean the access "/>
    <m/>
    <m/>
    <m/>
    <m/>
    <m/>
    <x v="0"/>
    <m/>
  </r>
  <r>
    <n v="1841"/>
    <x v="221"/>
    <s v="Ahmed Abdelrady"/>
    <x v="0"/>
    <s v="HSE "/>
    <x v="2"/>
    <x v="3"/>
    <x v="8"/>
    <s v="good control for the load during lifting operation, good use of tag lines by the riggers . Banks man with high visible vest"/>
    <x v="5"/>
    <s v="Appreciated the good work"/>
    <m/>
    <m/>
    <m/>
    <m/>
    <m/>
    <x v="1"/>
    <m/>
  </r>
  <r>
    <n v="1842"/>
    <x v="222"/>
    <s v="Mohamed Ahmed"/>
    <x v="0"/>
    <s v="HSE"/>
    <x v="3"/>
    <x v="17"/>
    <x v="2"/>
    <s v="Good commitment from the work force with the site required PPE especially from the grinders "/>
    <x v="5"/>
    <s v="Appreciate the good work"/>
    <m/>
    <m/>
    <m/>
    <m/>
    <m/>
    <x v="1"/>
    <m/>
  </r>
  <r>
    <n v="1843"/>
    <x v="224"/>
    <s v="Abdelfatah mohamed"/>
    <x v="0"/>
    <s v="HSE"/>
    <x v="3"/>
    <x v="11"/>
    <x v="2"/>
    <s v="All workers Commit with the site required PPE"/>
    <x v="5"/>
    <s v="Appreciate the good job."/>
    <m/>
    <m/>
    <m/>
    <m/>
    <m/>
    <x v="1"/>
    <m/>
  </r>
  <r>
    <n v="1844"/>
    <x v="225"/>
    <s v="Ahmed Sobhy "/>
    <x v="0"/>
    <s v="HSE"/>
    <x v="2"/>
    <x v="17"/>
    <x v="18"/>
    <s v="Fire extinguishers in good condition, inspected and covered inside the dedicated box "/>
    <x v="5"/>
    <s v="Fire extinguishers in good condition, inspected and covered inside the dedicated box "/>
    <m/>
    <m/>
    <m/>
    <m/>
    <m/>
    <x v="1"/>
    <m/>
  </r>
  <r>
    <n v="1845"/>
    <x v="226"/>
    <s v="Mohamed Ahmed"/>
    <x v="0"/>
    <s v="Fitter"/>
    <x v="1"/>
    <x v="17"/>
    <x v="2"/>
    <s v="One of worker was observed working without gloves"/>
    <x v="3"/>
    <s v="stopped the worker and asked him to wear the gloves "/>
    <m/>
    <m/>
    <m/>
    <m/>
    <m/>
    <x v="0"/>
    <m/>
  </r>
  <r>
    <n v="1846"/>
    <x v="220"/>
    <s v="Abdelfatah mohamed"/>
    <x v="0"/>
    <s v="HSE"/>
    <x v="1"/>
    <x v="9"/>
    <x v="2"/>
    <s v="observed grinder was working without ear plugs "/>
    <x v="3"/>
    <s v="stopped him to wear ear plug "/>
    <m/>
    <m/>
    <m/>
    <m/>
    <m/>
    <x v="0"/>
    <m/>
  </r>
  <r>
    <n v="1847"/>
    <x v="226"/>
    <s v="Ahmed Sobhy "/>
    <x v="0"/>
    <s v="HSE"/>
    <x v="0"/>
    <x v="1"/>
    <x v="3"/>
    <s v="observed  welding rods on scaffold platform"/>
    <x v="0"/>
    <s v="housekeeping was done "/>
    <m/>
    <m/>
    <m/>
    <m/>
    <m/>
    <x v="0"/>
    <m/>
  </r>
  <r>
    <n v="1848"/>
    <x v="227"/>
    <s v="Mohamed Abdallah"/>
    <x v="0"/>
    <s v="HSE"/>
    <x v="0"/>
    <x v="7"/>
    <x v="7"/>
    <s v="sharp edges need to  be cut "/>
    <x v="0"/>
    <s v="Some of sharp edges were cut and residual protected by traffic cones to avoid contact with sharp edges"/>
    <m/>
    <m/>
    <m/>
    <m/>
    <m/>
    <x v="0"/>
    <m/>
  </r>
  <r>
    <n v="1849"/>
    <x v="228"/>
    <s v="Ibrahim Hamed"/>
    <x v="0"/>
    <s v="HSE"/>
    <x v="0"/>
    <x v="9"/>
    <x v="8"/>
    <s v="Observed a weebing sling not color coded "/>
    <x v="0"/>
    <s v="Informed rigging sup to reinspect the weebing sling and put the color code , "/>
    <m/>
    <m/>
    <m/>
    <m/>
    <m/>
    <x v="0"/>
    <m/>
  </r>
  <r>
    <n v="1850"/>
    <x v="228"/>
    <s v="Mohamed Galal"/>
    <x v="0"/>
    <s v="Rigging Sup"/>
    <x v="0"/>
    <x v="3"/>
    <x v="3"/>
    <s v="Scarp need to be removed for safe access way causing tripping hazard "/>
    <x v="0"/>
    <s v="Instructed riggers to remove scrap , immediatley scarp was removed "/>
    <m/>
    <m/>
    <m/>
    <m/>
    <m/>
    <x v="0"/>
    <m/>
  </r>
  <r>
    <n v="1851"/>
    <x v="236"/>
    <s v="Mohamed Abdallah"/>
    <x v="0"/>
    <s v="HSE"/>
    <x v="0"/>
    <x v="17"/>
    <x v="1"/>
    <s v="some cables are in the access ot  scaffold ladder "/>
    <x v="0"/>
    <s v="Cable management was done and the access to scaffold ladder was clear"/>
    <m/>
    <m/>
    <m/>
    <m/>
    <m/>
    <x v="0"/>
    <m/>
  </r>
  <r>
    <n v="1852"/>
    <x v="232"/>
    <s v="Ahmed Abdelrady"/>
    <x v="0"/>
    <s v="HSE"/>
    <x v="0"/>
    <x v="1"/>
    <x v="8"/>
    <s v="one of shakles without color code and another one without serial number "/>
    <x v="0"/>
    <s v="Sup was informed the color code was placed on shackle and the other was excluded and sent to quarantine box"/>
    <m/>
    <m/>
    <m/>
    <m/>
    <m/>
    <x v="0"/>
    <m/>
  </r>
  <r>
    <n v="1853"/>
    <x v="231"/>
    <s v="Mostafa Abdelgany"/>
    <x v="0"/>
    <s v="HSE"/>
    <x v="0"/>
    <x v="5"/>
    <x v="1"/>
    <s v="observed presence of a metal object in front of the scaffold's ladder inhibits movement"/>
    <x v="0"/>
    <s v="spoke to Sup to do re-arrangement of objects and clear access ways to the scaffolds "/>
    <m/>
    <m/>
    <m/>
    <m/>
    <m/>
    <x v="0"/>
    <m/>
  </r>
  <r>
    <n v="1854"/>
    <x v="226"/>
    <s v="Abdelfatah mohamed"/>
    <x v="0"/>
    <s v="HSE"/>
    <x v="0"/>
    <x v="17"/>
    <x v="1"/>
    <s v="Observed  a crane hook without colorcode."/>
    <x v="0"/>
    <s v="Asked the supervisor to put the required colorcode based on the hook condition and certificate."/>
    <m/>
    <m/>
    <m/>
    <m/>
    <m/>
    <x v="0"/>
    <m/>
  </r>
  <r>
    <n v="1855"/>
    <x v="227"/>
    <s v="Ahmed Sobhy "/>
    <x v="0"/>
    <s v="HSE"/>
    <x v="0"/>
    <x v="3"/>
    <x v="1"/>
    <s v="Electric cables were running through a scaffolding structure."/>
    <x v="0"/>
    <s v="Inform PTJ HSE Officer and he informed the welders to remove the cables away and carry out proper cable management ."/>
    <m/>
    <m/>
    <m/>
    <m/>
    <m/>
    <x v="0"/>
    <m/>
  </r>
  <r>
    <n v="1856"/>
    <x v="228"/>
    <s v="Mohamed Abdallah"/>
    <x v="0"/>
    <s v="HSE"/>
    <x v="0"/>
    <x v="7"/>
    <x v="3"/>
    <s v="some scrap Was found  on the ground causing some  tripping hazard "/>
    <x v="0"/>
    <s v="The supervisor was informed and removed immediately. "/>
    <m/>
    <m/>
    <m/>
    <m/>
    <m/>
    <x v="0"/>
    <m/>
  </r>
  <r>
    <n v="1857"/>
    <x v="228"/>
    <s v="Mohamed Galal"/>
    <x v="0"/>
    <s v="Rigging Sup"/>
    <x v="0"/>
    <x v="9"/>
    <x v="3"/>
    <s v="Observed some welding electrodes thrown on the ground."/>
    <x v="0"/>
    <s v="Issue was highlighted on Tuesday TBT."/>
    <m/>
    <m/>
    <m/>
    <m/>
    <m/>
    <x v="0"/>
    <m/>
  </r>
  <r>
    <n v="1858"/>
    <x v="236"/>
    <s v="Mohamed Abdallah"/>
    <x v="0"/>
    <s v="HSE "/>
    <x v="2"/>
    <x v="1"/>
    <x v="5"/>
    <s v="Observed that welding operation is carried out safely and full PPE and leather apron are inplace as required, "/>
    <x v="5"/>
    <s v="Thanked the welders and reinforced their  positive behaviors"/>
    <m/>
    <m/>
    <m/>
    <m/>
    <m/>
    <x v="1"/>
    <m/>
  </r>
  <r>
    <n v="1859"/>
    <x v="232"/>
    <s v="Mohamed Abdallah"/>
    <x v="0"/>
    <s v="HSE"/>
    <x v="3"/>
    <x v="5"/>
    <x v="2"/>
    <s v="All workers Commit with the site required PPE"/>
    <x v="5"/>
    <s v="Appreciate the good job."/>
    <m/>
    <m/>
    <m/>
    <m/>
    <m/>
    <x v="1"/>
    <m/>
  </r>
  <r>
    <n v="1860"/>
    <x v="231"/>
    <s v="Mohamed Abdallah"/>
    <x v="0"/>
    <s v="HSE"/>
    <x v="2"/>
    <x v="9"/>
    <x v="18"/>
    <s v="Fire extinguishers in good condition, inspected and covered inside the dedicated box "/>
    <x v="5"/>
    <s v="Fire extinguishers in good condition, inspected and covered inside the dedicated box "/>
    <m/>
    <m/>
    <m/>
    <m/>
    <m/>
    <x v="1"/>
    <m/>
  </r>
  <r>
    <n v="1861"/>
    <x v="232"/>
    <s v="Ahmed Sobhy "/>
    <x v="0"/>
    <s v="HSE"/>
    <x v="1"/>
    <x v="17"/>
    <x v="2"/>
    <s v="One worker wearing a damage safety shoes ."/>
    <x v="3"/>
    <s v="Stopped the worker and asked him to change the safety shoes by another one "/>
    <m/>
    <m/>
    <m/>
    <m/>
    <m/>
    <x v="0"/>
    <m/>
  </r>
  <r>
    <n v="1862"/>
    <x v="233"/>
    <s v="Ibrahim Hamed"/>
    <x v="0"/>
    <s v="HSE"/>
    <x v="0"/>
    <x v="1"/>
    <x v="22"/>
    <s v="Poor cable management may lead to trip hazard"/>
    <x v="0"/>
    <s v="cable management was done immediately"/>
    <m/>
    <m/>
    <m/>
    <m/>
    <m/>
    <x v="0"/>
    <m/>
  </r>
  <r>
    <n v="1863"/>
    <x v="235"/>
    <s v="Mohamed Abdallah"/>
    <x v="0"/>
    <s v="HSE"/>
    <x v="0"/>
    <x v="7"/>
    <x v="22"/>
    <s v="Cables need to arrangement "/>
    <x v="0"/>
    <s v="Tell the grinders sup to arrangement the cables "/>
    <m/>
    <m/>
    <m/>
    <m/>
    <m/>
    <x v="0"/>
    <m/>
  </r>
  <r>
    <n v="1864"/>
    <x v="234"/>
    <s v="Ahmed Abdelrady"/>
    <x v="0"/>
    <s v="HSE"/>
    <x v="0"/>
    <x v="9"/>
    <x v="3"/>
    <s v="observed that no scrab waste basket inside the site"/>
    <x v="0"/>
    <s v="supervisor has been notified and a basket has been provided"/>
    <m/>
    <m/>
    <m/>
    <m/>
    <m/>
    <x v="0"/>
    <m/>
  </r>
  <r>
    <n v="1865"/>
    <x v="234"/>
    <s v="Mostafa Abdelgany"/>
    <x v="0"/>
    <s v="HSE"/>
    <x v="0"/>
    <x v="3"/>
    <x v="3"/>
    <s v="observed improper housekeeping "/>
    <x v="0"/>
    <s v="housekeeping has been done "/>
    <m/>
    <m/>
    <m/>
    <m/>
    <m/>
    <x v="0"/>
    <m/>
  </r>
  <r>
    <n v="1866"/>
    <x v="237"/>
    <s v="Abdelfatah mohamed"/>
    <x v="0"/>
    <s v="HSE"/>
    <x v="0"/>
    <x v="17"/>
    <x v="22"/>
    <s v="One of the welding cable was observed extended without use"/>
    <x v="0"/>
    <s v="The welders have been notified and unused cables were concealed"/>
    <m/>
    <m/>
    <m/>
    <m/>
    <m/>
    <x v="0"/>
    <m/>
  </r>
  <r>
    <n v="1867"/>
    <x v="242"/>
    <s v="Ahmed Sobhy "/>
    <x v="0"/>
    <s v="HSE"/>
    <x v="0"/>
    <x v="1"/>
    <x v="22"/>
    <s v="It was observed that some work pieces stored wrongly at the fitters working _x000a_table"/>
    <x v="0"/>
    <s v="Spoke to fitters and they re-organized _x000a_the working table immediately"/>
    <m/>
    <m/>
    <m/>
    <m/>
    <m/>
    <x v="0"/>
    <m/>
  </r>
  <r>
    <n v="1868"/>
    <x v="240"/>
    <s v="Mohamed Abdallah"/>
    <x v="0"/>
    <s v="HSE"/>
    <x v="0"/>
    <x v="5"/>
    <x v="8"/>
    <s v="While site inspection it was observed that one of the soft slings has minor sign of damage"/>
    <x v="0"/>
    <s v="Asked the rigging supervisor to change the sling and he did, "/>
    <m/>
    <m/>
    <m/>
    <m/>
    <m/>
    <x v="0"/>
    <m/>
  </r>
  <r>
    <n v="1869"/>
    <x v="233"/>
    <s v="Ibrahim Hamed"/>
    <x v="0"/>
    <s v="HSE"/>
    <x v="0"/>
    <x v="17"/>
    <x v="7"/>
    <s v="One of HSE signs about to fall due to wind."/>
    <x v="0"/>
    <s v="Asked the SUP to reposition and stabilize it "/>
    <m/>
    <m/>
    <m/>
    <m/>
    <m/>
    <x v="0"/>
    <m/>
  </r>
  <r>
    <n v="1870"/>
    <x v="235"/>
    <s v="Mohamed Galal"/>
    <x v="0"/>
    <s v="Rigging Sup"/>
    <x v="0"/>
    <x v="3"/>
    <x v="7"/>
    <s v="Heating torch left unattended while under operation Which may lead to a fire hazard"/>
    <x v="0"/>
    <s v="A special operator is assigned to attended the Heating Torch "/>
    <m/>
    <m/>
    <m/>
    <m/>
    <m/>
    <x v="0"/>
    <m/>
  </r>
  <r>
    <n v="1871"/>
    <x v="234"/>
    <s v="Mohamed Abdallah"/>
    <x v="0"/>
    <s v="HSE"/>
    <x v="0"/>
    <x v="7"/>
    <x v="7"/>
    <s v="Sharp edge not highlighted and can cause injury,"/>
    <x v="0"/>
    <s v="Highlighted the hazard condition to fitting supervisor and he had taken the corrective action,"/>
    <m/>
    <m/>
    <m/>
    <m/>
    <m/>
    <x v="0"/>
    <m/>
  </r>
  <r>
    <n v="1872"/>
    <x v="234"/>
    <s v="Ahmed Abdelrady"/>
    <x v="0"/>
    <s v="HSE"/>
    <x v="0"/>
    <x v="9"/>
    <x v="8"/>
    <s v="A damage webbing sling was observed at the fabrication area  "/>
    <x v="0"/>
    <s v="Rigging foreman to ensure the pre-sue inspection is carried out and all damaged tools to be quarantined."/>
    <m/>
    <m/>
    <m/>
    <m/>
    <m/>
    <x v="0"/>
    <m/>
  </r>
  <r>
    <n v="1873"/>
    <x v="237"/>
    <s v="Mostafa Abdelgany"/>
    <x v="0"/>
    <s v="HSE"/>
    <x v="0"/>
    <x v="1"/>
    <x v="3"/>
    <s v="Observed poor House keeping and improper material arrangement "/>
    <x v="0"/>
    <s v="The supervisor was informed and removed immediately. ."/>
    <m/>
    <m/>
    <m/>
    <m/>
    <m/>
    <x v="0"/>
    <m/>
  </r>
  <r>
    <n v="1874"/>
    <x v="242"/>
    <s v="Abdelfatah mohamed"/>
    <x v="0"/>
    <s v="HSE"/>
    <x v="0"/>
    <x v="7"/>
    <x v="7"/>
    <s v="some scaffold materials scattered on the ground"/>
    <x v="0"/>
    <s v="Asked the Scaffolder Sup to arrangement the material and the corrective action taken immediately"/>
    <m/>
    <m/>
    <m/>
    <m/>
    <m/>
    <x v="0"/>
    <m/>
  </r>
  <r>
    <n v="1875"/>
    <x v="240"/>
    <s v="Ibrahim Hamed"/>
    <x v="0"/>
    <s v="HSE"/>
    <x v="1"/>
    <x v="5"/>
    <x v="5"/>
    <s v="A worker did not release the gas from the hoses of the gas cylinder after use."/>
    <x v="0"/>
    <s v="Inform the worker to release the gas from the hose, the issue communicated in the TBT "/>
    <m/>
    <m/>
    <m/>
    <m/>
    <m/>
    <x v="0"/>
    <m/>
  </r>
  <r>
    <n v="1876"/>
    <x v="233"/>
    <s v="Ahmed Ali"/>
    <x v="0"/>
    <s v="welder"/>
    <x v="1"/>
    <x v="3"/>
    <x v="2"/>
    <s v="There was a rigger without safety glasses"/>
    <x v="3"/>
    <s v="He was stopped from work ,warning letter was issued "/>
    <m/>
    <m/>
    <m/>
    <m/>
    <m/>
    <x v="0"/>
    <m/>
  </r>
  <r>
    <n v="1877"/>
    <x v="235"/>
    <s v="Mohamed Abdallah"/>
    <x v="0"/>
    <s v="HSE"/>
    <x v="2"/>
    <x v="1"/>
    <x v="0"/>
    <s v="Found some electrical wires on sharp edges."/>
    <x v="5"/>
    <s v="Remove and allocating the wires away from the sharp edges."/>
    <m/>
    <m/>
    <m/>
    <m/>
    <m/>
    <x v="1"/>
    <m/>
  </r>
  <r>
    <n v="1878"/>
    <x v="234"/>
    <s v="Mahmoud Abdelnaser"/>
    <x v="0"/>
    <s v="HSE"/>
    <x v="2"/>
    <x v="17"/>
    <x v="5"/>
    <s v="Observed a propane gas cylinder near by the welding area"/>
    <x v="5"/>
    <s v="Instructed the sup to relocate the cylinder and he did"/>
    <m/>
    <m/>
    <m/>
    <m/>
    <m/>
    <x v="1"/>
    <m/>
  </r>
  <r>
    <n v="1879"/>
    <x v="234"/>
    <s v="Mohamed Abdallah"/>
    <x v="0"/>
    <s v="HSE "/>
    <x v="2"/>
    <x v="1"/>
    <x v="8"/>
    <s v="good control for the load during lifting operation, good use of tag lines by the riggers . Banks man with high visible vest"/>
    <x v="5"/>
    <s v="Appreciated the good work"/>
    <m/>
    <m/>
    <m/>
    <m/>
    <m/>
    <x v="1"/>
    <m/>
  </r>
  <r>
    <n v="1880"/>
    <x v="237"/>
    <s v="Mostafa Abdelgany"/>
    <x v="0"/>
    <s v="HSE"/>
    <x v="3"/>
    <x v="9"/>
    <x v="2"/>
    <s v="Good commitment from the work force with the site required PPE especially from the grinders "/>
    <x v="5"/>
    <s v="Appreciate the good work"/>
    <m/>
    <m/>
    <m/>
    <m/>
    <m/>
    <x v="1"/>
    <m/>
  </r>
  <r>
    <n v="1881"/>
    <x v="238"/>
    <s v="Ahmed Sobhy "/>
    <x v="0"/>
    <s v="HSE"/>
    <x v="0"/>
    <x v="9"/>
    <x v="5"/>
    <s v="Observed welders using empty painting buckets  to collect electrodes in."/>
    <x v="0"/>
    <s v="Buckets were provided._x000a_Painting buckets were removed from site."/>
    <m/>
    <m/>
    <m/>
    <m/>
    <m/>
    <x v="0"/>
    <m/>
  </r>
  <r>
    <n v="1882"/>
    <x v="243"/>
    <s v="Mohamed Abdallah"/>
    <x v="0"/>
    <s v="HSE"/>
    <x v="0"/>
    <x v="3"/>
    <x v="5"/>
    <s v="Welding cables were not well organized."/>
    <x v="0"/>
    <s v="Cable management was done"/>
    <m/>
    <m/>
    <m/>
    <m/>
    <m/>
    <x v="0"/>
    <m/>
  </r>
  <r>
    <n v="1883"/>
    <x v="241"/>
    <s v="Ibrahim Hamed"/>
    <x v="0"/>
    <s v="HSE"/>
    <x v="0"/>
    <x v="17"/>
    <x v="22"/>
    <s v="Observed improper material arrangement"/>
    <x v="0"/>
    <s v="materials have been arranged immediatly."/>
    <m/>
    <m/>
    <m/>
    <m/>
    <m/>
    <x v="0"/>
    <m/>
  </r>
  <r>
    <n v="1884"/>
    <x v="241"/>
    <s v="Ibrahim Hamed"/>
    <x v="0"/>
    <s v="HSE"/>
    <x v="0"/>
    <x v="1"/>
    <x v="8"/>
    <s v="Observed lifting shackles without color code "/>
    <x v="0"/>
    <s v="Asked the rigging supervisor to inspect the shackle and apply the right colorcode"/>
    <m/>
    <m/>
    <m/>
    <m/>
    <m/>
    <x v="0"/>
    <m/>
  </r>
  <r>
    <n v="1885"/>
    <x v="244"/>
    <s v="Mohamed Abdallah"/>
    <x v="0"/>
    <s v="HSE"/>
    <x v="0"/>
    <x v="5"/>
    <x v="7"/>
    <s v="Poor scaffolding material arrangement"/>
    <x v="0"/>
    <s v="asked the scaffolder sup and The material was arranged properly"/>
    <m/>
    <m/>
    <m/>
    <m/>
    <m/>
    <x v="0"/>
    <m/>
  </r>
  <r>
    <n v="1886"/>
    <x v="245"/>
    <s v="Ahmed Ali"/>
    <x v="0"/>
    <s v="welder"/>
    <x v="1"/>
    <x v="1"/>
    <x v="2"/>
    <s v="One of the fitting team operating and he was not wearing gloves"/>
    <x v="3"/>
    <s v="Stopped the worker and spoke to him about the importance of wearing the hand protection._x000a_It was highlighted on Monday HSE TBT."/>
    <m/>
    <m/>
    <m/>
    <m/>
    <m/>
    <x v="0"/>
    <m/>
  </r>
  <r>
    <n v="1887"/>
    <x v="246"/>
    <s v="Ahmed Abdelrady"/>
    <x v="0"/>
    <s v="HSE"/>
    <x v="1"/>
    <x v="9"/>
    <x v="2"/>
    <s v="Worker was using grinding motor without any face protection "/>
    <x v="3"/>
    <s v="Stopped him to wear full ppe"/>
    <m/>
    <m/>
    <m/>
    <m/>
    <m/>
    <x v="0"/>
    <m/>
  </r>
  <r>
    <n v="1888"/>
    <x v="238"/>
    <s v="Mohamed Abdallah"/>
    <x v="0"/>
    <s v="HSE"/>
    <x v="2"/>
    <x v="5"/>
    <x v="5"/>
    <s v="Observed that welding machine nearby the fabrication activity"/>
    <x v="5"/>
    <s v="Spoke to rigging supervisor to relocate the welding machine, _x000a_They have been relocated."/>
    <m/>
    <m/>
    <m/>
    <m/>
    <m/>
    <x v="1"/>
    <m/>
  </r>
  <r>
    <n v="1889"/>
    <x v="243"/>
    <s v="Kareem Ehab"/>
    <x v="0"/>
    <s v="Welding Sup"/>
    <x v="0"/>
    <x v="7"/>
    <x v="7"/>
    <s v="Sharp edge not highlighted and can cause injury,"/>
    <x v="0"/>
    <s v="Highlighted the hazard condition to fitting supervisor and he had taken the corrective action,"/>
    <m/>
    <m/>
    <m/>
    <m/>
    <m/>
    <x v="0"/>
    <m/>
  </r>
  <r>
    <n v="1890"/>
    <x v="241"/>
    <s v="Ibrahim Hamed"/>
    <x v="0"/>
    <s v="HSE"/>
    <x v="0"/>
    <x v="9"/>
    <x v="8"/>
    <s v="A damage webbing sling was observed at the fabrication area  "/>
    <x v="0"/>
    <s v="Rigging foreman to ensure the pre-sue inspection is carried out and all damaged tools to be quarantined."/>
    <m/>
    <m/>
    <m/>
    <m/>
    <m/>
    <x v="0"/>
    <m/>
  </r>
  <r>
    <n v="1891"/>
    <x v="241"/>
    <s v="Ahmed Abdelrady"/>
    <x v="0"/>
    <s v="HSE"/>
    <x v="0"/>
    <x v="5"/>
    <x v="3"/>
    <s v="Observed poor House keeping and improper material arrangement "/>
    <x v="0"/>
    <s v="The supervisor was informed and removed immediately. ."/>
    <m/>
    <m/>
    <m/>
    <m/>
    <m/>
    <x v="0"/>
    <m/>
  </r>
  <r>
    <n v="1892"/>
    <x v="244"/>
    <s v="Ibrahim Hamed"/>
    <x v="0"/>
    <s v="HSE"/>
    <x v="0"/>
    <x v="1"/>
    <x v="7"/>
    <s v="some scaffold materials scattered on the ground"/>
    <x v="0"/>
    <s v="Asked the Scaffolder Sup to arrangement the material and the corrective action taken immediately"/>
    <m/>
    <m/>
    <m/>
    <m/>
    <m/>
    <x v="0"/>
    <m/>
  </r>
  <r>
    <n v="1893"/>
    <x v="247"/>
    <s v="Mahmoud Samir"/>
    <x v="2"/>
    <s v="HSE"/>
    <x v="0"/>
    <x v="4"/>
    <x v="1"/>
    <s v="It was observed that unsafe modifications had been made to a scaffold work platform, creating a risk of collapse during use it."/>
    <x v="1"/>
    <s v="The scaffold was taken out of service immediately and all unauthorized modifications were removed."/>
    <s v="The scaffold inspector was instructed to re-inspect the platforms in area and make sunray before start work."/>
    <m/>
    <m/>
    <m/>
    <m/>
    <x v="0"/>
    <m/>
  </r>
  <r>
    <n v="1894"/>
    <x v="248"/>
    <s v="Mahmoud Samir"/>
    <x v="2"/>
    <s v="HSE"/>
    <x v="3"/>
    <x v="2"/>
    <x v="3"/>
    <s v="A positive behavior was observed from a worker who rearranged cables and removed them from the work access ways."/>
    <x v="5"/>
    <s v="the worker was given positive feedback and awarded an incentive card."/>
    <m/>
    <m/>
    <m/>
    <m/>
    <m/>
    <x v="1"/>
    <m/>
  </r>
  <r>
    <n v="1895"/>
    <x v="244"/>
    <s v="Mahmoud Samir"/>
    <x v="2"/>
    <s v="HSE"/>
    <x v="0"/>
    <x v="0"/>
    <x v="3"/>
    <s v="It was observed that many empty plastic water bottles were left on the frame near hot work activities."/>
    <x v="1"/>
    <s v="The empty plastic water bottles were removed from the frame immediately to eliminate the risk of fire or obstruction near hot work activities. The area supervisor was instructed to enforce proper housekeeping and more supervision."/>
    <m/>
    <m/>
    <m/>
    <m/>
    <m/>
    <x v="0"/>
    <m/>
  </r>
  <r>
    <n v="1896"/>
    <x v="245"/>
    <s v="Mahmoud Samir"/>
    <x v="2"/>
    <s v="HSE"/>
    <x v="0"/>
    <x v="2"/>
    <x v="7"/>
    <s v="It was observed that SIMOPS activities were taking place, with lifting operations being carried out near a welding habitat where grinding activities were ongoing."/>
    <x v="1"/>
    <s v="The lifting activity was suspended immediately until proper coordination with the welding team was ensured."/>
    <s v="Both teams were instructed to coordinate their activities through the permit-to-work system, and TBT Meeting was conducted to ensure this observation is not repeated."/>
    <m/>
    <m/>
    <m/>
    <m/>
    <x v="0"/>
    <m/>
  </r>
  <r>
    <n v="1897"/>
    <x v="246"/>
    <s v="Mahmoud Samir"/>
    <x v="2"/>
    <s v="HSE"/>
    <x v="0"/>
    <x v="2"/>
    <x v="7"/>
    <s v="It was observed that grinding work was being carried out on a hub frame in an unsafe manner, as the frame was lifted and supported only on two nails.&quot;"/>
    <x v="1"/>
    <s v="The grinding activity was stopped immediately, and the hub frame was secured using proper supports instead of only two pins the supervisor was reminded to ensure safe setup and proper support for all frames during grinding and fabrication activities."/>
    <m/>
    <m/>
    <m/>
    <m/>
    <m/>
    <x v="0"/>
    <m/>
  </r>
  <r>
    <n v="1898"/>
    <x v="249"/>
    <s v="Mahmoud Samir"/>
    <x v="2"/>
    <s v="HSE"/>
    <x v="1"/>
    <x v="2"/>
    <x v="5"/>
    <s v="It was observed that a welder was working in an unsafe position, standing on the frame structure."/>
    <x v="1"/>
    <s v="Disciplinary action with him and welding SV."/>
    <s v="The activity was stopped immediately, and the welder was instructed to get down from the frame structure. The supervisor was informed to provide proper access equipment, such as a scaffold or work platform,"/>
    <m/>
    <m/>
    <m/>
    <m/>
    <x v="0"/>
    <m/>
  </r>
  <r>
    <n v="1899"/>
    <x v="249"/>
    <s v="Mahmoud Samir"/>
    <x v="2"/>
    <s v="HSE"/>
    <x v="1"/>
    <x v="2"/>
    <x v="16"/>
    <s v="It was observed that a welder was working in an unsafe position, standing on the frame structure."/>
    <x v="1"/>
    <s v="Disciplinary action with him and welding SV."/>
    <s v="The activity was stopped immediately, and the welder was instructed to get down from the frame structure. The supervisor was informed to provide proper access equipment, such as a scaffold or work platform,"/>
    <m/>
    <m/>
    <m/>
    <m/>
    <x v="0"/>
    <m/>
  </r>
  <r>
    <n v="1900"/>
    <x v="247"/>
    <s v="Mahmoud Nasr"/>
    <x v="2"/>
    <s v="HSE"/>
    <x v="0"/>
    <x v="7"/>
    <x v="3"/>
    <s v="I have Observed the piping unsecured. "/>
    <x v="1"/>
    <s v="Inform HSE PTJ to take action. "/>
    <m/>
    <m/>
    <m/>
    <m/>
    <m/>
    <x v="0"/>
    <m/>
  </r>
  <r>
    <n v="1901"/>
    <x v="247"/>
    <s v="Mahmoud Nasr"/>
    <x v="2"/>
    <s v="HSE"/>
    <x v="0"/>
    <x v="3"/>
    <x v="3"/>
    <s v="I have Observed poor housekeeping."/>
    <x v="1"/>
    <s v="Inform HSE PTJ to take action. "/>
    <m/>
    <m/>
    <m/>
    <m/>
    <m/>
    <x v="0"/>
    <m/>
  </r>
  <r>
    <n v="1902"/>
    <x v="247"/>
    <s v="Mahmoud Nasr"/>
    <x v="2"/>
    <s v="HSE"/>
    <x v="0"/>
    <x v="6"/>
    <x v="3"/>
    <s v="I observed waste being thrown into the spill kit, which is improper use "/>
    <x v="1"/>
    <s v="I gathered the team in the area to inform them about proper spill kit usage and raise awareness."/>
    <m/>
    <m/>
    <m/>
    <m/>
    <m/>
    <x v="0"/>
    <m/>
  </r>
  <r>
    <n v="1903"/>
    <x v="248"/>
    <s v="Mahmoud Nasr"/>
    <x v="2"/>
    <s v="HSE"/>
    <x v="0"/>
    <x v="6"/>
    <x v="18"/>
    <s v="The thermometer on the paint storage container was found to be non-_x000a_functional during inspection "/>
    <x v="1"/>
    <s v="Inform PTJ HSE to take action "/>
    <m/>
    <m/>
    <m/>
    <m/>
    <m/>
    <x v="0"/>
    <m/>
  </r>
  <r>
    <n v="1904"/>
    <x v="248"/>
    <s v="Mahmoud Nasr"/>
    <x v="2"/>
    <s v="HSE"/>
    <x v="0"/>
    <x v="6"/>
    <x v="17"/>
    <s v="I have observed The storage arrangement for boxes is not good and is unsafe _x000a_for easy manual handling. "/>
    <x v="1"/>
    <s v="Inform PTJ HSE to take action "/>
    <m/>
    <m/>
    <m/>
    <m/>
    <m/>
    <x v="0"/>
    <m/>
  </r>
  <r>
    <n v="1905"/>
    <x v="248"/>
    <s v="Mahmoud Nasr"/>
    <x v="2"/>
    <s v="HSE"/>
    <x v="0"/>
    <x v="6"/>
    <x v="3"/>
    <s v="I have observed Used paint bucket were stored inside a container designated _x000a_only for unused materials "/>
    <x v="1"/>
    <s v="Inform PTJ HSE to take action "/>
    <m/>
    <m/>
    <m/>
    <m/>
    <m/>
    <x v="0"/>
    <m/>
  </r>
  <r>
    <n v="1906"/>
    <x v="248"/>
    <s v="Mahmoud Nasr"/>
    <x v="2"/>
    <s v="HSE"/>
    <x v="0"/>
    <x v="6"/>
    <x v="9"/>
    <s v="I have observed that the measurement checklist for the storage container had _x000a_not been completed."/>
    <x v="1"/>
    <s v="Inform PTJ HSE to take action "/>
    <m/>
    <m/>
    <m/>
    <m/>
    <m/>
    <x v="0"/>
    <m/>
  </r>
  <r>
    <n v="1907"/>
    <x v="244"/>
    <s v="Mahmoud Nasr"/>
    <x v="2"/>
    <s v="HSE"/>
    <x v="0"/>
    <x v="8"/>
    <x v="0"/>
    <s v="I have Observed the electrical panel without firesearch. "/>
    <x v="1"/>
    <s v="Inform PTJ HSE to take action "/>
    <m/>
    <m/>
    <m/>
    <m/>
    <m/>
    <x v="0"/>
    <m/>
  </r>
  <r>
    <n v="1908"/>
    <x v="245"/>
    <s v="Mahmoud Nasr"/>
    <x v="2"/>
    <s v="HSE"/>
    <x v="0"/>
    <x v="8"/>
    <x v="7"/>
    <s v="I have Observed that the roll guide was unsecured, which is unsafe for balance"/>
    <x v="1"/>
    <s v="Inform PTJ HSE to take action "/>
    <m/>
    <m/>
    <m/>
    <m/>
    <m/>
    <x v="0"/>
    <m/>
  </r>
  <r>
    <n v="1909"/>
    <x v="246"/>
    <s v="Mahmoud Nasr"/>
    <x v="2"/>
    <s v="HSE"/>
    <x v="0"/>
    <x v="7"/>
    <x v="0"/>
    <s v="I have Observed cables without color code. "/>
    <x v="1"/>
    <s v="Inform PTJ HSE to take action "/>
    <m/>
    <m/>
    <m/>
    <m/>
    <m/>
    <x v="0"/>
    <m/>
  </r>
  <r>
    <n v="1910"/>
    <x v="249"/>
    <s v="Mahmoud Nasr"/>
    <x v="2"/>
    <s v="HSE"/>
    <x v="0"/>
    <x v="7"/>
    <x v="3"/>
    <s v="I have Observed Scaffolding materials obstructing the access way, posing a tripping hazard. "/>
    <x v="1"/>
    <s v="Inform PTJ HSE to take action "/>
    <m/>
    <m/>
    <m/>
    <m/>
    <m/>
    <x v="0"/>
    <m/>
  </r>
  <r>
    <n v="1911"/>
    <x v="249"/>
    <s v="Mahmoud Nasr"/>
    <x v="2"/>
    <s v="HSE"/>
    <x v="0"/>
    <x v="4"/>
    <x v="3"/>
    <s v="I have Observed the materials obstructing the access , posing a tripping hazard. "/>
    <x v="1"/>
    <s v="Inform PTJ HSE to take action "/>
    <m/>
    <m/>
    <m/>
    <m/>
    <m/>
    <x v="0"/>
    <m/>
  </r>
  <r>
    <n v="1912"/>
    <x v="245"/>
    <s v="Ehab Ibrahim Hassan"/>
    <x v="1"/>
    <s v="Coating Inspector"/>
    <x v="0"/>
    <x v="2"/>
    <x v="16"/>
    <s v="During inspection in WS2 I found many cigarettes butts on the floor. "/>
    <x v="2"/>
    <s v="Spoke to PTJ safety officer and asked him to convey a message to his technicians not to smoke in the workshop and use designated area, he also got a laborer to do housekeeping for the findings. "/>
    <s v="Issue to be highlighted and briefed in daily and weekly TBT.  "/>
    <m/>
    <m/>
    <m/>
    <m/>
    <x v="0"/>
    <m/>
  </r>
  <r>
    <n v="1913"/>
    <x v="244"/>
    <s v="Ehab Ibrahim Hassan"/>
    <x v="1"/>
    <s v="Coating Inspector"/>
    <x v="1"/>
    <x v="6"/>
    <x v="5"/>
    <s v="One technician was using the back of the grinding desk while doing grinding _x000a_work on the mudmats in the blasting yard. "/>
    <x v="2"/>
    <s v="Instructed the technician that only the desk face to be used for grinding and that _x000a_the back face of the grinding desk is not for use. "/>
    <s v="Issue to be highlighted in the subcontractor pre-job TBT. "/>
    <m/>
    <m/>
    <m/>
    <m/>
    <x v="0"/>
    <m/>
  </r>
  <r>
    <n v="1914"/>
    <x v="250"/>
    <s v="Ehab Ibrahim Hassan"/>
    <x v="1"/>
    <s v="Coating Inspector"/>
    <x v="0"/>
    <x v="13"/>
    <x v="18"/>
    <s v="I saw torn tires for the car crane used for light posts."/>
    <x v="2"/>
    <s v="Spoke to PTJ safety officer and TECHNIP safety officer to take action "/>
    <s v="Issue to be highlighted in the weekly TBT. Issue to be highlighted in the weekly TBT. "/>
    <m/>
    <m/>
    <m/>
    <m/>
    <x v="0"/>
    <m/>
  </r>
  <r>
    <n v="1915"/>
    <x v="251"/>
    <s v="Johan Kruger"/>
    <x v="1"/>
    <s v="HSE"/>
    <x v="0"/>
    <x v="2"/>
    <x v="5"/>
    <s v="Whilst walking in workshop #2 heat was felt radiating from works that had _x000a_being performed. No caution sign was posted to warn of hot surfaces. Nobody _x000a_in attendance."/>
    <x v="2"/>
    <s v="Informed Safety Officer in the area to place signage in the immediate work area, _x000a_warning people / by passers of a hot surface "/>
    <s v="Ensure work area is left in a safe and hazard free condition – hot surface. "/>
    <m/>
    <m/>
    <m/>
    <m/>
    <x v="0"/>
    <m/>
  </r>
  <r>
    <n v="1916"/>
    <x v="251"/>
    <s v="Johan Kruger"/>
    <x v="1"/>
    <s v="HSE"/>
    <x v="0"/>
    <x v="3"/>
    <x v="3"/>
    <s v="Plastic water drinking bottles and food waste packaging strewn across area next _x000a_to warehouse # 5 open area  "/>
    <x v="2"/>
    <s v="Informed PTJ HSE Manager who was on site to arrange for housekeeping in the area.  Observation was immediately rectified "/>
    <s v="Workers must not discard empty drinking water bottles in the work areas. Use the bins provided. Housekeeping to be performed daily "/>
    <m/>
    <m/>
    <m/>
    <m/>
    <x v="0"/>
    <m/>
  </r>
  <r>
    <n v="1917"/>
    <x v="251"/>
    <s v="Malcolm Garrington"/>
    <x v="1"/>
    <s v="Project Manager"/>
    <x v="0"/>
    <x v="3"/>
    <x v="3"/>
    <s v="CPY noted that several full plastic bags were lying around within open area #5.  Additionally, very poor housekeeping within same area with plastic bottles / rubbish and debris "/>
    <x v="2"/>
    <s v="TFMC to be vigilant when walking around yard and sharing their findings to PTJ HSE to resolve.  _x000a_PTJ to implement more regular housekeeping activities and removal of rubbish from not only area 5 (outdoor) but all of their yard areas."/>
    <m/>
    <m/>
    <m/>
    <m/>
    <m/>
    <x v="0"/>
    <m/>
  </r>
  <r>
    <n v="1918"/>
    <x v="251"/>
    <s v="Malcolm Garrington"/>
    <x v="1"/>
    <s v="Project Manager"/>
    <x v="2"/>
    <x v="5"/>
    <x v="3"/>
    <s v="CPY noted the two fabrication shops (#1 and #2) constantly keep these fabrication shops in good clean (housekeeping) conditions. _x000a_Respect for the cleaning team."/>
    <x v="5"/>
    <s v="Continue to share praise to the PTJ subcontractor cleaning vendor team and provide some recognition award for the positive behaviour   _x000a_Make a point to have them on site at weekly mandatory project yard TBT(s) and do a recognition to this team specifically and show the positive"/>
    <m/>
    <m/>
    <m/>
    <m/>
    <m/>
    <x v="1"/>
    <m/>
  </r>
  <r>
    <n v="1919"/>
    <x v="252"/>
    <s v="Mahmoud Elshahat"/>
    <x v="2"/>
    <s v="HSE"/>
    <x v="0"/>
    <x v="3"/>
    <x v="5"/>
    <s v="During the inspection of compressed gas cylinders, a gas leak was detected from one of the cylinders."/>
    <x v="1"/>
    <s v="The cylinder was taken out of service, maintenance was carried out, and the pressure gauge (manometer) was replaced."/>
    <m/>
    <m/>
    <m/>
    <m/>
    <m/>
    <x v="0"/>
    <m/>
  </r>
  <r>
    <n v="1920"/>
    <x v="251"/>
    <s v="Mahmoud Elshahat"/>
    <x v="2"/>
    <s v="HSE"/>
    <x v="0"/>
    <x v="18"/>
    <x v="18"/>
    <s v="Hydraulic oil leakage was observed from a hydraulic jack."/>
    <x v="1"/>
    <s v="The work was stopped, and the defective hydraulic jack was replaced with a safe and functional one."/>
    <m/>
    <m/>
    <m/>
    <m/>
    <m/>
    <x v="0"/>
    <m/>
  </r>
  <r>
    <n v="1921"/>
    <x v="253"/>
    <s v="Mahmoud Elshahat"/>
    <x v="2"/>
    <s v="HSE"/>
    <x v="0"/>
    <x v="9"/>
    <x v="0"/>
    <s v="A broken electrical plug was found in use."/>
    <x v="1"/>
    <s v="The electrical cable was taken out of service, the electrician was called, and the damaged plug was replaced."/>
    <m/>
    <m/>
    <m/>
    <m/>
    <m/>
    <x v="0"/>
    <m/>
  </r>
  <r>
    <n v="1922"/>
    <x v="252"/>
    <s v="Mahmoud Elshahat"/>
    <x v="2"/>
    <s v="HSE"/>
    <x v="0"/>
    <x v="6"/>
    <x v="3"/>
    <s v="Electrical cables were found unorganized within the work area, creating a tripping hazard."/>
    <x v="1"/>
    <s v="Work was stopped, and all cables were rearranged properly to prevent tripping and ensure worker safety."/>
    <m/>
    <m/>
    <m/>
    <m/>
    <m/>
    <x v="0"/>
    <m/>
  </r>
  <r>
    <n v="1923"/>
    <x v="254"/>
    <s v="Mahmoud Samir"/>
    <x v="2"/>
    <s v="HSE"/>
    <x v="3"/>
    <x v="0"/>
    <x v="8"/>
    <s v="It was observed that the rigging team make survey for all lifting gears condition. "/>
    <x v="5"/>
    <s v="Positive feedback was given to the rigging team and give them incentive cards."/>
    <m/>
    <m/>
    <m/>
    <m/>
    <m/>
    <x v="1"/>
    <m/>
  </r>
  <r>
    <n v="1924"/>
    <x v="255"/>
    <s v="Mahmoud Samir"/>
    <x v="2"/>
    <s v="HSE"/>
    <x v="0"/>
    <x v="0"/>
    <x v="5"/>
    <s v="It was observed that using damage welding habitat and there  more _x000a_combustible materials nearby from hot work activity. "/>
    <x v="1"/>
    <s v="The activities was suspended and supervisor informed that all damage welding _x000a_habitat must be changed and remove all combustible materials."/>
    <m/>
    <m/>
    <m/>
    <m/>
    <m/>
    <x v="0"/>
    <m/>
  </r>
  <r>
    <n v="1925"/>
    <x v="256"/>
    <s v="Mahmoud Samir"/>
    <x v="2"/>
    <s v="HSE"/>
    <x v="0"/>
    <x v="2"/>
    <x v="3"/>
    <s v="It was observed that more tripping hazard on access way there is more cables _x000a_need to re arrangement. "/>
    <x v="1"/>
    <s v="I intervened and stopped the activity. The fitting supervisor was instructed to re _x000a_arrangement for all cables.  "/>
    <m/>
    <m/>
    <m/>
    <m/>
    <m/>
    <x v="0"/>
    <m/>
  </r>
  <r>
    <n v="1926"/>
    <x v="251"/>
    <s v="Mahmoud Samir"/>
    <x v="2"/>
    <s v="HSE"/>
    <x v="0"/>
    <x v="4"/>
    <x v="7"/>
    <s v="It was observed that SIMOPS were taking place, with welding activities being _x000a_carried out inside the roll guide frame while another worker was using LPG to _x000a_heat the same frame from the outside. "/>
    <x v="1"/>
    <s v="The activities were stopped immediately, and both teams were instructed to coordinate their work to prevent simultaneous operations (SIMOPS) in the same area."/>
    <m/>
    <m/>
    <m/>
    <m/>
    <m/>
    <x v="0"/>
    <m/>
  </r>
  <r>
    <n v="1927"/>
    <x v="252"/>
    <s v="Mahmoud Samir"/>
    <x v="2"/>
    <s v="HSE"/>
    <x v="1"/>
    <x v="0"/>
    <x v="5"/>
    <s v="It was observed that a worker left the LPG torch burning and walked away to _x000a_look for something.leaving the flame unattended. "/>
    <x v="1"/>
    <s v="The activity was stopped immediately, and the LPG torch was turned off to eliminate the fire hazard. The worker was instructed on the dangers of leaving an open flame unattended and was given disciplinary action for the unsafe behaviour. "/>
    <m/>
    <m/>
    <m/>
    <m/>
    <m/>
    <x v="0"/>
    <m/>
  </r>
  <r>
    <n v="1928"/>
    <x v="253"/>
    <s v="Mahmoud Samir"/>
    <x v="2"/>
    <s v="HSE"/>
    <x v="0"/>
    <x v="0"/>
    <x v="7"/>
    <s v="It has been observed fabrication activity on frame without provide safe access _x000a_way  "/>
    <x v="1"/>
    <s v="The activities was suspended and fabrication supervisor informed that checking area condition before start activities. And removing all materials between the pipe supports. "/>
    <m/>
    <m/>
    <m/>
    <m/>
    <m/>
    <x v="0"/>
    <m/>
  </r>
  <r>
    <n v="1929"/>
    <x v="257"/>
    <s v="Mahmoud Samir"/>
    <x v="2"/>
    <s v="HSE"/>
    <x v="0"/>
    <x v="17"/>
    <x v="3"/>
    <s v="It was observed that materials were stored unsafely, which could cause injury _x000a_to anyone entering the area. In addition, combustible materials needed to be _x000a_removed to prevent potential fire hazards. "/>
    <x v="1"/>
    <s v="The area was cleared immediately, and all combustible and unsafely stored materials were removed to eliminate potential hazards. The area supervisor was instructed to ensure proper segregation and safe storage practices"/>
    <m/>
    <m/>
    <m/>
    <m/>
    <m/>
    <x v="0"/>
    <m/>
  </r>
  <r>
    <n v="1930"/>
    <x v="256"/>
    <s v="Mahmoud Nasr"/>
    <x v="2"/>
    <s v="HSE"/>
    <x v="1"/>
    <x v="1"/>
    <x v="2"/>
    <s v="I have observed that the crane operator not wearing the required personal _x000a_protective equipment (PPE), specifically safety shoes and safety glasses. "/>
    <x v="1"/>
    <s v="I inform HSE PTJ to take action. "/>
    <m/>
    <m/>
    <m/>
    <m/>
    <m/>
    <x v="0"/>
    <m/>
  </r>
  <r>
    <n v="1931"/>
    <x v="254"/>
    <s v="Mahmoud Nasr"/>
    <x v="2"/>
    <s v="HSE"/>
    <x v="0"/>
    <x v="9"/>
    <x v="5"/>
    <s v="I have observed that gas cylinders are not segregated based on their hazard _x000a_classifications "/>
    <x v="1"/>
    <s v="I inform HSE PTJ to take action. "/>
    <m/>
    <m/>
    <m/>
    <m/>
    <m/>
    <x v="0"/>
    <m/>
  </r>
  <r>
    <n v="1932"/>
    <x v="254"/>
    <s v="Mahmoud Nasr"/>
    <x v="2"/>
    <s v="HSE"/>
    <x v="0"/>
    <x v="6"/>
    <x v="17"/>
    <s v="I have observed that equipment was being transported in an unsafe manner. "/>
    <x v="1"/>
    <s v="I inform HSE PTJ to take action. "/>
    <m/>
    <m/>
    <m/>
    <m/>
    <m/>
    <x v="0"/>
    <m/>
  </r>
  <r>
    <n v="1933"/>
    <x v="255"/>
    <s v="Mahmoud Nasr"/>
    <x v="2"/>
    <s v="HSE"/>
    <x v="0"/>
    <x v="6"/>
    <x v="5"/>
    <s v="I have observed that Magnetic drill used incorrectly and without required safety _x000a_precautions."/>
    <x v="1"/>
    <s v="I inform HSE PTJ to take action. "/>
    <m/>
    <m/>
    <m/>
    <m/>
    <m/>
    <x v="0"/>
    <m/>
  </r>
  <r>
    <n v="1934"/>
    <x v="256"/>
    <s v="Mahmoud Nasr"/>
    <x v="2"/>
    <s v="HSE"/>
    <x v="0"/>
    <x v="7"/>
    <x v="7"/>
    <s v="I have observed that the Metal sheet found untied, posing a risk of shifting or _x000a_falling. "/>
    <x v="1"/>
    <s v="I inform HSE PTJ to take action. "/>
    <m/>
    <m/>
    <m/>
    <m/>
    <m/>
    <x v="0"/>
    <m/>
  </r>
  <r>
    <n v="1935"/>
    <x v="258"/>
    <s v="Malcolm Garrington"/>
    <x v="1"/>
    <s v="Project Manager"/>
    <x v="0"/>
    <x v="12"/>
    <x v="3"/>
    <s v="CPY noted that a serious amount of plastic bottles/bags and general waste was spread over a section within Area 5 (external) where the sub elements are stored. _x000a_"/>
    <x v="2"/>
    <s v="As mentioned TFMC HSE to intervene and advise PTJ to put corrective actions and mitigations to prevent this occurring.  "/>
    <m/>
    <m/>
    <m/>
    <m/>
    <m/>
    <x v="0"/>
    <m/>
  </r>
  <r>
    <n v="1936"/>
    <x v="258"/>
    <s v="Malcolm Garrington"/>
    <x v="1"/>
    <s v="Project Manager"/>
    <x v="0"/>
    <x v="5"/>
    <x v="3"/>
    <s v="CPY notes that several yard locations waste bins/storage areas are extremely full and overloading of plastic bottles/general waste/plastic bags etc. _x000a_Lying around waste bin areas as well as sporadically laying around. "/>
    <x v="2"/>
    <s v="(1) As mentioned, TFMC HSE to intervene and advise PTJ to put corrective actions and mitigations in place to prevent this occurring.  _x000a_(2) TFMA request PTJ to set up a more regular waste management program to remove waste. "/>
    <m/>
    <m/>
    <m/>
    <m/>
    <m/>
    <x v="0"/>
    <m/>
  </r>
  <r>
    <n v="1937"/>
    <x v="258"/>
    <s v="Malcolm Garrington"/>
    <x v="1"/>
    <s v="Project Manager"/>
    <x v="1"/>
    <x v="5"/>
    <x v="2"/>
    <s v="CPY notes that several PTJ supervisors do not accordingly wear the appropriate and correct type of clear safety glasses while inside the workshops. _x000a_CPY has intervened on many occasions and yet note the presence of TFMC and PTJ HSE advises who seem not to take corrective actions"/>
    <x v="2"/>
    <s v=" CPY requested offenders to put on their clear glasses or go an get them if not on their person."/>
    <s v="(1) TFMC HSE to intervene and advise PTJ supervisors at all times, take name if reoccurrence offender _x000a_(2) TFMC HSE to liaise with PTJ HSE advisor(s) or manager to take appropriate actions _x000a_(3) PTJ HSE Manager to reiterate his team’s performances and set up regular intervention meetings to aid his team."/>
    <m/>
    <m/>
    <m/>
    <m/>
    <x v="0"/>
    <m/>
  </r>
  <r>
    <n v="1938"/>
    <x v="258"/>
    <s v="Johan Kruger"/>
    <x v="1"/>
    <s v="HSE"/>
    <x v="1"/>
    <x v="2"/>
    <x v="2"/>
    <s v="CPY observed PTJ Snr Site Manager in WS # 2, without wearing PPE, (repeat _x000a_observation) "/>
    <x v="2"/>
    <s v="E mail sent to TFMC HSE to escalate the observation to Senior TFMC _x000a_Management, to take corrective action. "/>
    <s v="PPE must be worn by ALL personnel within the worksite. Management to set an _x000a_example to the workforce by complying with site procedures and rules. "/>
    <m/>
    <m/>
    <m/>
    <m/>
    <x v="0"/>
    <m/>
  </r>
  <r>
    <n v="1939"/>
    <x v="258"/>
    <s v="Johan Kruger"/>
    <x v="1"/>
    <s v="HSE"/>
    <x v="0"/>
    <x v="0"/>
    <x v="5"/>
    <s v="CPY observed a cracked/perished hose attached to gas cylinder in ws # 1"/>
    <x v="2"/>
    <s v="CPY highlighted the observation to TFMC HSE Advisor in the area to ensure cracked/perished hoses are replaced.Observation was immediately rectified"/>
    <s v="Daily inspection on all parts of the gas cylinders to be done, so as to ensure no _x000a_cracked hoses are attached to the cylinders"/>
    <m/>
    <m/>
    <m/>
    <m/>
    <x v="0"/>
    <m/>
  </r>
  <r>
    <n v="1940"/>
    <x v="258"/>
    <s v="Johan Kruger"/>
    <x v="1"/>
    <s v="HSE"/>
    <x v="0"/>
    <x v="0"/>
    <x v="5"/>
    <s v="CPY observed loose fitting caps affixed to  gas cylinders in ws # 1 "/>
    <x v="2"/>
    <s v="CPY highlighted the observation to TFMC HSE Advisor in the area to ensure the _x000a_protection caps on the gas cylinders are tightly affixed to protect the open/shut _x000a_valve "/>
    <s v="Daily inspection on all parts of the gas cylinders to be done, to ensure no loose _x000a_protection caps are attached to the cylinders "/>
    <m/>
    <m/>
    <m/>
    <m/>
    <x v="0"/>
    <m/>
  </r>
  <r>
    <n v="1941"/>
    <x v="259"/>
    <s v="Johan Kruger"/>
    <x v="1"/>
    <s v="HSE"/>
    <x v="3"/>
    <x v="0"/>
    <x v="2"/>
    <s v="Worker observed wearing complete PPE whilst performing grinding actvities "/>
    <x v="5"/>
    <s v="Commended the worker on his safe act towards PPE safety "/>
    <m/>
    <m/>
    <m/>
    <m/>
    <m/>
    <x v="1"/>
    <m/>
  </r>
  <r>
    <n v="1942"/>
    <x v="259"/>
    <s v="Stephane Heliard"/>
    <x v="1"/>
    <s v="QC"/>
    <x v="0"/>
    <x v="5"/>
    <x v="3"/>
    <s v="On 17/10/2025, at the Zeit Bay Shipyard, during a site visit, it was visually _x000a_observed that various project crates from items supplied by the company were improperly disposed of in a waste accumulation near the sea. _x000a_This situation is against the Contract Exh L, ISO 14001 and PTJ-HSE- GF-001 Fabrication Yard Activities - Petrojet HSE Plan requirements. _x000a_In addition a clear project identification remained onto the crate which may negatively impact the reputation of the Project and Company. "/>
    <x v="2"/>
    <s v="HSE representative alerted with this unacceptable situation. "/>
    <m/>
    <m/>
    <m/>
    <m/>
    <m/>
    <x v="0"/>
    <m/>
  </r>
  <r>
    <n v="1943"/>
    <x v="260"/>
    <s v="Mahmoud Elshahat"/>
    <x v="2"/>
    <s v="HSE"/>
    <x v="0"/>
    <x v="9"/>
    <x v="5"/>
    <s v="During the inspection of compressed gas cylinders, A gas leak was detected from a compressed gas cylinder"/>
    <x v="1"/>
    <s v="The cylinder was inspected, the hose was replaced, and the cylinder was rechecked to confirm there were no further leaks."/>
    <m/>
    <m/>
    <m/>
    <m/>
    <m/>
    <x v="0"/>
    <m/>
  </r>
  <r>
    <n v="1944"/>
    <x v="261"/>
    <s v="Mahmoud Elshahat"/>
    <x v="2"/>
    <s v="HSE"/>
    <x v="0"/>
    <x v="18"/>
    <x v="5"/>
    <s v="The cutting grinder was being used without the control handle attached"/>
    <x v="1"/>
    <s v="The work was stopped, the control handle was installed, and the worker was instructed not to operate the grinder without the handle."/>
    <m/>
    <m/>
    <m/>
    <m/>
    <m/>
    <x v="0"/>
    <m/>
  </r>
  <r>
    <n v="1945"/>
    <x v="262"/>
    <s v="Mahmoud Elshahat"/>
    <x v="2"/>
    <s v="HSE"/>
    <x v="0"/>
    <x v="3"/>
    <x v="3"/>
    <s v="Electrical cables were found unarranged and disorganized, creating a tripping hazard."/>
    <x v="1"/>
    <s v="Work was stopped, the cables were properly arranged, and stands were provided to elevate the cables safely.."/>
    <m/>
    <m/>
    <m/>
    <m/>
    <m/>
    <x v="0"/>
    <m/>
  </r>
  <r>
    <n v="1946"/>
    <x v="263"/>
    <s v="Mahmoud Elshahat"/>
    <x v="2"/>
    <s v="HSE"/>
    <x v="0"/>
    <x v="6"/>
    <x v="2"/>
    <s v="Painters were observed not wearing the required personal protective equipment (PPE) for painting activities."/>
    <x v="1"/>
    <s v="The workers were instructed to wear the proper PPE for painting tasks, including masks, gloves, and coveralls, to ensure safe working conditions."/>
    <m/>
    <m/>
    <m/>
    <m/>
    <m/>
    <x v="0"/>
    <m/>
  </r>
  <r>
    <n v="1947"/>
    <x v="259"/>
    <s v="Mahmoud Elshahat"/>
    <x v="2"/>
    <s v="HSE"/>
    <x v="0"/>
    <x v="3"/>
    <x v="1"/>
    <s v="Scaffold wooden planks were not properly fixed, creating a risk of falling or instability."/>
    <x v="1"/>
    <s v="Work on the scaffold was stopped, the scaffold tag was removed, and the issue was corrected by a competent person."/>
    <m/>
    <m/>
    <m/>
    <m/>
    <m/>
    <x v="0"/>
    <m/>
  </r>
  <r>
    <n v="1948"/>
    <x v="260"/>
    <s v="Mahmoud Samir"/>
    <x v="2"/>
    <s v="HSE"/>
    <x v="0"/>
    <x v="4"/>
    <x v="3"/>
    <s v="It has been observed storage more cups support not used on walkway. "/>
    <x v="1"/>
    <s v="All unused cup supports stored on the walkway were removed immediately to clear the access path and eliminate tripping hazards. The supervisor was instructed to ensure proper storage of materials in designated areas only. "/>
    <m/>
    <m/>
    <m/>
    <m/>
    <m/>
    <x v="0"/>
    <m/>
  </r>
  <r>
    <n v="1949"/>
    <x v="261"/>
    <s v="Mahmoud Samir"/>
    <x v="2"/>
    <s v="HSE"/>
    <x v="1"/>
    <x v="2"/>
    <x v="2"/>
    <s v="It was observed that a worker performing welding activities was not wearing _x000a_the required special PPE, specifically the welding apron. "/>
    <x v="1"/>
    <s v="The welding activity was stopped immediately, and the worker was instructed to wear the proper PPE, including the welding apron, before resuming work. The supervisor was reminded to ensure all welders are properly equipped prior to starting any hot work."/>
    <m/>
    <m/>
    <m/>
    <m/>
    <m/>
    <x v="0"/>
    <m/>
  </r>
  <r>
    <n v="1950"/>
    <x v="262"/>
    <s v="Mahmoud Samir"/>
    <x v="2"/>
    <s v="HSE"/>
    <x v="0"/>
    <x v="0"/>
    <x v="8"/>
    <s v="It was observed in front of Workshop 1 that a forklift was transporting pipelines _x000a_that were not adequately secured, posing a risk of dropping or shifting during _x000a_movement. "/>
    <x v="1"/>
    <s v="The forklift operation was stopped immediately, and the pipelines were properly _x000a_secured before resuming transport. "/>
    <s v="The forklift operator was instructed on the correct load securing procedure, and _x000a_the area supervisor was reminded to ensure that all loads are safely fastened _x000a_prior to movement. "/>
    <m/>
    <m/>
    <m/>
    <m/>
    <x v="0"/>
    <m/>
  </r>
  <r>
    <n v="1951"/>
    <x v="258"/>
    <s v="Mahmoud Samir"/>
    <x v="2"/>
    <s v="HSE"/>
    <x v="0"/>
    <x v="2"/>
    <x v="3"/>
    <s v="Poor housekeeping was observed around and inside the fabrication frames, _x000a_where plastic bottles and solid waste materials were scattered near ongoing hot _x000a_work activities. "/>
    <x v="1"/>
    <s v="The area was immediately cleaned, and all waste materials including plastic _x000a_bottles and solid debris were removed.  "/>
    <s v="The area supervisor and HSE officer was instructed to check area condition _x000a_before start activities  "/>
    <m/>
    <m/>
    <m/>
    <m/>
    <x v="0"/>
    <m/>
  </r>
  <r>
    <n v="1952"/>
    <x v="263"/>
    <s v="Mahmoud Samir"/>
    <x v="2"/>
    <s v="HSE"/>
    <x v="0"/>
    <x v="2"/>
    <x v="1"/>
    <s v="It was observed that a welder was using an unapproved scaffold work platform, _x000a_as the wooden planks were incomplete. "/>
    <x v="1"/>
    <s v="The welding activity was stopped immediately, and the unapproved scaffold platform was taken out of service. The scaffold inspector was instructed to replace the incomplete wooden planks and re-inspect the platform before allowing work to resume. "/>
    <m/>
    <m/>
    <m/>
    <m/>
    <m/>
    <x v="0"/>
    <m/>
  </r>
  <r>
    <n v="1953"/>
    <x v="262"/>
    <s v="Mahmoud Nasr"/>
    <x v="2"/>
    <s v="HSE"/>
    <x v="1"/>
    <x v="4"/>
    <x v="1"/>
    <s v="I have observed that the welder using metal bucket for working and that unsafe _x000a_platform. "/>
    <x v="1"/>
    <s v="I inform HSE PTJ to take action."/>
    <m/>
    <m/>
    <m/>
    <m/>
    <m/>
    <x v="0"/>
    <m/>
  </r>
  <r>
    <n v="1954"/>
    <x v="258"/>
    <s v="Mahmoud Nasr"/>
    <x v="2"/>
    <s v="HSE"/>
    <x v="1"/>
    <x v="4"/>
    <x v="1"/>
    <s v="I have observed that the welder using unsafe platform for work. "/>
    <x v="1"/>
    <s v="I inform HSE PTJ to take action."/>
    <m/>
    <m/>
    <m/>
    <m/>
    <m/>
    <x v="0"/>
    <m/>
  </r>
  <r>
    <n v="1955"/>
    <x v="263"/>
    <s v="Mahmoud Nasr"/>
    <x v="2"/>
    <s v="HSE"/>
    <x v="1"/>
    <x v="7"/>
    <x v="1"/>
    <s v="I have observed that the welder using chair above the scaffolding platform. "/>
    <x v="1"/>
    <s v="I inform HSE PTJ to take action."/>
    <m/>
    <m/>
    <m/>
    <m/>
    <m/>
    <x v="0"/>
    <m/>
  </r>
  <r>
    <n v="1956"/>
    <x v="261"/>
    <s v="Mahmoud Nasr"/>
    <x v="2"/>
    <s v="HSE"/>
    <x v="0"/>
    <x v="7"/>
    <x v="3"/>
    <s v="I have observed Plastic pages were seen inside the hot work area. This is a fire _x000a_risk, as plastic can burn or melt from sparks or heat. "/>
    <x v="1"/>
    <s v="I inform HSE PTJ to take action. "/>
    <m/>
    <m/>
    <m/>
    <m/>
    <m/>
    <x v="0"/>
    <m/>
  </r>
  <r>
    <n v="1957"/>
    <x v="261"/>
    <s v="Mahmoud Nasr"/>
    <x v="2"/>
    <s v="HSE"/>
    <x v="0"/>
    <x v="7"/>
    <x v="3"/>
    <s v="I have observed a metal sheet unsecured and moving due to strong wind. This _x000a_poses a risk of falling objects or injury to nearby workers "/>
    <x v="1"/>
    <s v="I inform HSE PTJ to take action. "/>
    <m/>
    <m/>
    <m/>
    <m/>
    <m/>
    <x v="0"/>
    <m/>
  </r>
  <r>
    <n v="1958"/>
    <x v="264"/>
    <s v="Mahmoud Nasr"/>
    <x v="2"/>
    <s v="HSE"/>
    <x v="2"/>
    <x v="6"/>
    <x v="8"/>
    <s v="Observed lifting activity complying with safety standard – Proper barricading and safe rigging."/>
    <x v="5"/>
    <s v="Commenced the team to keep up with the good work and always comply to the safety standard."/>
    <m/>
    <m/>
    <m/>
    <m/>
    <m/>
    <x v="1"/>
    <m/>
  </r>
  <r>
    <n v="1959"/>
    <x v="265"/>
    <s v="Mahmoud Elshahat"/>
    <x v="2"/>
    <s v="HSE"/>
    <x v="0"/>
    <x v="3"/>
    <x v="5"/>
    <s v="During the inspection of compressed gas cylinders, A CO₂ gas cylinder was found leaking during inspection"/>
    <x v="1"/>
    <s v="The work was stopped, the supervisor was instructed to replace the cylinder, and it was inspected safe before use."/>
    <m/>
    <m/>
    <m/>
    <m/>
    <m/>
    <x v="0"/>
    <m/>
  </r>
  <r>
    <n v="1960"/>
    <x v="266"/>
    <s v="Mahmoud Elshahat"/>
    <x v="2"/>
    <s v="HSE"/>
    <x v="0"/>
    <x v="18"/>
    <x v="3"/>
    <s v="Electrical cables were found unorganized, and dust accumulation was observed on top of the frame."/>
    <x v="1"/>
    <s v="Work was stopped, all cables were rearranged, and the frame was cleaned to maintain good housekeeping and safety standards."/>
    <m/>
    <m/>
    <m/>
    <m/>
    <m/>
    <x v="0"/>
    <m/>
  </r>
  <r>
    <n v="1961"/>
    <x v="267"/>
    <s v="Mahmoud Elshahat"/>
    <x v="2"/>
    <s v="HSE"/>
    <x v="0"/>
    <x v="3"/>
    <x v="1"/>
    <s v="Scaffold wooden planks were not properly fixed, creating a potential fall hazard."/>
    <x v="1"/>
    <s v="Work on the scaffold was stopped, the scaffold tag was removed, the scaffolding inspector was informed, and the planks were properly secured."/>
    <m/>
    <m/>
    <m/>
    <m/>
    <m/>
    <x v="0"/>
    <m/>
  </r>
  <r>
    <n v="1962"/>
    <x v="268"/>
    <s v="Mahmoud Elshahat"/>
    <x v="2"/>
    <s v="HSE"/>
    <x v="0"/>
    <x v="6"/>
    <x v="8"/>
    <s v=" The forklift was lifting materials without proper securing and arrangement.."/>
    <x v="1"/>
    <s v="The forklift operation was stopped, the supervisor was informed, and the materials were properly secured and arranged before resuming work."/>
    <m/>
    <m/>
    <m/>
    <m/>
    <m/>
    <x v="0"/>
    <m/>
  </r>
  <r>
    <n v="1963"/>
    <x v="269"/>
    <s v="Mahmoud Elshahat"/>
    <x v="2"/>
    <s v="HSE"/>
    <x v="0"/>
    <x v="7"/>
    <x v="4"/>
    <s v="The support under the plate was not properly fixed, and the Safe Working Load (SWL) was not indicated."/>
    <x v="1"/>
    <s v="Work on the plate was stopped, and the responsible supervisor was instructed to secure the support and clearly mark the SWL on the structure."/>
    <m/>
    <m/>
    <m/>
    <m/>
    <m/>
    <x v="0"/>
    <m/>
  </r>
  <r>
    <n v="1964"/>
    <x v="269"/>
    <s v="Mahmoud Elshahat"/>
    <x v="2"/>
    <s v="HSE"/>
    <x v="0"/>
    <x v="6"/>
    <x v="18"/>
    <s v="The compressor’s grounding cable was not properly connected, and a deep tray was not placed underneath the compressor."/>
    <x v="1"/>
    <s v="Work was stopped, the supervisor was instructed to correct the issue, and the grounding and deep tray were properly installed."/>
    <m/>
    <m/>
    <m/>
    <m/>
    <m/>
    <x v="0"/>
    <m/>
  </r>
  <r>
    <n v="1965"/>
    <x v="266"/>
    <s v="Mahmoud Elshahat"/>
    <x v="2"/>
    <s v="HSE"/>
    <x v="0"/>
    <x v="1"/>
    <x v="2"/>
    <s v="A welder was observed performing hot work without wearing a welding apron, exposing himself to burns and injury.."/>
    <x v="1"/>
    <s v="A safety briefing was held for all workers involved in hot work to stress the mandatory use of personal protective equipment (PPE), including welding aprons, to comply with safety standards and reduce injury risk."/>
    <m/>
    <m/>
    <m/>
    <m/>
    <m/>
    <x v="0"/>
    <m/>
  </r>
  <r>
    <n v="1966"/>
    <x v="266"/>
    <s v="Mahmoud Elshahat"/>
    <x v="2"/>
    <s v="HSE"/>
    <x v="2"/>
    <x v="1"/>
    <x v="3"/>
    <s v="Observed good housekeeping maintained in the area"/>
    <x v="5"/>
    <s v="Commended the workers and encouraged them to keep up the good House keeping"/>
    <m/>
    <m/>
    <m/>
    <m/>
    <m/>
    <x v="1"/>
    <m/>
  </r>
  <r>
    <n v="1967"/>
    <x v="267"/>
    <s v="Mahmoud Nasr"/>
    <x v="2"/>
    <s v="HSE"/>
    <x v="1"/>
    <x v="2"/>
    <x v="1"/>
    <s v="I have observed that The rigger climbing up the frame without any accessway as _x000a_ladder. "/>
    <x v="1"/>
    <s v="I stopped him, explained my concern about safety, and gave him a penalty. "/>
    <m/>
    <m/>
    <m/>
    <m/>
    <m/>
    <x v="0"/>
    <m/>
  </r>
  <r>
    <n v="1968"/>
    <x v="270"/>
    <s v="Mahmoud Nasr"/>
    <x v="2"/>
    <s v="HSE"/>
    <x v="1"/>
    <x v="2"/>
    <x v="2"/>
    <s v="I observed a fitter using a gas cutting torch without wearing the required PPE _x000a_for this task. "/>
    <x v="1"/>
    <s v="I immediately stopped the work and informed him about the safety concern. I instructed him to use the proper PPE before continuing and issued a penalty as per safety procedures. "/>
    <m/>
    <m/>
    <m/>
    <m/>
    <m/>
    <x v="0"/>
    <m/>
  </r>
  <r>
    <n v="1969"/>
    <x v="270"/>
    <s v="Mahmoud Nasr"/>
    <x v="2"/>
    <s v="HSE"/>
    <x v="1"/>
    <x v="0"/>
    <x v="17"/>
    <s v="I observed a worker moving a gas cylinder by hand instead of using the proper _x000a_trolley. "/>
    <x v="1"/>
    <s v="I immediately stopped the worker and explained the safe procedure for moving _x000a_cylinders using a trolley. A penalty was issued in accordance with safety rules."/>
    <m/>
    <m/>
    <m/>
    <m/>
    <m/>
    <x v="0"/>
    <m/>
  </r>
  <r>
    <n v="1970"/>
    <x v="269"/>
    <s v="Mahmoud Nasr"/>
    <x v="2"/>
    <s v="HSE"/>
    <x v="0"/>
    <x v="4"/>
    <x v="3"/>
    <s v="I have observed that the scaffolding materials were not organized and not _x000a_secured from nearby activities."/>
    <x v="1"/>
    <s v="I stopped the work, explained my concern, and they started to isolate the area _x000a_with caution tape or barrier. "/>
    <m/>
    <m/>
    <m/>
    <m/>
    <m/>
    <x v="0"/>
    <m/>
  </r>
  <r>
    <n v="1971"/>
    <x v="266"/>
    <s v="Mahmoud Nasr"/>
    <x v="2"/>
    <s v="HSE"/>
    <x v="0"/>
    <x v="0"/>
    <x v="4"/>
    <s v="I have observed that The structure is not level with the supports because the _x000a_weight is on one side. This  make the structure unstable. It needs to be adjusted _x000a_and the load balanced properly "/>
    <x v="1"/>
    <s v="I spoke with PTJ HSE and the workshop supervisor to remove the weights and check all the frames before starting any work. "/>
    <m/>
    <m/>
    <m/>
    <m/>
    <m/>
    <x v="0"/>
    <m/>
  </r>
  <r>
    <n v="1972"/>
    <x v="266"/>
    <s v="Mahmoud Nasr"/>
    <x v="2"/>
    <s v="HSE"/>
    <x v="0"/>
    <x v="2"/>
    <x v="4"/>
    <s v="I have observed using woods to support the roof of the tarpaulin.  "/>
    <x v="1"/>
    <s v="I stopped any activities under the tarpaulin , explained my concern, and they _x000a_changed with support from scaffolding. "/>
    <m/>
    <m/>
    <m/>
    <m/>
    <m/>
    <x v="0"/>
    <m/>
  </r>
  <r>
    <n v="1973"/>
    <x v="270"/>
    <s v="Mahmoud Nasr"/>
    <x v="2"/>
    <s v="HSE"/>
    <x v="0"/>
    <x v="0"/>
    <x v="8"/>
    <s v="While lifting a metal sheet, I noticed that some cut pieces were loose and could _x000a_fall during lifting. "/>
    <x v="1"/>
    <s v="I immediately stopped the lifting operation and informed the supervisor. I recommended removing the loose cut parts before resuming the lift to ensure safety. "/>
    <m/>
    <m/>
    <m/>
    <m/>
    <m/>
    <x v="0"/>
    <m/>
  </r>
  <r>
    <n v="1974"/>
    <x v="270"/>
    <s v="Mahmoud Nasr"/>
    <x v="2"/>
    <s v="HSE"/>
    <x v="0"/>
    <x v="17"/>
    <x v="10"/>
    <s v="I observed that lifting activities were being carried out without a valid Permit to _x000a_Work (PTW)."/>
    <x v="1"/>
    <s v="I immediately stopped the lifting operation and explained to the lifting team _x000a_that they must verify and obtain an approved PTW before starting any job. "/>
    <m/>
    <m/>
    <m/>
    <m/>
    <m/>
    <x v="0"/>
    <m/>
  </r>
  <r>
    <n v="1975"/>
    <x v="268"/>
    <s v="Mahmoud Nasr"/>
    <x v="2"/>
    <s v="HSE"/>
    <x v="0"/>
    <x v="17"/>
    <x v="4"/>
    <s v="I observed that the structure was not properly secured, and the leveling was _x000a_poor, creating an unsafe condition."/>
    <x v="1"/>
    <s v="I informed the HSE and PTJ teams to stop all activities around the structure. Caution tape was placed around the area until the structure could be moved to a safe and properly leveled location. "/>
    <m/>
    <m/>
    <m/>
    <m/>
    <m/>
    <x v="0"/>
    <m/>
  </r>
  <r>
    <n v="1976"/>
    <x v="268"/>
    <s v="Mahmoud Nasr"/>
    <x v="2"/>
    <s v="HSE"/>
    <x v="0"/>
    <x v="17"/>
    <x v="0"/>
    <s v="I observed that a cable connected to an electrical panel had tape applied to part _x000a_of it. "/>
    <x v="1"/>
    <s v="I called the electrical technician to inspect the issue. Upon removing the tape, we discovered that the cable was not properly insulated. The technician immediately isolated the power source, closed the panel, and removed it from the area to prevent any electrical hazard."/>
    <m/>
    <m/>
    <m/>
    <m/>
    <m/>
    <x v="0"/>
    <m/>
  </r>
  <r>
    <n v="1977"/>
    <x v="265"/>
    <s v="Mahmoud Nasr"/>
    <x v="2"/>
    <s v="HSE"/>
    <x v="0"/>
    <x v="2"/>
    <x v="4"/>
    <s v="I observed sharp edges on materials located near an access way, which could _x000a_cause injury to personnel passing by."/>
    <x v="1"/>
    <s v="I informed the PTJ HSE team about the hazard and instructed them to secure the access way to prevent anyone from approaching the sharp-edged materials until they are made safe. "/>
    <m/>
    <m/>
    <m/>
    <m/>
    <m/>
    <x v="0"/>
    <m/>
  </r>
  <r>
    <n v="1978"/>
    <x v="265"/>
    <s v="Mahmoud Nasr"/>
    <x v="2"/>
    <s v="HSE"/>
    <x v="0"/>
    <x v="2"/>
    <x v="8"/>
    <s v="I observed that the lifting team was using eye bolts incorrectly while moving the sheet, The eye bolts were being used in a way that was not intended, as they are designed only for vertical lifting in specific applications "/>
    <x v="1"/>
    <s v="I immediately instructed the team to lower the load and stop the lifting operation. Afterward, I spoke with the team to explain the safety concern and reminded them of the correct use of eye bolts for vertical lifts only. "/>
    <m/>
    <m/>
    <m/>
    <m/>
    <m/>
    <x v="0"/>
    <m/>
  </r>
  <r>
    <n v="1979"/>
    <x v="270"/>
    <s v="Malcolm Garrington"/>
    <x v="1"/>
    <s v="Project Manager"/>
    <x v="0"/>
    <x v="8"/>
    <x v="8"/>
    <s v="CPY noted that a PTJ worker was working underneath the load.  The sub-element which was elevated (not supported while worker was underneath)  _x000a_CPY noted the lifting team and PTJ supervisor was present , yet allowed the worker to work in a very unsafe and in none compliance to procedure."/>
    <x v="2"/>
    <s v=" CPY immediately “stop work authority” and requested the worker to come from underneath the suspended load. _x000a_CPY than liaised with TFMC and PTJ to arrange a stand-down and take corrective actions "/>
    <s v="TFMC HSE to be present more often within the workshops (3 and 4).  CPY note HSE TFMC personnel on site but could be more productive within interactions. "/>
    <m/>
    <m/>
    <m/>
    <m/>
    <x v="0"/>
    <m/>
  </r>
  <r>
    <n v="1980"/>
    <x v="270"/>
    <s v="Malcolm Garrington"/>
    <x v="1"/>
    <s v="Project Manager"/>
    <x v="2"/>
    <x v="0"/>
    <x v="5"/>
    <s v="CPY noted a PTJ worker changing out a grinder disc and following the correct _x000a_application with the following  _x000a_- Ginder spanner _x000a_- Cable/power disconnected from mains _x000a_- Correct stable conditions for changing out disc _x000a_- Worker working gloves and PPE "/>
    <x v="1"/>
    <m/>
    <m/>
    <m/>
    <m/>
    <m/>
    <m/>
    <x v="1"/>
    <m/>
  </r>
  <r>
    <n v="1981"/>
    <x v="268"/>
    <s v="Ahmed Nasr"/>
    <x v="1"/>
    <s v="Fabrication"/>
    <x v="2"/>
    <x v="5"/>
    <x v="13"/>
    <s v="It has been observed that Fire extinguisher signage placed in such a visible _x000a_manner"/>
    <x v="1"/>
    <s v="Encouraged the workers and HSE Team"/>
    <m/>
    <m/>
    <m/>
    <m/>
    <m/>
    <x v="1"/>
    <m/>
  </r>
  <r>
    <n v="1982"/>
    <x v="268"/>
    <s v="Ahmed Nasr"/>
    <x v="1"/>
    <s v="Fabrication"/>
    <x v="2"/>
    <x v="5"/>
    <x v="2"/>
    <s v="It has been observed that a grinder operator is complying with PPE standard in _x000a_Wshop 7"/>
    <x v="1"/>
    <s v="Encouraged the Grinder"/>
    <m/>
    <m/>
    <m/>
    <m/>
    <m/>
    <x v="1"/>
    <m/>
  </r>
  <r>
    <n v="1983"/>
    <x v="268"/>
    <s v="Ahmed Nasr"/>
    <x v="1"/>
    <s v="Fabrication"/>
    <x v="0"/>
    <x v="5"/>
    <x v="3"/>
    <s v="It has been observed that house keeping around scrap area need more_x000a_improvement and segregation"/>
    <x v="2"/>
    <s v="Communicated to PTJ HSE and immediately get the labors to perform good segregation"/>
    <m/>
    <m/>
    <m/>
    <m/>
    <m/>
    <x v="0"/>
    <m/>
  </r>
  <r>
    <n v="1984"/>
    <x v="266"/>
    <s v="Ahmed Nasr"/>
    <x v="1"/>
    <s v="Fabrication"/>
    <x v="0"/>
    <x v="5"/>
    <x v="1"/>
    <s v="It has been observed that a faded scaffolding tag been used (Color changer_x000a_from Green to Blue) in front of WShop 2"/>
    <x v="2"/>
    <s v="Communicated to PTJ HSE and immediately get the scaffolding supervisor to change the faded tag with new one"/>
    <m/>
    <m/>
    <m/>
    <m/>
    <m/>
    <x v="0"/>
    <m/>
  </r>
  <r>
    <n v="1985"/>
    <x v="263"/>
    <s v="Ahmed Nasr"/>
    <x v="1"/>
    <s v="Fabrication"/>
    <x v="0"/>
    <x v="5"/>
    <x v="1"/>
    <s v="It has been observed that a lot of damaged scaffold boards with nails are been_x000a_used in WShop 2"/>
    <x v="2"/>
    <s v="Communicated to scaffolding supervisor to take the damaged scaffolds board off site and not to be used"/>
    <m/>
    <m/>
    <m/>
    <m/>
    <m/>
    <x v="0"/>
    <m/>
  </r>
  <r>
    <n v="1986"/>
    <x v="268"/>
    <s v="Ahmed Nasr"/>
    <x v="1"/>
    <s v="Fabrication"/>
    <x v="0"/>
    <x v="5"/>
    <x v="7"/>
    <s v="It has been observed that Garnet was on ground and mixed with sand, as there_x000a_was no tarpaulin cover on ground in the sand blasting area"/>
    <x v="2"/>
    <s v="Communicated to HSE and Construction leads and agreed to make sure that the ground has to be covered with tarpaulin before any sand blasting activities"/>
    <m/>
    <m/>
    <m/>
    <m/>
    <m/>
    <x v="0"/>
    <m/>
  </r>
  <r>
    <n v="1987"/>
    <x v="263"/>
    <s v="Ahmed Nasr"/>
    <x v="1"/>
    <s v="Fabrication"/>
    <x v="0"/>
    <x v="5"/>
    <x v="3"/>
    <s v="It has been observed that the plastic bags used to collect paper and plastic_x000a_wastes located inside WShop 3"/>
    <x v="2"/>
    <s v="Communicated to HSE and Construction supervisors and agreed to dedicate a _x000a_proper location for these plastic bags out side the work shops"/>
    <m/>
    <m/>
    <m/>
    <m/>
    <m/>
    <x v="0"/>
    <m/>
  </r>
  <r>
    <n v="1988"/>
    <x v="268"/>
    <s v="Ahmed Nasr"/>
    <x v="1"/>
    <s v="Fabrication"/>
    <x v="0"/>
    <x v="5"/>
    <x v="4"/>
    <s v="It has been observed that a caution tap has been put around a yoke structure,_x000a_where it was captured by HSE team that the ground is not leveled"/>
    <x v="2"/>
    <s v="Although the good temporary action to have a caution tap around the structure, but leaving the structure in an unstable condition is more risky_x000a_Communicated with HSE and Construction team to avail a crane and lower down the structure from the stand to a safe position"/>
    <m/>
    <m/>
    <m/>
    <m/>
    <m/>
    <x v="0"/>
    <m/>
  </r>
  <r>
    <n v="1989"/>
    <x v="259"/>
    <s v="Stephane Heliard"/>
    <x v="1"/>
    <s v="QC"/>
    <x v="0"/>
    <x v="5"/>
    <x v="3"/>
    <s v="Waste Management against ISO 14001 and PTJ-HSE- GF-001 Fabrication Yard _x000a_Activities - Petrojet HSE Plan requirements "/>
    <x v="2"/>
    <s v="On 17/10/2025, at the Zeit Bay Shipyard, during a site visit, it was visually observed that various project crates from items supplied by the company were improperly disposed of in a waste accumulation near the sea. _x000a_This situation is against the Contract Exh L, ISO 14001 and PTJ-HSE- GF-001 Fabrication Yard Activities - Petrojet HSE Plan requirements. _x000a_In addition a clear project identification remained onto the crate which may negatively impact the reputation of the Project and Company. "/>
    <m/>
    <m/>
    <m/>
    <m/>
    <m/>
    <x v="0"/>
    <m/>
  </r>
  <r>
    <n v="1990"/>
    <x v="265"/>
    <s v="Chris Eaton"/>
    <x v="1"/>
    <s v="QC"/>
    <x v="2"/>
    <x v="2"/>
    <x v="2"/>
    <s v="During visit to workshop 2 operator of partially mechanized flame cutting _x000a_equipment found to be wearing minimum PPE and task specific burning eye _x000a_protection."/>
    <x v="5"/>
    <s v="Commended the workers and encouraged them to keep up the good PPE standard."/>
    <m/>
    <m/>
    <m/>
    <m/>
    <m/>
    <x v="1"/>
    <m/>
  </r>
  <r>
    <n v="1991"/>
    <x v="265"/>
    <s v="Chris Eaton"/>
    <x v="1"/>
    <s v="QC"/>
    <x v="2"/>
    <x v="0"/>
    <x v="2"/>
    <s v="During visit to workshop 1 welders were found to be wearing all mandatory and _x000a_task based PPE. "/>
    <x v="5"/>
    <s v="Commended the workers and encouraged them to keep up the good PPE standard. "/>
    <m/>
    <m/>
    <m/>
    <m/>
    <m/>
    <x v="1"/>
    <m/>
  </r>
  <r>
    <n v="1992"/>
    <x v="268"/>
    <s v="Ahmed Nasr"/>
    <x v="1"/>
    <s v="Fabrication"/>
    <x v="2"/>
    <x v="5"/>
    <x v="3"/>
    <s v="It has been observed a good level of house keeping in Wshop 7"/>
    <x v="5"/>
    <s v="Encouraged the workers and HSE Team"/>
    <m/>
    <m/>
    <m/>
    <m/>
    <m/>
    <x v="1"/>
    <m/>
  </r>
  <r>
    <n v="1993"/>
    <x v="271"/>
    <s v="Malcolm Garrington"/>
    <x v="1"/>
    <s v="Project Manager"/>
    <x v="0"/>
    <x v="15"/>
    <x v="11"/>
    <s v="CPY noted a HSE Project related safety notice board being used as part of a habitat. _x000a_See photo for evidence, please remove and use a suitable fire-retardant tarpaulin _x000a_for habitats which continues hot work activities. "/>
    <x v="2"/>
    <s v="TFMC and PTJ to look for no compliant items or arrangements and then take appropriate intervention. "/>
    <m/>
    <m/>
    <m/>
    <m/>
    <m/>
    <x v="0"/>
    <m/>
  </r>
  <r>
    <n v="1994"/>
    <x v="271"/>
    <s v="Malcolm Garrington"/>
    <x v="1"/>
    <s v="Project Manager"/>
    <x v="0"/>
    <x v="5"/>
    <x v="9"/>
    <s v="CPY noted that PTJ Construction manager and HSE manager commenced the planned PTJ and project yard TBT today on Monday the 27th of October. _x000a_At that time several key upper PTJ management were not accordingly attending. "/>
    <x v="2"/>
    <s v="CPY intervened and requested that TBT be “stopped” and consult missing PTJ Upper management personnel to attend.  _x000a_At no time did the HSE Manager intervene, likewise TFMC HSE Manager. _x000a_CPY reiterated that this is a mandatory TBT that all personnel need to attend on time. "/>
    <s v="TFMC to intervene with their subcontractor and accordingly readvise of upper management to safety compliance and commitments.  Lead by Example. "/>
    <m/>
    <m/>
    <m/>
    <m/>
    <x v="0"/>
    <m/>
  </r>
  <r>
    <n v="1995"/>
    <x v="271"/>
    <s v="Malcolm Garrington"/>
    <x v="1"/>
    <s v="Project Manager"/>
    <x v="1"/>
    <x v="5"/>
    <x v="16"/>
    <s v="During the weekly mandatory HSE TBT the topic for this week was (again) PTJ workers using mobile phones while inside high-risk areas (i.e. workshops). _x000a_Post TBT, CPY completed a yard wide walkaround and noticed a very high quantity of PTJ personnel using mobile phones while within the workshops. "/>
    <x v="2"/>
    <s v="CPY politely asked if the PTJ workers understood the HSE topic and asked why these continued to use their mobile phones.   _x000a_PTJ workers could not answer and no PTJ supervision was mostly around.  Within workshop 3 there was a supervisor who did not intervene.    Additionally, no PTJ or TFMC HSE intervened to advise. "/>
    <s v="TFMC to ask what the corrective measures PTJ management will take. This topic has been discussed on several occasions with zero impact due to zero mitigations from PTJ HSE or management intervention. "/>
    <m/>
    <m/>
    <m/>
    <m/>
    <x v="0"/>
    <m/>
  </r>
  <r>
    <n v="1996"/>
    <x v="271"/>
    <s v="Malcolm Garrington"/>
    <x v="1"/>
    <s v="Project Manager"/>
    <x v="0"/>
    <x v="5"/>
    <x v="9"/>
    <s v="CPY observed that several PTJ/TFMC personnel arriving late at planned (aligned) timing from Tri-Parties. _x000a_TBT(s) start at 07:30hrs with all personnel in attendance. However, CPY is becoming increasingly alarmed at the number of personnel who arrive late, and impact either planned start time or the personnel who arrive late."/>
    <x v="2"/>
    <s v="CPY illustrates that all parties and all personnel must be on time.  It is the sole duty of all personnel. _x000a_Further impacts due to lack of commitment or leadership will be addressed at TBT(s) with delays being noted. "/>
    <s v="TFMC to follow up, respond back to CPY Fabrication Manager on what corrective actions will be implemented and/or addressed to ensure there are no further unprofessional behaviour(s). "/>
    <m/>
    <m/>
    <m/>
    <m/>
    <x v="0"/>
    <m/>
  </r>
  <r>
    <n v="1997"/>
    <x v="272"/>
    <s v="Lance Pretorius"/>
    <x v="1"/>
    <s v="HSE"/>
    <x v="3"/>
    <x v="3"/>
    <x v="2"/>
    <s v="Wearing of approved PPE – 4-point chinstrap helmets "/>
    <x v="5"/>
    <s v="Commended the scaffolding team for safe PPE practices "/>
    <m/>
    <m/>
    <m/>
    <m/>
    <m/>
    <x v="1"/>
    <m/>
  </r>
  <r>
    <n v="1998"/>
    <x v="272"/>
    <s v="Lance Pretorius"/>
    <x v="1"/>
    <s v="HSE"/>
    <x v="2"/>
    <x v="18"/>
    <x v="3"/>
    <s v="Whilst conducting management walkabout it was noted that WS#1 was being _x000a_maintained clean and safe  "/>
    <x v="2"/>
    <s v="Commended to workforce for maintaining a high standard of housekeeping in the workshop "/>
    <m/>
    <m/>
    <m/>
    <m/>
    <m/>
    <x v="0"/>
    <m/>
  </r>
  <r>
    <n v="1999"/>
    <x v="272"/>
    <s v="Lance Pretorius"/>
    <x v="1"/>
    <s v="HSE"/>
    <x v="1"/>
    <x v="8"/>
    <x v="9"/>
    <s v="PTJ Supervisor not wearing his safety glasses whilst discussing an activity with a welder  "/>
    <x v="2"/>
    <s v="Instructed the PTJ Supervisor not wearing his safety glasses whilst discussing an activity with a welder, to ensure he wears his PPE correctly for his own safety and for leading by example for his team "/>
    <m/>
    <m/>
    <m/>
    <m/>
    <m/>
    <x v="0"/>
    <m/>
  </r>
  <r>
    <n v="2000"/>
    <x v="272"/>
    <s v="Lance Pretorius"/>
    <x v="1"/>
    <s v="HSE"/>
    <x v="0"/>
    <x v="6"/>
    <x v="1"/>
    <s v="Scaffold tags observed in color blue but must be in color green. _x000a__x000a_Effected by the sunlight in Zeit Bay "/>
    <x v="2"/>
    <s v="Scaffolding foreman, via TFMC HSE Advisor, requested to conduct a survey and replace _x000a_damaged color scaffolding tags "/>
    <s v="Regular inspection of scaffold tags. "/>
    <m/>
    <m/>
    <m/>
    <m/>
    <x v="0"/>
    <m/>
  </r>
  <r>
    <n v="2001"/>
    <x v="273"/>
    <s v="Mahmoud Elshahat"/>
    <x v="2"/>
    <s v="HSE"/>
    <x v="0"/>
    <x v="3"/>
    <x v="1"/>
    <s v="Openings were found on the frame without proper protection, creating a potential fall hazard for workers."/>
    <x v="1"/>
    <s v="Work was stopped, and a guardrail was installed to secure all openings and prevent falls."/>
    <m/>
    <m/>
    <m/>
    <m/>
    <m/>
    <x v="0"/>
    <m/>
  </r>
  <r>
    <n v="2002"/>
    <x v="274"/>
    <s v="Mahmoud Elshahat"/>
    <x v="2"/>
    <s v="HSE"/>
    <x v="0"/>
    <x v="9"/>
    <x v="0"/>
    <s v="Electrical cables were found unorganized, and dust accumulation was observed on top of the frame."/>
    <x v="1"/>
    <s v="Work was stopped, all cables were rearranged, and the frame was cleaned to maintain good housekeeping and safety standards._x000a_"/>
    <m/>
    <m/>
    <m/>
    <m/>
    <m/>
    <x v="0"/>
    <m/>
  </r>
  <r>
    <n v="2003"/>
    <x v="271"/>
    <s v="Mahmoud Elshahat"/>
    <x v="2"/>
    <s v="HSE"/>
    <x v="0"/>
    <x v="3"/>
    <x v="3"/>
    <s v="Uneven ground surface with rocks was observed in the work area, creating a tripping hazard for workers."/>
    <x v="1"/>
    <s v="Work was stopped, the area was cleaned, and the ground was leveled to eliminate the tripping risk."/>
    <m/>
    <m/>
    <m/>
    <m/>
    <m/>
    <x v="0"/>
    <m/>
  </r>
  <r>
    <n v="2004"/>
    <x v="273"/>
    <s v="Mahmoud Elshahat"/>
    <x v="2"/>
    <s v="HSE"/>
    <x v="0"/>
    <x v="6"/>
    <x v="5"/>
    <s v=" Flammable materials (workers’ personal bags) were placed near welding and cutting activities, posing a fire risk."/>
    <x v="1"/>
    <s v="The work was stopped, and workers were instructed to keep all flammable materials away from hot work areas to maintain fire safety."/>
    <m/>
    <m/>
    <m/>
    <m/>
    <m/>
    <x v="0"/>
    <m/>
  </r>
  <r>
    <n v="2005"/>
    <x v="272"/>
    <s v="Mahmoud Elshahat"/>
    <x v="2"/>
    <s v="HSE"/>
    <x v="1"/>
    <x v="18"/>
    <x v="18"/>
    <s v="cutting grinder was being used without the control handle."/>
    <x v="1"/>
    <s v="The work was stopped, and workers were instructed not to operate the grinder without the control handle to ensure safe operation."/>
    <m/>
    <m/>
    <m/>
    <m/>
    <m/>
    <x v="0"/>
    <m/>
  </r>
  <r>
    <n v="2006"/>
    <x v="275"/>
    <s v="Mahmoud Elshahat"/>
    <x v="2"/>
    <s v="HSE"/>
    <x v="1"/>
    <x v="6"/>
    <x v="2"/>
    <s v="A welder was found not wearing the required personal protective equipment (welding apron) during welding activities."/>
    <x v="1"/>
    <s v="The welder was instructed on the importance of using proper PPE during hot work to prevent burns and injuries."/>
    <m/>
    <m/>
    <m/>
    <m/>
    <m/>
    <x v="0"/>
    <m/>
  </r>
  <r>
    <n v="2007"/>
    <x v="273"/>
    <s v="Mahmoud Samir"/>
    <x v="2"/>
    <s v="HSE"/>
    <x v="2"/>
    <x v="1"/>
    <x v="3"/>
    <s v="Scaffolding team arranged the scaffolding material in proper order to ensure access ways are not blocked"/>
    <x v="5"/>
    <s v="Commended the scaffolding team for safe practices"/>
    <m/>
    <m/>
    <m/>
    <m/>
    <m/>
    <x v="1"/>
    <m/>
  </r>
  <r>
    <n v="2008"/>
    <x v="275"/>
    <s v="Mahmoud Samir"/>
    <x v="2"/>
    <s v="HSE"/>
    <x v="0"/>
    <x v="1"/>
    <x v="5"/>
    <s v="Observed compressed gas cylinder was observed placed in a small-sized trolley, which may not provide adequate stability or support during handling."/>
    <x v="1"/>
    <s v="advised to transfer the cylinder to a larger, properly fitted trolley designed to ensure safe handling and stability."/>
    <m/>
    <m/>
    <m/>
    <m/>
    <m/>
    <x v="0"/>
    <m/>
  </r>
  <r>
    <n v="2009"/>
    <x v="273"/>
    <s v="Mahmoud Samir"/>
    <x v="2"/>
    <s v="HSE"/>
    <x v="0"/>
    <x v="7"/>
    <x v="11"/>
    <s v="Observed The wooden bracket holder of the fire extinguisher was found broken, likely due to misuse."/>
    <x v="1"/>
    <s v="Advised to replace the damaged fire extinguisher wooden bracket holder and instructed personnel not to tamper with or sit on it to prevent future damage."/>
    <m/>
    <m/>
    <m/>
    <m/>
    <m/>
    <x v="0"/>
    <m/>
  </r>
  <r>
    <n v="2010"/>
    <x v="271"/>
    <s v="Mahmoud Samir"/>
    <x v="2"/>
    <s v="HSE"/>
    <x v="0"/>
    <x v="7"/>
    <x v="7"/>
    <s v="The access way was observed to be blocked by a tarpaulin, restricting safe passage.."/>
    <x v="1"/>
    <s v="Advised to remove the tarpaulin and reassemble it in a manner that maintains clear and unobstructed access at all times."/>
    <m/>
    <m/>
    <m/>
    <m/>
    <m/>
    <x v="0"/>
    <m/>
  </r>
  <r>
    <n v="2011"/>
    <x v="274"/>
    <s v="Mahmoud Samir"/>
    <x v="2"/>
    <s v="HSE"/>
    <x v="0"/>
    <x v="7"/>
    <x v="5"/>
    <s v="Observed workers placing their personal bags in close proximity to the hot work area, posing a potential fire and safety hazard."/>
    <x v="1"/>
    <s v="Advised to remove all personal belongings from the hot work zone and place them in a designated safe area away from heat, sparks, and ignition sources."/>
    <m/>
    <m/>
    <m/>
    <m/>
    <m/>
    <x v="0"/>
    <m/>
  </r>
  <r>
    <n v="2012"/>
    <x v="273"/>
    <s v="Mahmoud Nasr"/>
    <x v="2"/>
    <s v="HSE"/>
    <x v="2"/>
    <x v="0"/>
    <x v="3"/>
    <s v="Observed good cable management at workshop and access ways are clear"/>
    <x v="1"/>
    <m/>
    <m/>
    <m/>
    <m/>
    <m/>
    <m/>
    <x v="0"/>
    <m/>
  </r>
  <r>
    <n v="2013"/>
    <x v="275"/>
    <s v="Mahmoud Nasr"/>
    <x v="2"/>
    <s v="HSE"/>
    <x v="0"/>
    <x v="0"/>
    <x v="3"/>
    <s v="I observed that the Scaffolding materials were found unorganized and stored _x000a_inside the workshop, which is not allowed . "/>
    <x v="1"/>
    <s v="I immediately Informed the supervisor to organize the scaffolding materials and remove them from the workshop area. "/>
    <m/>
    <m/>
    <m/>
    <m/>
    <m/>
    <x v="0"/>
    <m/>
  </r>
  <r>
    <n v="2014"/>
    <x v="273"/>
    <s v="Mahmoud Nasr"/>
    <x v="2"/>
    <s v="HSE"/>
    <x v="0"/>
    <x v="0"/>
    <x v="3"/>
    <s v="I observed that the Lifting accessories were found stored improperly on the _x000a_ground together with other materials inside the workshop. "/>
    <x v="1"/>
    <s v="I immediately Informed the supervisor to store the lifting accessories in a designated safe area specifically for lifting tools and to remove unused materials from inside the workshop. "/>
    <m/>
    <m/>
    <m/>
    <m/>
    <m/>
    <x v="0"/>
    <m/>
  </r>
  <r>
    <n v="2015"/>
    <x v="271"/>
    <s v="Mahmoud Nasr"/>
    <x v="2"/>
    <s v="HSE"/>
    <x v="0"/>
    <x v="0"/>
    <x v="5"/>
    <s v="I observed that the Flammable materials (wood) were found stored inside the _x000a_workshop.  "/>
    <x v="1"/>
    <s v="I immediately Informed the supervisor that the flammable materials must be _x000a_removed from the workshop to ensure fire safety compliance."/>
    <m/>
    <m/>
    <m/>
    <m/>
    <m/>
    <x v="0"/>
    <m/>
  </r>
  <r>
    <n v="2016"/>
    <x v="274"/>
    <s v="Mahmoud Nasr"/>
    <x v="2"/>
    <s v="HSE"/>
    <x v="0"/>
    <x v="0"/>
    <x v="3"/>
    <s v="I observed that theMaterials were found stored in an unspecified/unauthorized _x000a_area. "/>
    <x v="1"/>
    <s v="I immediately Informed the supervisor to carry out proper housekeeping and _x000a_advised that the area is not designated for storage. "/>
    <m/>
    <m/>
    <m/>
    <m/>
    <m/>
    <x v="0"/>
    <m/>
  </r>
  <r>
    <n v="2017"/>
    <x v="272"/>
    <s v="Mahmoud Nasr"/>
    <x v="2"/>
    <s v="HSE"/>
    <x v="0"/>
    <x v="0"/>
    <x v="5"/>
    <s v="I observed that the A cylinders that was out of service was found stored inside _x000a_the basket for the CNC machine. "/>
    <x v="1"/>
    <s v="I immediately Informed the CNC operator to remove the out-of-service cylinder _x000a_and place it in the designated storage area for cylinders. "/>
    <m/>
    <m/>
    <m/>
    <m/>
    <m/>
    <x v="0"/>
    <m/>
  </r>
  <r>
    <n v="2018"/>
    <x v="276"/>
    <s v="Mahmoud Nasr"/>
    <x v="2"/>
    <s v="HSE"/>
    <x v="0"/>
    <x v="0"/>
    <x v="3"/>
    <s v="I observed that the materials on the accessway of the scaffolding. "/>
    <x v="1"/>
    <s v="I immediately Informed supervisor to remove this obstacles from the accessway."/>
    <m/>
    <m/>
    <m/>
    <m/>
    <m/>
    <x v="0"/>
    <m/>
  </r>
  <r>
    <n v="2019"/>
    <x v="247"/>
    <s v="Ahmed Sobhy"/>
    <x v="0"/>
    <s v="HSE"/>
    <x v="0"/>
    <x v="9"/>
    <x v="22"/>
    <s v="Welding cables were found obstructing the path of the forklift."/>
    <x v="3"/>
    <s v="stopped him and informed a welder to remove the cable  and he did immediately"/>
    <m/>
    <m/>
    <m/>
    <m/>
    <m/>
    <x v="0"/>
    <m/>
  </r>
  <r>
    <n v="2020"/>
    <x v="247"/>
    <s v="Mohamed Abdallah"/>
    <x v="0"/>
    <s v="HSE"/>
    <x v="0"/>
    <x v="2"/>
    <x v="18"/>
    <s v="A damaged grinding cable was observed on site."/>
    <x v="3"/>
    <s v="Stopped the grinder , instructed him to send the macchine to electric dept to change the cable  , he did "/>
    <m/>
    <m/>
    <m/>
    <m/>
    <m/>
    <x v="0"/>
    <m/>
  </r>
  <r>
    <n v="2021"/>
    <x v="248"/>
    <s v="Mostafa Abdelgany"/>
    <x v="0"/>
    <s v="HSE"/>
    <x v="0"/>
    <x v="19"/>
    <x v="18"/>
    <s v="A gas cylinder was found with an empty bubble test bottle attached."/>
    <x v="0"/>
    <s v="Informed worker he filled it and advised him to check leakage before using "/>
    <m/>
    <m/>
    <m/>
    <m/>
    <m/>
    <x v="0"/>
    <m/>
  </r>
  <r>
    <n v="2022"/>
    <x v="248"/>
    <s v="Ibrahim Hamed"/>
    <x v="0"/>
    <s v="HSE"/>
    <x v="0"/>
    <x v="1"/>
    <x v="12"/>
    <s v="The electrical panel inspection record was missing and requires updating."/>
    <x v="0"/>
    <s v="Reinspection was done for all electrical panels and updated check lists "/>
    <m/>
    <m/>
    <m/>
    <m/>
    <m/>
    <x v="0"/>
    <m/>
  </r>
  <r>
    <n v="2023"/>
    <x v="248"/>
    <s v="Abdelfatah Mohamed"/>
    <x v="0"/>
    <s v="HSE"/>
    <x v="0"/>
    <x v="17"/>
    <x v="22"/>
    <s v=" Non-project-related materials were found stored within the project area."/>
    <x v="0"/>
    <s v="Informed Maintenance Dept to remove it "/>
    <m/>
    <m/>
    <m/>
    <m/>
    <m/>
    <x v="0"/>
    <m/>
  </r>
  <r>
    <n v="2024"/>
    <x v="254"/>
    <s v="Mohamed Galal"/>
    <x v="0"/>
    <s v="Rigging Sup"/>
    <x v="0"/>
    <x v="3"/>
    <x v="3"/>
    <s v="Small wooden pieces were scattered on the ground, posing a tripping hazard."/>
    <x v="0"/>
    <s v="The supervisor has been notified and the wood pieces have been removed immediately"/>
    <m/>
    <m/>
    <m/>
    <m/>
    <m/>
    <x v="0"/>
    <m/>
  </r>
  <r>
    <n v="2025"/>
    <x v="254"/>
    <s v="Ahmed Abdelrady"/>
    <x v="0"/>
    <s v="HSE"/>
    <x v="0"/>
    <x v="7"/>
    <x v="18"/>
    <s v="Scaffolding materials were found scattered in the work area without proper arrangement."/>
    <x v="0"/>
    <s v="material was arranged"/>
    <m/>
    <m/>
    <m/>
    <m/>
    <m/>
    <x v="0"/>
    <m/>
  </r>
  <r>
    <n v="2026"/>
    <x v="255"/>
    <s v="Mohamed Ahmed"/>
    <x v="0"/>
    <s v="HSE"/>
    <x v="0"/>
    <x v="1"/>
    <x v="3"/>
    <s v="Poor housekeeping was observed on scaffold structures."/>
    <x v="0"/>
    <s v="housekeeping has been done "/>
    <m/>
    <m/>
    <m/>
    <m/>
    <m/>
    <x v="0"/>
    <m/>
  </r>
  <r>
    <n v="2027"/>
    <x v="255"/>
    <s v="Ibrahim Hamed"/>
    <x v="0"/>
    <s v="HSE"/>
    <x v="0"/>
    <x v="4"/>
    <x v="6"/>
    <s v="Improper connections were observed in the welding cables."/>
    <x v="0"/>
    <s v="texas connection was installed"/>
    <m/>
    <m/>
    <m/>
    <m/>
    <m/>
    <x v="0"/>
    <m/>
  </r>
  <r>
    <n v="2028"/>
    <x v="256"/>
    <s v="Ahmed Abdelrady"/>
    <x v="0"/>
    <s v="HSE"/>
    <x v="0"/>
    <x v="7"/>
    <x v="3"/>
    <s v="Welding rods were left on the scaffold platform."/>
    <x v="0"/>
    <s v="housekeeping was done "/>
    <m/>
    <m/>
    <m/>
    <m/>
    <m/>
    <x v="0"/>
    <m/>
  </r>
  <r>
    <n v="2029"/>
    <x v="256"/>
    <s v="Mohamed Abdallah"/>
    <x v="0"/>
    <s v="HSE"/>
    <x v="0"/>
    <x v="9"/>
    <x v="8"/>
    <s v=" A chain block was observed with a missing safety latch on the hook."/>
    <x v="0"/>
    <s v="Removed it from the area , marked it with red color code "/>
    <m/>
    <m/>
    <m/>
    <m/>
    <m/>
    <x v="0"/>
    <m/>
  </r>
  <r>
    <n v="2030"/>
    <x v="249"/>
    <s v="Mostafa Abdelgany"/>
    <x v="0"/>
    <s v="HSE"/>
    <x v="0"/>
    <x v="17"/>
    <x v="7"/>
    <s v="Eyewash station was found empty and needs to be refilled."/>
    <x v="0"/>
    <s v="eye wash station has been refilled "/>
    <m/>
    <m/>
    <m/>
    <m/>
    <m/>
    <x v="0"/>
    <m/>
  </r>
  <r>
    <n v="2031"/>
    <x v="246"/>
    <s v="Ahmed Sobhy"/>
    <x v="0"/>
    <s v="HSE"/>
    <x v="0"/>
    <x v="5"/>
    <x v="8"/>
    <s v="The forklift was operated without a banksman present."/>
    <x v="3"/>
    <s v="Stopped him to provide banksman "/>
    <m/>
    <m/>
    <m/>
    <m/>
    <m/>
    <x v="0"/>
    <m/>
  </r>
  <r>
    <n v="2032"/>
    <x v="249"/>
    <s v="Mohamed Abdallah"/>
    <x v="0"/>
    <s v="HSE"/>
    <x v="0"/>
    <x v="17"/>
    <x v="22"/>
    <s v="Defective and unused electrical cables were observed on site and need to be removed."/>
    <x v="0"/>
    <s v="Asked the supervisor and they have been removed."/>
    <m/>
    <m/>
    <m/>
    <m/>
    <m/>
    <x v="0"/>
    <m/>
  </r>
  <r>
    <n v="2033"/>
    <x v="254"/>
    <s v="Mohamed Galal"/>
    <x v="0"/>
    <s v="HSE"/>
    <x v="1"/>
    <x v="18"/>
    <x v="5"/>
    <s v="A grinder was operating with sparks directed towards a gas cylinder, posing a fire hazard."/>
    <x v="0"/>
    <s v="Stop him and inform him to remove the gas cylinder from the area."/>
    <m/>
    <m/>
    <m/>
    <m/>
    <m/>
    <x v="0"/>
    <m/>
  </r>
  <r>
    <n v="2034"/>
    <x v="256"/>
    <s v="Mohamed Ahmed"/>
    <x v="0"/>
    <s v="HSE"/>
    <x v="2"/>
    <x v="1"/>
    <x v="18"/>
    <s v="Lifting gears are inspected, color coded, certified, and lever hoists' safety latches are in good condition."/>
    <x v="5"/>
    <s v="Recognize the safe work"/>
    <m/>
    <m/>
    <m/>
    <m/>
    <m/>
    <x v="1"/>
    <m/>
  </r>
  <r>
    <n v="2035"/>
    <x v="248"/>
    <s v="Ibrahim Hamed"/>
    <x v="0"/>
    <s v="HSE"/>
    <x v="3"/>
    <x v="4"/>
    <x v="3"/>
    <s v="Welders demonstrated safe behavior by collecting welding remains in buckets to maintain good housekeeping."/>
    <x v="5"/>
    <s v="Appreciate the good job."/>
    <m/>
    <m/>
    <m/>
    <m/>
    <m/>
    <x v="1"/>
    <m/>
  </r>
  <r>
    <n v="2036"/>
    <x v="251"/>
    <s v="Abdelfatah Mohamed"/>
    <x v="0"/>
    <s v="HSE"/>
    <x v="0"/>
    <x v="4"/>
    <x v="18"/>
    <s v="A hand tool with a metal handle was observed, which may not be compliant with safety standards."/>
    <x v="0"/>
    <s v="Informed the fitter and it was excluded from site immediately."/>
    <m/>
    <m/>
    <m/>
    <m/>
    <m/>
    <x v="0"/>
    <m/>
  </r>
  <r>
    <n v="2037"/>
    <x v="253"/>
    <s v="Mohamed Galal"/>
    <x v="0"/>
    <s v="Rigging Sup"/>
    <x v="0"/>
    <x v="15"/>
    <x v="7"/>
    <s v="Sharp-edged steel pieces were found on site, posing a potential injury risk."/>
    <x v="0"/>
    <s v="informed fitting supervisor and he had taken the corrective action,"/>
    <m/>
    <m/>
    <m/>
    <m/>
    <m/>
    <x v="0"/>
    <m/>
  </r>
  <r>
    <n v="2038"/>
    <x v="253"/>
    <s v="Mohamed Abdallah"/>
    <x v="0"/>
    <s v="HSE"/>
    <x v="0"/>
    <x v="18"/>
    <x v="22"/>
    <s v="Electrical wires were found resting on sharp edges, posing a potential damage and electrical hazard."/>
    <x v="0"/>
    <s v="Remove and allocating the wires away from the sharp edges."/>
    <m/>
    <m/>
    <m/>
    <m/>
    <m/>
    <x v="0"/>
    <m/>
  </r>
  <r>
    <n v="2039"/>
    <x v="260"/>
    <s v="Ibrahim Hamed"/>
    <x v="0"/>
    <s v="HSE"/>
    <x v="0"/>
    <x v="18"/>
    <x v="5"/>
    <s v="A gas cylinder was observed without a protective cap, presenting a safety risk."/>
    <x v="0"/>
    <s v="told Welding Sup and he put cap on it "/>
    <m/>
    <m/>
    <m/>
    <m/>
    <m/>
    <x v="0"/>
    <m/>
  </r>
  <r>
    <n v="2040"/>
    <x v="261"/>
    <s v="Mostafa Abdelgany"/>
    <x v="0"/>
    <s v="HSE"/>
    <x v="0"/>
    <x v="2"/>
    <x v="22"/>
    <s v="Welding cables were found disorganized and require proper arrangement."/>
    <x v="0"/>
    <s v="cable management has been performed "/>
    <m/>
    <m/>
    <m/>
    <m/>
    <m/>
    <x v="0"/>
    <m/>
  </r>
  <r>
    <n v="2041"/>
    <x v="251"/>
    <s v="Ahmed Sobhy"/>
    <x v="0"/>
    <s v="HSE"/>
    <x v="0"/>
    <x v="1"/>
    <x v="22"/>
    <s v="A damaged welding cable was observed, creating a potential electrical hazard."/>
    <x v="3"/>
    <s v="Stooped the welder and asked electrician to fix it "/>
    <m/>
    <m/>
    <m/>
    <m/>
    <m/>
    <x v="0"/>
    <m/>
  </r>
  <r>
    <n v="2042"/>
    <x v="260"/>
    <s v="Mohamed Ahmed"/>
    <x v="0"/>
    <s v="HSE"/>
    <x v="0"/>
    <x v="9"/>
    <x v="8"/>
    <s v="A defective webbing sling was identified and must be removed from the site immediately."/>
    <x v="0"/>
    <s v="It has been excluded immediately."/>
    <m/>
    <m/>
    <m/>
    <m/>
    <m/>
    <x v="0"/>
    <m/>
  </r>
  <r>
    <n v="2043"/>
    <x v="262"/>
    <s v="Mohamed Abdallah"/>
    <x v="0"/>
    <s v="HSE"/>
    <x v="0"/>
    <x v="17"/>
    <x v="8"/>
    <s v="A crane hook was observed without the required color coding for inspection status."/>
    <x v="0"/>
    <s v="Asked the supervisor to put the required colorcode based on the hook condition and certificate."/>
    <m/>
    <m/>
    <m/>
    <m/>
    <m/>
    <x v="0"/>
    <m/>
  </r>
  <r>
    <n v="2044"/>
    <x v="252"/>
    <s v="Ibrahim Hamed"/>
    <x v="0"/>
    <s v="HSE"/>
    <x v="0"/>
    <x v="19"/>
    <x v="22"/>
    <s v="Some electrical cables were causing a tripping hazard, and used electrodes and grinding discs were scattered on the ground."/>
    <x v="0"/>
    <s v="Housekeeping has been done "/>
    <m/>
    <m/>
    <m/>
    <m/>
    <m/>
    <x v="0"/>
    <m/>
  </r>
  <r>
    <n v="2045"/>
    <x v="261"/>
    <s v="Ahmed Abdelrady"/>
    <x v="0"/>
    <s v="HSE"/>
    <x v="0"/>
    <x v="4"/>
    <x v="1"/>
    <s v="An incomplete scaffold was observed, which may be used despite its unsafe condition."/>
    <x v="0"/>
    <s v="Warning tape was applied to highlight the unsafe condition"/>
    <m/>
    <m/>
    <m/>
    <m/>
    <m/>
    <x v="0"/>
    <m/>
  </r>
  <r>
    <n v="2046"/>
    <x v="252"/>
    <s v="Abdelfatah Mohamed"/>
    <x v="0"/>
    <s v="HSE"/>
    <x v="0"/>
    <x v="3"/>
    <x v="0"/>
    <s v="An unused grinding machine was left in an unsafe position, posing a risk to workers."/>
    <x v="0"/>
    <s v="Highlighted the issue with the work force in the stand down "/>
    <m/>
    <m/>
    <m/>
    <m/>
    <m/>
    <x v="0"/>
    <m/>
  </r>
  <r>
    <n v="2047"/>
    <x v="253"/>
    <s v="Ahmed Abdelrady"/>
    <x v="0"/>
    <s v="HSE"/>
    <x v="1"/>
    <x v="3"/>
    <x v="2"/>
    <s v="Some workers were observed not wearing safety glasses."/>
    <x v="0"/>
    <s v="Awareness held to all workers on the same day about use of PPE."/>
    <m/>
    <m/>
    <m/>
    <m/>
    <m/>
    <x v="0"/>
    <m/>
  </r>
  <r>
    <n v="2048"/>
    <x v="261"/>
    <s v="Ahmed Sobhy"/>
    <x v="0"/>
    <s v="HSE"/>
    <x v="1"/>
    <x v="17"/>
    <x v="2"/>
    <s v="A scaffolder was working at height without attaching safety hooks."/>
    <x v="0"/>
    <s v="he was told to attach hocks and hazard was explined"/>
    <m/>
    <m/>
    <m/>
    <m/>
    <m/>
    <x v="0"/>
    <m/>
  </r>
  <r>
    <n v="2049"/>
    <x v="253"/>
    <s v="Mohamed Ahmed"/>
    <x v="0"/>
    <s v="HSE"/>
    <x v="2"/>
    <x v="1"/>
    <x v="18"/>
    <s v="Lifting gears are inspected, color coded, certified, and lever hoists' safety latches are in good condition."/>
    <x v="5"/>
    <s v="Recognize the safe work"/>
    <m/>
    <m/>
    <m/>
    <m/>
    <m/>
    <x v="1"/>
    <m/>
  </r>
  <r>
    <n v="2050"/>
    <x v="262"/>
    <s v="Ibrahim Hamed"/>
    <x v="0"/>
    <s v="HSE"/>
    <x v="3"/>
    <x v="4"/>
    <x v="3"/>
    <s v="Welders demonstrated safe behavior by collecting welding remains in buckets to maintain good housekeeping."/>
    <x v="5"/>
    <s v="Appreciate the good job."/>
    <m/>
    <m/>
    <m/>
    <m/>
    <m/>
    <x v="1"/>
    <m/>
  </r>
  <r>
    <n v="2051"/>
    <x v="252"/>
    <s v="Ahmed Abdelrady"/>
    <x v="0"/>
    <s v="HSE"/>
    <x v="2"/>
    <x v="3"/>
    <x v="22"/>
    <s v="Eye wash station is available, inspected, and in good condition."/>
    <x v="5"/>
    <s v="Appreciate the good job."/>
    <m/>
    <m/>
    <m/>
    <m/>
    <m/>
    <x v="1"/>
    <m/>
  </r>
  <r>
    <n v="2052"/>
    <x v="258"/>
    <s v="Mohamed Abdallah"/>
    <x v="0"/>
    <s v="HSE"/>
    <x v="0"/>
    <x v="9"/>
    <x v="0"/>
    <s v="Electrical wires were found in contact with sharp edges, posing a risk of insulation damage and potential electrical hazard."/>
    <x v="0"/>
    <s v="Remove and allocating the wires away from the sharp edges."/>
    <m/>
    <m/>
    <m/>
    <m/>
    <m/>
    <x v="0"/>
    <m/>
  </r>
  <r>
    <n v="2053"/>
    <x v="264"/>
    <s v="Mohamed Galal"/>
    <x v="0"/>
    <s v="Rigging Sup"/>
    <x v="0"/>
    <x v="1"/>
    <x v="5"/>
    <s v="A propane gas cylinder was observed placed near the welding area, creating a potential fire and explosion risk."/>
    <x v="0"/>
    <s v="Instructed the sup to relocate the cylinder and he did"/>
    <m/>
    <m/>
    <m/>
    <m/>
    <m/>
    <x v="0"/>
    <m/>
  </r>
  <r>
    <n v="2054"/>
    <x v="267"/>
    <s v="Ahmed Sobhy"/>
    <x v="0"/>
    <s v="HSE"/>
    <x v="0"/>
    <x v="17"/>
    <x v="4"/>
    <s v="Welding cables were routed through a scaffolding ladder, which may lead to tripping hazards and increase the risk of falling while climbing."/>
    <x v="0"/>
    <s v="Asked the welder to adjust cable routes , arrange cables for safe access ,and he did"/>
    <m/>
    <m/>
    <m/>
    <m/>
    <m/>
    <x v="0"/>
    <m/>
  </r>
  <r>
    <n v="2055"/>
    <x v="266"/>
    <s v="Mostafa Abdelgany"/>
    <x v="0"/>
    <s v="HSE"/>
    <x v="0"/>
    <x v="0"/>
    <x v="2"/>
    <s v="Some workers were observed not wearing safety glasses."/>
    <x v="0"/>
    <s v="Awareness held to all workers on the same day about use of PPE."/>
    <m/>
    <m/>
    <m/>
    <m/>
    <m/>
    <x v="0"/>
    <m/>
  </r>
  <r>
    <n v="2056"/>
    <x v="258"/>
    <s v="Mohamed Abdallah"/>
    <x v="0"/>
    <s v="HSE"/>
    <x v="0"/>
    <x v="3"/>
    <x v="5"/>
    <s v="Oxygen and acetylene hoses were found near hot surfaces during steel plate cutting."/>
    <x v="0"/>
    <s v="Job stopped , hoses were secured away from the hot surfaces"/>
    <m/>
    <m/>
    <m/>
    <m/>
    <m/>
    <x v="0"/>
    <m/>
  </r>
  <r>
    <n v="2057"/>
    <x v="266"/>
    <s v="Ibrahim Hamed"/>
    <x v="0"/>
    <s v="HSE"/>
    <x v="0"/>
    <x v="15"/>
    <x v="7"/>
    <s v=" A welding cable with a substandard joint was observed, posing electrical and fire hazards."/>
    <x v="0"/>
    <s v="Texas connection was done "/>
    <m/>
    <m/>
    <m/>
    <m/>
    <m/>
    <x v="0"/>
    <m/>
  </r>
  <r>
    <n v="2058"/>
    <x v="269"/>
    <s v="Ahmed Abdelrady"/>
    <x v="0"/>
    <s v="HSE"/>
    <x v="0"/>
    <x v="7"/>
    <x v="3"/>
    <s v="Improper arrangement of materials and scrap was noted, which may lead to dropped object hazards."/>
    <x v="0"/>
    <s v="Situation was remediated immediately"/>
    <m/>
    <m/>
    <m/>
    <m/>
    <m/>
    <x v="0"/>
    <m/>
  </r>
  <r>
    <n v="2059"/>
    <x v="267"/>
    <s v="Mohamed Ahmed"/>
    <x v="0"/>
    <s v="HSE"/>
    <x v="0"/>
    <x v="18"/>
    <x v="5"/>
    <s v="Some wooden boxes were being used by welders for standing, creating safety concerns."/>
    <x v="0"/>
    <s v="removed boxes immediately outside area"/>
    <m/>
    <m/>
    <m/>
    <m/>
    <m/>
    <x v="0"/>
    <m/>
  </r>
  <r>
    <n v="2060"/>
    <x v="264"/>
    <s v="Abdelfatah Mohamed"/>
    <x v="0"/>
    <s v="HSE"/>
    <x v="0"/>
    <x v="9"/>
    <x v="3"/>
    <s v="Housekeeping requires improvement."/>
    <x v="0"/>
    <s v="Housekeeping has been performed"/>
    <m/>
    <m/>
    <m/>
    <m/>
    <m/>
    <x v="0"/>
    <m/>
  </r>
  <r>
    <n v="2061"/>
    <x v="266"/>
    <s v="Mohamed Abdallah"/>
    <x v="0"/>
    <s v="HSE"/>
    <x v="1"/>
    <x v="6"/>
    <x v="2"/>
    <s v="Some crew members were working without gloves."/>
    <x v="0"/>
    <s v="spoke to all about the importance of hand protection"/>
    <m/>
    <m/>
    <m/>
    <m/>
    <m/>
    <x v="0"/>
    <m/>
  </r>
  <r>
    <n v="2062"/>
    <x v="258"/>
    <s v="Mostafa Abdelgany"/>
    <x v="0"/>
    <s v="HSE"/>
    <x v="1"/>
    <x v="4"/>
    <x v="5"/>
    <s v="One of the welders was standing on a wooden welding box."/>
    <x v="0"/>
    <s v="Stoped him and asked Scaffolder team to provide platform to stand on it"/>
    <m/>
    <m/>
    <m/>
    <m/>
    <m/>
    <x v="0"/>
    <m/>
  </r>
  <r>
    <n v="2063"/>
    <x v="264"/>
    <s v="Ibrahim Hamed"/>
    <x v="0"/>
    <s v="HSE"/>
    <x v="1"/>
    <x v="0"/>
    <x v="5"/>
    <s v="A grinder was working with the resulting spark was directed to a gas cylinder."/>
    <x v="0"/>
    <s v="Stop him and inform him to remove the gas cylinder from the area."/>
    <m/>
    <m/>
    <m/>
    <m/>
    <m/>
    <x v="0"/>
    <m/>
  </r>
  <r>
    <n v="2064"/>
    <x v="269"/>
    <s v="Mohamed Abdallah"/>
    <x v="0"/>
    <s v="HSE"/>
    <x v="2"/>
    <x v="7"/>
    <x v="22"/>
    <s v="Welding cables are well arranged and surrounded by wooden boards to protect them."/>
    <x v="5"/>
    <s v="Appreciate the good job."/>
    <m/>
    <m/>
    <m/>
    <m/>
    <m/>
    <x v="1"/>
    <m/>
  </r>
  <r>
    <n v="2065"/>
    <x v="267"/>
    <s v="Mostafa Abdelgany"/>
    <x v="0"/>
    <s v="HSE"/>
    <x v="3"/>
    <x v="2"/>
    <x v="5"/>
    <s v="Gas cylinders are safely handled on trolleys, secured by chains, and provided with protection caps."/>
    <x v="5"/>
    <s v="Thanked the team for the positive behaviours ,"/>
    <m/>
    <m/>
    <m/>
    <m/>
    <m/>
    <x v="1"/>
    <m/>
  </r>
  <r>
    <n v="2066"/>
    <x v="270"/>
    <s v="Mohamed Abdallah"/>
    <x v="0"/>
    <s v="HSE"/>
    <x v="0"/>
    <x v="9"/>
    <x v="3"/>
    <s v="Poor cable management was observed."/>
    <x v="0"/>
    <s v="Cable Management has been done Immediately."/>
    <m/>
    <m/>
    <m/>
    <m/>
    <m/>
    <x v="0"/>
    <m/>
  </r>
  <r>
    <n v="2067"/>
    <x v="275"/>
    <s v="Mohamed Galal"/>
    <x v="0"/>
    <s v="HSE"/>
    <x v="0"/>
    <x v="17"/>
    <x v="8"/>
    <s v="Webbing slings were left unattended under direct sunlight."/>
    <x v="0"/>
    <s v="Webbing slings were removed to a safe storage area"/>
    <m/>
    <m/>
    <m/>
    <m/>
    <m/>
    <x v="0"/>
    <m/>
  </r>
  <r>
    <n v="2068"/>
    <x v="271"/>
    <s v="Ahmed Sobhy"/>
    <x v="0"/>
    <s v="HSE"/>
    <x v="0"/>
    <x v="2"/>
    <x v="5"/>
    <s v=" A welding machine was found near fabrication activities without proper clearance."/>
    <x v="0"/>
    <s v="They have been relocated."/>
    <m/>
    <m/>
    <m/>
    <m/>
    <m/>
    <x v="0"/>
    <m/>
  </r>
  <r>
    <n v="2069"/>
    <x v="265"/>
    <s v="Mostafa Abdelgany"/>
    <x v="0"/>
    <s v="HSE"/>
    <x v="0"/>
    <x v="3"/>
    <x v="8"/>
    <s v="Some lifting shackles and hand chain blocks were missing color codes."/>
    <x v="0"/>
    <s v="Asked the rigging supervisor to inspect the tools  and apply the right colorcode"/>
    <m/>
    <m/>
    <m/>
    <m/>
    <m/>
    <x v="0"/>
    <m/>
  </r>
  <r>
    <n v="2070"/>
    <x v="273"/>
    <s v="Mohamed Abdallah"/>
    <x v="0"/>
    <s v="HSE"/>
    <x v="0"/>
    <x v="1"/>
    <x v="12"/>
    <s v=" scaffold was observed without an identification scaffold tag."/>
    <x v="0"/>
    <s v="called up the scaffold sup to inspect the scaffold and identify the scaff tag"/>
    <m/>
    <m/>
    <m/>
    <m/>
    <m/>
    <x v="0"/>
    <m/>
  </r>
  <r>
    <n v="2071"/>
    <x v="265"/>
    <s v="Ibrahim Hamed"/>
    <x v="0"/>
    <s v="HSE"/>
    <x v="0"/>
    <x v="2"/>
    <x v="2"/>
    <s v="Grinder was observed operating without the use of ear plugs."/>
    <x v="3"/>
    <s v="Stopped him , advised him  to wear ear plugs and he did  "/>
    <m/>
    <m/>
    <m/>
    <m/>
    <m/>
    <x v="0"/>
    <m/>
  </r>
  <r>
    <n v="2072"/>
    <x v="270"/>
    <s v="Ahmed Abdelrady"/>
    <x v="0"/>
    <s v="HSE"/>
    <x v="0"/>
    <x v="17"/>
    <x v="0"/>
    <s v="Damaged grinding cable was found on site."/>
    <x v="0"/>
    <s v="Stopped the grinder , instructed him to send the macchine to electric dept to change the cable  , he did "/>
    <m/>
    <m/>
    <m/>
    <m/>
    <m/>
    <x v="0"/>
    <m/>
  </r>
  <r>
    <n v="2073"/>
    <x v="268"/>
    <s v="Mohamed Ahmed"/>
    <x v="0"/>
    <s v="HSE"/>
    <x v="0"/>
    <x v="2"/>
    <x v="12"/>
    <s v="Gas cylinder had an empty bubble test bottle attached."/>
    <x v="0"/>
    <s v="Informed worker he filled it and advised him to check leakage before using "/>
    <m/>
    <m/>
    <m/>
    <m/>
    <m/>
    <x v="0"/>
    <m/>
  </r>
  <r>
    <n v="2074"/>
    <x v="271"/>
    <s v="Mohamed Abdallah"/>
    <x v="0"/>
    <s v="HSE"/>
    <x v="2"/>
    <x v="7"/>
    <x v="22"/>
    <s v="Welding cables are well arranged and surrounded by wooden boards to protect them."/>
    <x v="5"/>
    <s v="Appreciate the good job."/>
    <m/>
    <m/>
    <m/>
    <m/>
    <m/>
    <x v="1"/>
    <m/>
  </r>
  <r>
    <n v="2075"/>
    <x v="273"/>
    <s v="Mostafa Abdelgany"/>
    <x v="0"/>
    <s v="HSE"/>
    <x v="3"/>
    <x v="2"/>
    <x v="5"/>
    <s v="Gas cylinders are safely handled on trolleys, secured by chains, and provided with protection caps."/>
    <x v="5"/>
    <s v="Thanked the team for the positive behaviours ,"/>
    <m/>
    <m/>
    <m/>
    <m/>
    <m/>
    <x v="1"/>
    <m/>
  </r>
  <r>
    <n v="2076"/>
    <x v="265"/>
    <s v="Ahmed Sobhy"/>
    <x v="0"/>
    <s v="HSE"/>
    <x v="2"/>
    <x v="7"/>
    <x v="7"/>
    <s v="Clear access ways in the project area enable easy access and egress."/>
    <x v="5"/>
    <s v="Thanked the team for the good follow  up,"/>
    <m/>
    <m/>
    <m/>
    <m/>
    <m/>
    <x v="1"/>
    <m/>
  </r>
  <r>
    <n v="2077"/>
    <x v="270"/>
    <s v="Abdelfatah Mohamed"/>
    <x v="0"/>
    <s v="HSE"/>
    <x v="1"/>
    <x v="7"/>
    <x v="2"/>
    <s v="Observed some workers not wearing safety glasses."/>
    <x v="0"/>
    <s v="Awareness held to all workers on the same day about use of PPE."/>
    <m/>
    <m/>
    <m/>
    <m/>
    <m/>
    <x v="0"/>
    <m/>
  </r>
  <r>
    <n v="2078"/>
    <x v="275"/>
    <s v="Mohamed Galal"/>
    <x v="0"/>
    <s v="HSE "/>
    <x v="1"/>
    <x v="3"/>
    <x v="2"/>
    <s v="Worker was using grinding motor without any face protection"/>
    <x v="0"/>
    <s v="Stopped him to wear full ppe"/>
    <m/>
    <m/>
    <m/>
    <m/>
    <m/>
    <x v="0"/>
    <m/>
  </r>
  <r>
    <n v="2079"/>
    <x v="277"/>
    <s v="Lance Pretorius"/>
    <x v="1"/>
    <s v="HSE "/>
    <x v="3"/>
    <x v="18"/>
    <x v="5"/>
    <s v="Grinder observed having 2 grinding spark shields to contain grinding sparks created "/>
    <x v="5"/>
    <s v="Commended the grinder for his safe working practices "/>
    <m/>
    <m/>
    <m/>
    <m/>
    <m/>
    <x v="1"/>
    <m/>
  </r>
  <r>
    <n v="2080"/>
    <x v="278"/>
    <s v="Lance Pretorius"/>
    <x v="1"/>
    <s v="HSE "/>
    <x v="2"/>
    <x v="6"/>
    <x v="2"/>
    <s v="Observed painting team in B&amp;P #C wearing full approved PPE "/>
    <x v="5"/>
    <s v="Commended the painting supervisor for ensuring his team is safe at all times "/>
    <m/>
    <m/>
    <m/>
    <m/>
    <m/>
    <x v="1"/>
    <m/>
  </r>
  <r>
    <n v="2081"/>
    <x v="278"/>
    <s v="Lance Pretorius"/>
    <x v="1"/>
    <s v="HSE "/>
    <x v="1"/>
    <x v="8"/>
    <x v="5"/>
    <s v="Worker grinding with his grinder flipped overexposing complete blade section. "/>
    <x v="2"/>
    <s v="Suspended the activity to explain the dangers involved with actions being administered whilst grinding with the blade flipped over and no blade guard coverage. "/>
    <s v="Tutored the grinder on correct and safe grinding methodologies. "/>
    <m/>
    <m/>
    <m/>
    <m/>
    <x v="0"/>
    <m/>
  </r>
  <r>
    <n v="2082"/>
    <x v="278"/>
    <s v="Lance Pretorius"/>
    <x v="1"/>
    <s v="HSE "/>
    <x v="1"/>
    <x v="2"/>
    <x v="2"/>
    <s v="Worker pushing a rusted scaffold trolley without gloves. "/>
    <x v="1"/>
    <s v="Suspended the actions and requested the worker to wear safety gloves "/>
    <s v="Tutored the worker on the safe use of correct PPE when performing activities "/>
    <m/>
    <m/>
    <m/>
    <m/>
    <x v="0"/>
    <m/>
  </r>
  <r>
    <n v="2083"/>
    <x v="279"/>
    <s v="Mahmoud Samir"/>
    <x v="2"/>
    <s v="HSE "/>
    <x v="3"/>
    <x v="1"/>
    <x v="9"/>
    <s v="A safe act was observed by the area supervisor, who continuously monitored _x000a_and ensured that equipment was stored away from work passageways to _x000a_maintain workers’ safety and prevent obstructions. "/>
    <x v="5"/>
    <s v="He was recognized and rewarded during the General TBT meeting for his commitment to safety and for promoting a safe working environment. "/>
    <m/>
    <m/>
    <m/>
    <m/>
    <m/>
    <x v="1"/>
    <m/>
  </r>
  <r>
    <n v="2084"/>
    <x v="280"/>
    <s v="Mahmoud Samir"/>
    <x v="2"/>
    <s v="HSE "/>
    <x v="1"/>
    <x v="6"/>
    <x v="16"/>
    <s v="It was observed that a welder was smoking on workplace. "/>
    <x v="1"/>
    <s v="He was sent for re-training and a disciplinary action was taken. "/>
    <m/>
    <m/>
    <m/>
    <m/>
    <m/>
    <x v="0"/>
    <m/>
  </r>
  <r>
    <n v="2085"/>
    <x v="277"/>
    <s v="Mahmoud Samir"/>
    <x v="2"/>
    <s v="HSE "/>
    <x v="0"/>
    <x v="6"/>
    <x v="1"/>
    <s v="Open gaps were observed on the scaffold platform, which could cause workers _x000a_to trip or result in part of their body falling through while working or walking."/>
    <x v="1"/>
    <s v="The activities was stopped and The supervisor was informed to take the _x000a_necessary corrective actions to ensure workers’ safety "/>
    <m/>
    <m/>
    <m/>
    <m/>
    <m/>
    <x v="0"/>
    <m/>
  </r>
  <r>
    <n v="2086"/>
    <x v="278"/>
    <s v="Mahmoud Samir"/>
    <x v="2"/>
    <s v="HSE "/>
    <x v="0"/>
    <x v="3"/>
    <x v="3"/>
    <s v="Unsafe storage materials  was observed inside the work passageways, which _x000a_could obstruct movement and create a tripping hazard. "/>
    <x v="1"/>
    <s v="The area supervisor was instructed to clear all equipment and stored materials from the passageways, and work was resumed after ensuring the area was completely cleared. "/>
    <m/>
    <m/>
    <m/>
    <m/>
    <m/>
    <x v="0"/>
    <m/>
  </r>
  <r>
    <n v="2087"/>
    <x v="281"/>
    <s v="Mahmoud Samir"/>
    <x v="2"/>
    <s v="HSE "/>
    <x v="0"/>
    <x v="6"/>
    <x v="3"/>
    <s v="Sandblasting and painting equipment were observed left on scaffold walkways _x000a_while welding activities were ongoing in the same area. "/>
    <x v="1"/>
    <s v="Work was stopped immediately, and all obstructions and hoses were removed from the walkways to ensure a safe working environment before resuming the activity. "/>
    <m/>
    <m/>
    <m/>
    <m/>
    <m/>
    <x v="0"/>
    <m/>
  </r>
  <r>
    <n v="2088"/>
    <x v="282"/>
    <s v="Mahmoud Samir"/>
    <x v="2"/>
    <s v="HSE "/>
    <x v="0"/>
    <x v="6"/>
    <x v="0"/>
    <s v="Garnet residues resulting from sandblasting and painting activities were _x000a_observed inside the electrical panel, which could cause electrical hazards or _x000a_damage to internal components. "/>
    <x v="1"/>
    <s v="The area supervisor was immediately informed, and protective measures were implemented by isolating the panel body using scaffolding materials. The issue was corrected and the area made safe. "/>
    <m/>
    <m/>
    <m/>
    <m/>
    <m/>
    <x v="0"/>
    <m/>
  </r>
  <r>
    <n v="2089"/>
    <x v="282"/>
    <s v="Mahmoud Nasr"/>
    <x v="2"/>
    <s v="HSE "/>
    <x v="1"/>
    <x v="0"/>
    <x v="1"/>
    <s v="I have observed a worker climbing up the structure and the scaffold, which was _x000a_under a red tag "/>
    <x v="1"/>
    <s v=" I immediately stopped him and raised my concern about this unsafe action and make a warning letter."/>
    <m/>
    <m/>
    <m/>
    <m/>
    <m/>
    <x v="0"/>
    <m/>
  </r>
  <r>
    <n v="2090"/>
    <x v="280"/>
    <s v="Mahmoud Nasr"/>
    <x v="2"/>
    <s v="HSE "/>
    <x v="0"/>
    <x v="17"/>
    <x v="7"/>
    <s v="I observed that the structure securing poses safety risks."/>
    <x v="1"/>
    <s v="I immediately Work has been suspended until corrective actions are taken and the structure is confirmed safe for operations "/>
    <m/>
    <m/>
    <m/>
    <m/>
    <m/>
    <x v="0"/>
    <m/>
  </r>
  <r>
    <n v="2091"/>
    <x v="277"/>
    <s v="Mahmoud Nasr"/>
    <x v="2"/>
    <s v="HSE "/>
    <x v="0"/>
    <x v="2"/>
    <x v="3"/>
    <s v="I observed that the accessway to the scaffolding platform was obstructed "/>
    <x v="1"/>
    <s v="I immediately informed the scaffolding supervisor to remove the green tag and suspend use until the accessway is cleared and confirmed safe.”"/>
    <m/>
    <m/>
    <m/>
    <m/>
    <m/>
    <x v="0"/>
    <m/>
  </r>
  <r>
    <n v="2092"/>
    <x v="278"/>
    <s v="Mahmoud Nasr"/>
    <x v="2"/>
    <s v="HSE "/>
    <x v="0"/>
    <x v="4"/>
    <x v="3"/>
    <s v="I observed poor housekeeping inside the roll guide"/>
    <x v="1"/>
    <s v="I immediately stopped the work until the area is cleaned and the housekeeping _x000a_issue is corrected to ensure a safe working environment. "/>
    <m/>
    <m/>
    <m/>
    <m/>
    <m/>
    <x v="0"/>
    <m/>
  </r>
  <r>
    <n v="2093"/>
    <x v="281"/>
    <s v="Mahmoud Nasr"/>
    <x v="2"/>
    <s v="HSE "/>
    <x v="0"/>
    <x v="2"/>
    <x v="17"/>
    <s v="I have observed the forklift carrying tools in an unsafe manner. "/>
    <x v="1"/>
    <s v="The issue was immediately discussed with the forklift operator and the supervisor to address the safety concern. A warning letter was issued to the operator to emphasize the importance of following safe operating procedures. "/>
    <m/>
    <m/>
    <m/>
    <m/>
    <m/>
    <x v="0"/>
    <m/>
  </r>
  <r>
    <n v="2094"/>
    <x v="279"/>
    <s v="Mahmoud Nasr"/>
    <x v="2"/>
    <s v="HSE "/>
    <x v="0"/>
    <x v="17"/>
    <x v="17"/>
    <s v="I noticed that the materials were stored unsafely"/>
    <x v="1"/>
    <s v=" I immediately reported this and instructed that the materials be relocated _x000a_to a safe and secure position.&quot; "/>
    <m/>
    <m/>
    <m/>
    <m/>
    <m/>
    <x v="0"/>
    <m/>
  </r>
  <r>
    <n v="2095"/>
    <x v="283"/>
    <s v="Mahmoud Elshahat"/>
    <x v="2"/>
    <s v="HSE "/>
    <x v="2"/>
    <x v="6"/>
    <x v="3"/>
    <s v="Observed good housekeeping condition in the area"/>
    <x v="5"/>
    <m/>
    <m/>
    <m/>
    <m/>
    <m/>
    <m/>
    <x v="1"/>
    <m/>
  </r>
  <r>
    <n v="2096"/>
    <x v="284"/>
    <s v="Mahmoud Elshahat"/>
    <x v="2"/>
    <s v="HSE "/>
    <x v="1"/>
    <x v="6"/>
    <x v="2"/>
    <s v="painting workers were observed working without wearing the required protective gloves for painting activities."/>
    <x v="1"/>
    <s v=" work was stopped._x000a_The responsible supervisor was called and instructed to ensure strict compliance with PPE requirements for painting works."/>
    <m/>
    <m/>
    <m/>
    <m/>
    <m/>
    <x v="0"/>
    <m/>
  </r>
  <r>
    <n v="2097"/>
    <x v="285"/>
    <s v="Mahmoud Elshahat"/>
    <x v="2"/>
    <s v="HSE "/>
    <x v="0"/>
    <x v="3"/>
    <x v="5"/>
    <s v="compressed gas cylinders were not placed in the designated trolley and were stored in an unsafe manner."/>
    <x v="1"/>
    <s v="work was stopped._x000a_The supervisor was instructed to follow proper and safe handling procedures for compressed gas cylinders."/>
    <m/>
    <m/>
    <m/>
    <m/>
    <m/>
    <x v="0"/>
    <m/>
  </r>
  <r>
    <n v="2098"/>
    <x v="286"/>
    <s v="Mahmoud Elshahat"/>
    <x v="2"/>
    <s v="HSE "/>
    <x v="0"/>
    <x v="9"/>
    <x v="18"/>
    <s v="several a cutting grinder were found without the required color code, with broken plug, and damaged electrical cables."/>
    <x v="1"/>
    <s v="Work was stopped immediately._x000a_ All damaged a cutting grinder were removed from service._x000a_The team was instructed to ensure that all tools and machines are inspected before use."/>
    <m/>
    <m/>
    <m/>
    <m/>
    <m/>
    <x v="0"/>
    <m/>
  </r>
  <r>
    <n v="2099"/>
    <x v="287"/>
    <s v="Mahmoud Elshahat"/>
    <x v="2"/>
    <s v="HSE "/>
    <x v="0"/>
    <x v="3"/>
    <x v="8"/>
    <s v=" The lifting area was not properly secured, and workers were present inside the “line of fire"/>
    <x v="1"/>
    <s v="Work was stopped immediately._x000a_The lifting supervisor was instructed to secure and barricade the lifting area and ensure all workers are kept away from the danger zone."/>
    <m/>
    <m/>
    <m/>
    <m/>
    <m/>
    <x v="0"/>
    <m/>
  </r>
  <r>
    <n v="2100"/>
    <x v="283"/>
    <s v="Mahmoud Elshahat"/>
    <x v="2"/>
    <s v="HSE "/>
    <x v="0"/>
    <x v="18"/>
    <x v="3"/>
    <s v="The workshop was found in poor condition with scattered materials and electrical cables, indicating a lack of proper housekeeping."/>
    <x v="1"/>
    <s v="Work was stopped._x000a_Proper housekeeping was carried out, including arranging materials and electrical cables to ensure a safe working environment."/>
    <m/>
    <m/>
    <m/>
    <m/>
    <m/>
    <x v="0"/>
    <m/>
  </r>
  <r>
    <n v="2101"/>
    <x v="288"/>
    <s v="Johan Kruger"/>
    <x v="1"/>
    <s v="HSE "/>
    <x v="0"/>
    <x v="3"/>
    <x v="0"/>
    <s v="CPY observed welding cables routed along sharp edges on a structure in open _x000a_area # 3 "/>
    <x v="2"/>
    <s v="CPY highlighted the observation to TFMC HSE Advisor in the area to ensure the welding cables are routed in a safe manner.  _x000a_Cables were rerouted immediately. "/>
    <s v="Welding cables need to be routed in a safe manner to prevent cuts or any other damage "/>
    <m/>
    <m/>
    <m/>
    <m/>
    <x v="0"/>
    <m/>
  </r>
  <r>
    <n v="2102"/>
    <x v="288"/>
    <s v="Johan Kruger"/>
    <x v="1"/>
    <s v="HSE "/>
    <x v="3"/>
    <x v="2"/>
    <x v="17"/>
    <s v="CPY observe safe loading of pipe supports onto trailer in WS # 2 "/>
    <x v="5"/>
    <s v="Approached and thanked PTJ Lifting Supervisor for having full control and working safely whilst loading materials. "/>
    <m/>
    <m/>
    <m/>
    <m/>
    <m/>
    <x v="1"/>
    <m/>
  </r>
  <r>
    <n v="2103"/>
    <x v="288"/>
    <s v="Johan Kruger"/>
    <x v="1"/>
    <s v="HSE "/>
    <x v="3"/>
    <x v="2"/>
    <x v="2"/>
    <s v="CPY observed a truck driver out of his cab, wearing his full PPE in WS # 2 whilst _x000a_the pipe support is being loaded onto the trailer"/>
    <x v="5"/>
    <s v="Approached and commended the truck driver for wearing full PPE whilst out of his cab. "/>
    <m/>
    <m/>
    <m/>
    <m/>
    <m/>
    <x v="1"/>
    <m/>
  </r>
  <r>
    <n v="2104"/>
    <x v="288"/>
    <s v="Johan Kruger"/>
    <x v="1"/>
    <s v="HSE "/>
    <x v="1"/>
    <x v="2"/>
    <x v="2"/>
    <s v="CPY observed a PTJ scaffolder wearing dark glasses whilst in WS # 01 "/>
    <x v="2"/>
    <s v="Approached the individual and explained to him the need to wear clear glasses whilst working/ walking within enclosed areas like the workshop "/>
    <s v="All personnel to adhere to the use of correct PPE whilst on site. "/>
    <m/>
    <m/>
    <m/>
    <m/>
    <x v="0"/>
    <m/>
  </r>
  <r>
    <n v="2105"/>
    <x v="289"/>
    <s v="Ehab Ibrahim Hassan"/>
    <x v="1"/>
    <m/>
    <x v="0"/>
    <x v="2"/>
    <x v="16"/>
    <s v="During inspection in WS2 I found many cigarettes butts on the floor. "/>
    <x v="2"/>
    <s v="Spoke to PTJ safety officer and asked him to convey a message to his technicians not to smoke in the workshop and use designated area, he also got a laborer to do housekeeping for the findings. "/>
    <s v="Issue to be highlighted and briefed in daily and weekly TBT.  "/>
    <m/>
    <m/>
    <m/>
    <m/>
    <x v="0"/>
    <m/>
  </r>
  <r>
    <n v="2106"/>
    <x v="289"/>
    <s v="Ehab Ibrahim Hassan"/>
    <x v="1"/>
    <m/>
    <x v="0"/>
    <x v="11"/>
    <x v="18"/>
    <s v="I saw torn tires for the car crane used for light posts. "/>
    <x v="2"/>
    <s v="Spoke to PTJ safety officer and TECHNIP safety officer to take an action "/>
    <s v="Issue to be highlighted in the weekly TBT. "/>
    <m/>
    <m/>
    <m/>
    <m/>
    <x v="0"/>
    <m/>
  </r>
  <r>
    <n v="2107"/>
    <x v="290"/>
    <s v="Malcolm Garrington"/>
    <x v="1"/>
    <s v="Project Manager"/>
    <x v="0"/>
    <x v="3"/>
    <x v="7"/>
    <s v="CPY observed in area 3 outside – very poor tarpaulins have been used. "/>
    <x v="2"/>
    <s v="CPY intervened and requested PTJ supervisor to look at replacing and informed TFMC HSE. "/>
    <s v="TFMC to follow up and intervene when observing poor condition of tarpaulins being used – likewise PTJ HSE personnel and supervisors."/>
    <m/>
    <m/>
    <m/>
    <m/>
    <x v="0"/>
    <m/>
  </r>
  <r>
    <n v="2108"/>
    <x v="291"/>
    <s v="Malcolm Garrington"/>
    <x v="1"/>
    <s v="Project Manager"/>
    <x v="0"/>
    <x v="5"/>
    <x v="2"/>
    <s v="CPY observed many supervisors/workers from PTJ not using their safety glasses _x000a_in hazard areas such as fabrication shops."/>
    <x v="2"/>
    <s v="CPY intervened and requested PTJ personnel to immediately wear their mandatory PPE required safety glasses.  "/>
    <s v="TFMC to intervene when observing personnel not using their PPE in accordance with workshop/yard requirements and all workers/supervisors from all parties. "/>
    <m/>
    <m/>
    <m/>
    <m/>
    <x v="0"/>
    <m/>
  </r>
  <r>
    <n v="2109"/>
    <x v="291"/>
    <s v="Malcolm Garrington"/>
    <x v="1"/>
    <s v="Project Manager"/>
    <x v="3"/>
    <x v="7"/>
    <x v="2"/>
    <s v="CPY observed two (2) PTJ workers utilizing their PPE correctly for the hot work _x000a_activities. "/>
    <x v="5"/>
    <s v="CPY acknowledged the PTJ workers and informed PTJ HSE manager, and likewise _x000a_TFMC HSE Lead. "/>
    <s v="Provide and highlight good performance with a project recognition award"/>
    <m/>
    <m/>
    <m/>
    <m/>
    <x v="1"/>
    <m/>
  </r>
  <r>
    <n v="2110"/>
    <x v="288"/>
    <s v="Mahmoud Samir"/>
    <x v="2"/>
    <s v="HSE"/>
    <x v="0"/>
    <x v="18"/>
    <x v="17"/>
    <s v="Scaffolding material was noticed being transported on a trailer without proper _x000a_securing, and the items were stacked in an unsafe manner. "/>
    <x v="1"/>
    <s v="The flagman was instructed to stop the vehicle until the materials on the trailer were properly secured. "/>
    <m/>
    <m/>
    <m/>
    <m/>
    <m/>
    <x v="0"/>
    <m/>
  </r>
  <r>
    <n v="2111"/>
    <x v="289"/>
    <s v="Mahmoud Samir"/>
    <x v="2"/>
    <s v="HSE"/>
    <x v="1"/>
    <x v="3"/>
    <x v="4"/>
    <s v="A person was observed crossing the lifting area, bypassing the warning tapes."/>
    <x v="1"/>
    <s v="Disciplinary action was taken, and the individual was sent for retraining. "/>
    <m/>
    <m/>
    <m/>
    <m/>
    <m/>
    <x v="0"/>
    <m/>
  </r>
  <r>
    <n v="2112"/>
    <x v="290"/>
    <s v="Mahmoud Samir"/>
    <x v="2"/>
    <s v="HSE"/>
    <x v="0"/>
    <x v="9"/>
    <x v="3"/>
    <s v="Material was found stored in pedestrian walkways inside the area. "/>
    <x v="1"/>
    <s v="The supervisor was contacted and notified of the observation. The issue was closed in coordination with HSE officer. "/>
    <m/>
    <m/>
    <m/>
    <m/>
    <m/>
    <x v="0"/>
    <m/>
  </r>
  <r>
    <n v="2113"/>
    <x v="292"/>
    <s v="Mahmoud Samir"/>
    <x v="2"/>
    <s v="HSE"/>
    <x v="0"/>
    <x v="6"/>
    <x v="7"/>
    <s v="Surface preparation (sandblasting) work was observed to have started without _x000a_placing a protective plastic sheet beneath the frame to isolate the soil. "/>
    <x v="1"/>
    <s v="The responsible supervisor was instructed to stop the work until a protective barrier is provided and placed to separate the soil from the grit, ensuring easy collection and disposal. "/>
    <m/>
    <m/>
    <m/>
    <m/>
    <m/>
    <x v="0"/>
    <m/>
  </r>
  <r>
    <n v="2114"/>
    <x v="291"/>
    <s v="Mahmoud Samir"/>
    <x v="2"/>
    <s v="HSE"/>
    <x v="0"/>
    <x v="9"/>
    <x v="1"/>
    <s v="A worker was observed operating a grinder while using an unsafe working _x000a_platform. "/>
    <x v="1"/>
    <s v="The work was stopped, the supervisor was informed, the platform was corrected by the scaffolding team, and the work was then resumed safely"/>
    <m/>
    <m/>
    <m/>
    <m/>
    <m/>
    <x v="0"/>
    <m/>
  </r>
  <r>
    <n v="2115"/>
    <x v="293"/>
    <s v="Mahmoud Samir"/>
    <x v="2"/>
    <s v="HSE"/>
    <x v="3"/>
    <x v="3"/>
    <x v="9"/>
    <s v="A safe behavior was observed from a supervisor who inspected the temporary _x000a_walkways in the sub-workshops and arranged the cable routes before starting _x000a_the work. "/>
    <x v="5"/>
    <s v="He was thanked for this safe behavior, and the Safety Department was informed of his positive action."/>
    <m/>
    <m/>
    <m/>
    <m/>
    <m/>
    <x v="1"/>
    <m/>
  </r>
  <r>
    <n v="2116"/>
    <x v="294"/>
    <s v="Mahmoud Samir"/>
    <x v="2"/>
    <s v="HSE"/>
    <x v="0"/>
    <x v="4"/>
    <x v="3"/>
    <s v="Garbage bins were found containing mixed waste, including metal scraps, _x000a_plastic, and food leftovers, with no waste segregation in place. "/>
    <x v="1"/>
    <s v="The safety supervisor was contacted, and waste-segregation bins were provided _x000a_for Workshops 3 &amp; 4. "/>
    <m/>
    <m/>
    <m/>
    <m/>
    <m/>
    <x v="0"/>
    <m/>
  </r>
  <r>
    <n v="2117"/>
    <x v="293"/>
    <s v="Mahmoud Elshahat"/>
    <x v="2"/>
    <s v="HSE"/>
    <x v="0"/>
    <x v="1"/>
    <x v="7"/>
    <s v="The supports underneath the frame were insufficient"/>
    <x v="1"/>
    <s v="Work was stopped, the supervisor was called, and additional supports were installed under the frame."/>
    <m/>
    <m/>
    <m/>
    <m/>
    <m/>
    <x v="0"/>
    <m/>
  </r>
  <r>
    <n v="2118"/>
    <x v="288"/>
    <s v="Mahmoud Elshahat"/>
    <x v="2"/>
    <s v="HSE"/>
    <x v="0"/>
    <x v="1"/>
    <x v="3"/>
    <s v="Pallets were stacked on top of each other without separation, posing a risk during manual handling."/>
    <x v="1"/>
    <s v="Work was stopped, the supervisor was called, and additional supports were installed under the frame."/>
    <m/>
    <m/>
    <m/>
    <m/>
    <m/>
    <x v="0"/>
    <m/>
  </r>
  <r>
    <n v="2119"/>
    <x v="292"/>
    <s v="Mahmoud Elshahat"/>
    <x v="2"/>
    <s v="HSE"/>
    <x v="0"/>
    <x v="6"/>
    <x v="3"/>
    <s v=" Welding cables were poorly arranged, causing a tripping hazard."/>
    <x v="1"/>
    <s v="work was stopped._x000a_And the cables were organized and properly arranged"/>
    <m/>
    <m/>
    <m/>
    <m/>
    <m/>
    <x v="0"/>
    <m/>
  </r>
  <r>
    <n v="2120"/>
    <x v="291"/>
    <s v="Mahmoud Elshahat"/>
    <x v="2"/>
    <s v="HSE"/>
    <x v="0"/>
    <x v="18"/>
    <x v="3"/>
    <s v="Poor housekeeping and disorganized materials, causing difficulty in manual handling."/>
    <x v="1"/>
    <s v="Work was stopped._x000a_The supervisor was notified to organize materials properly and ensure clear pathways for safe manual handling."/>
    <m/>
    <m/>
    <m/>
    <m/>
    <m/>
    <x v="0"/>
    <m/>
  </r>
  <r>
    <n v="2121"/>
    <x v="289"/>
    <s v="Mahmoud Elshahat"/>
    <x v="2"/>
    <s v="HSE"/>
    <x v="0"/>
    <x v="1"/>
    <x v="0"/>
    <s v="The safe walkway inside the work area had insufficient space and was located too close to the main electrical panel."/>
    <x v="1"/>
    <s v="Work was stopped, the supervisor was notified, and the walkway space was increased and moved away from the electrical panel."/>
    <m/>
    <m/>
    <m/>
    <m/>
    <m/>
    <x v="0"/>
    <m/>
  </r>
  <r>
    <n v="2122"/>
    <x v="290"/>
    <s v="Mahmoud Elshahat"/>
    <x v="2"/>
    <s v="HSE"/>
    <x v="0"/>
    <x v="4"/>
    <x v="2"/>
    <s v="A worker was using a heating torch without the required PPE for hot works"/>
    <x v="1"/>
    <s v="Work was stopped, and a safety awareness session on hot work and required PPE was conducted."/>
    <m/>
    <m/>
    <m/>
    <m/>
    <m/>
    <x v="0"/>
    <m/>
  </r>
  <r>
    <n v="2123"/>
    <x v="290"/>
    <s v="Mahmoud Nasr"/>
    <x v="2"/>
    <s v="HSE"/>
    <x v="1"/>
    <x v="0"/>
    <x v="2"/>
    <s v="I observed that the grinder operator was working without proper PPE"/>
    <x v="1"/>
    <s v="I stopped him immediately and discussed my concerns. A warning letter was then issued"/>
    <m/>
    <m/>
    <m/>
    <m/>
    <m/>
    <x v="0"/>
    <m/>
  </r>
  <r>
    <n v="2124"/>
    <x v="292"/>
    <s v="Mahmoud Nasr"/>
    <x v="2"/>
    <s v="HSE"/>
    <x v="1"/>
    <x v="0"/>
    <x v="2"/>
    <s v="I observed that the worker was working without proper PPE for hot activities. "/>
    <x v="1"/>
    <s v="I stopped him immediately and discussed my concerns. A warning letter was then issued. "/>
    <m/>
    <m/>
    <m/>
    <m/>
    <m/>
    <x v="0"/>
    <m/>
  </r>
  <r>
    <n v="2125"/>
    <x v="288"/>
    <s v="Mahmoud Nasr"/>
    <x v="2"/>
    <s v="HSE"/>
    <x v="0"/>
    <x v="0"/>
    <x v="3"/>
    <s v="I observed that scrap metal was left inside the structure. "/>
    <x v="1"/>
    <s v="I discussed this with the HSE PTJ and the workshop supervisor, and we agreed that all scrap must be removed from the workshop. If any of these materials are to be reused, they must be properly rearranged and stored in a designated area."/>
    <m/>
    <m/>
    <m/>
    <m/>
    <m/>
    <x v="0"/>
    <m/>
  </r>
  <r>
    <n v="2126"/>
    <x v="288"/>
    <s v="Mahmoud Nasr"/>
    <x v="2"/>
    <s v="HSE"/>
    <x v="0"/>
    <x v="20"/>
    <x v="2"/>
    <s v="I observed that the blasting filter had no identification on it. "/>
    <x v="1"/>
    <s v="I immediately informed the supervisor not to start any work until the filter is replaced with one that meets our requirements. "/>
    <m/>
    <m/>
    <m/>
    <m/>
    <m/>
    <x v="0"/>
    <m/>
  </r>
  <r>
    <n v="2127"/>
    <x v="289"/>
    <s v="Mahmoud Nasr"/>
    <x v="2"/>
    <s v="HSE"/>
    <x v="0"/>
    <x v="20"/>
    <x v="3"/>
    <s v="I observed that tools were blocking the accessway to the electrical panel."/>
    <x v="1"/>
    <s v="I informed the PTJ HSE to coordinate with the supervisor to clear the access to the panel. This area must always remain unobstructed in case of an emergency."/>
    <m/>
    <m/>
    <m/>
    <m/>
    <m/>
    <x v="0"/>
    <m/>
  </r>
  <r>
    <n v="2128"/>
    <x v="292"/>
    <s v="Mahmoud Nasr"/>
    <x v="2"/>
    <s v="HSE"/>
    <x v="0"/>
    <x v="20"/>
    <x v="3"/>
    <s v="I observed that the painting team left residual paint in an undesignated _x000a_area. "/>
    <x v="1"/>
    <s v="I informed the HSE PTJ and requested that a Toolbox Talk (TBT) be conducted for the team regarding proper paint storage practices. "/>
    <m/>
    <m/>
    <m/>
    <m/>
    <m/>
    <x v="0"/>
    <m/>
  </r>
  <r>
    <n v="2129"/>
    <x v="291"/>
    <s v="Mahmoud Nasr"/>
    <x v="2"/>
    <s v="HSE"/>
    <x v="0"/>
    <x v="0"/>
    <x v="3"/>
    <s v="I observed that materials were being stored in the wrong location, _x000a_blocking the accessway."/>
    <x v="1"/>
    <s v="I discussed this with the HSE PTJ, the workshop supervisor, and the rigger to select proper storage areas for the materials and ensure that accessways remain clear and the area is kept safe. "/>
    <m/>
    <m/>
    <m/>
    <m/>
    <m/>
    <x v="0"/>
    <m/>
  </r>
  <r>
    <n v="2130"/>
    <x v="293"/>
    <s v="Mahmoud Nasr"/>
    <x v="2"/>
    <s v="HSE"/>
    <x v="0"/>
    <x v="0"/>
    <x v="3"/>
    <s v="I observed that the materials were stacked in a way that prevented the _x000a_workers from working safely. "/>
    <x v="1"/>
    <s v="I stopped the work in that area and gathered the supervisors to discuss rearranging the area to ensure a safe working environment for the workers."/>
    <m/>
    <m/>
    <m/>
    <m/>
    <m/>
    <x v="0"/>
    <m/>
  </r>
  <r>
    <n v="2131"/>
    <x v="293"/>
    <s v="Mahmoud Nasr"/>
    <x v="2"/>
    <s v="HSE"/>
    <x v="0"/>
    <x v="0"/>
    <x v="3"/>
    <s v="I observed poor cable management and housekeeping, which created _x000a_obstacles in the accessway and made the workplace unsafe. "/>
    <x v="1"/>
    <s v="I informed the supervisor to take immediate action to rearrange the area to ensure safe working conditions, and he began the corrective actions right away. "/>
    <m/>
    <m/>
    <m/>
    <m/>
    <m/>
    <x v="0"/>
    <m/>
  </r>
  <r>
    <n v="2132"/>
    <x v="295"/>
    <s v="Mahmoud Samir"/>
    <x v="2"/>
    <s v="HSE"/>
    <x v="0"/>
    <x v="1"/>
    <x v="7"/>
    <s v="Unsafe storage was found in the work area, and several scaffolding parts were _x000a_not stored in their proper place. "/>
    <x v="1"/>
    <s v="Remove the materials from the work area and place all scaffolding parts in their designated storage area. Keep the area clean and organized to avoid unsafe storage "/>
    <m/>
    <m/>
    <m/>
    <m/>
    <m/>
    <x v="0"/>
    <m/>
  </r>
  <r>
    <n v="2133"/>
    <x v="296"/>
    <s v="Mahmoud Samir"/>
    <x v="2"/>
    <s v="HSE"/>
    <x v="0"/>
    <x v="7"/>
    <x v="8"/>
    <s v="Lifting activities were observed in the work area without placing warning tapes. "/>
    <x v="1"/>
    <s v="Supervisor informed that the warning tapes must be installed immediately around the lifting area to prevent unauthorized access. The team must ensure that all lifting operations are properly barricaded and signposted before starting any work "/>
    <m/>
    <m/>
    <m/>
    <m/>
    <m/>
    <x v="0"/>
    <m/>
  </r>
  <r>
    <n v="2134"/>
    <x v="297"/>
    <s v="Mahmoud Samir"/>
    <x v="2"/>
    <s v="HSE"/>
    <x v="0"/>
    <x v="20"/>
    <x v="3"/>
    <s v="Scrap and empty chemical paint cans were found in the work area, along with _x000a_unsafe storage of material "/>
    <x v="1"/>
    <s v="Perform proper housekeeping and remove all materials, scrap, and empty cans from the work area. Store the materials in their designated storage area to maintain a safe and clean"/>
    <m/>
    <m/>
    <m/>
    <m/>
    <m/>
    <x v="0"/>
    <m/>
  </r>
  <r>
    <n v="2135"/>
    <x v="298"/>
    <s v="Mahmoud Samir"/>
    <x v="2"/>
    <s v="HSE"/>
    <x v="0"/>
    <x v="1"/>
    <x v="3"/>
    <s v="Unsafe storage of several scaffolding parts was observed on top of the frames _x000a_where hot work was taking place"/>
    <x v="1"/>
    <s v="The work was stopped, and all scaffolding materials were removed from the area. A safety awareness briefing was conducted for the workers at the site to prevent this issue from happening again "/>
    <m/>
    <m/>
    <m/>
    <m/>
    <m/>
    <x v="0"/>
    <m/>
  </r>
  <r>
    <n v="2136"/>
    <x v="299"/>
    <s v="Mahmoud Samir"/>
    <x v="2"/>
    <s v="HSE"/>
    <x v="0"/>
    <x v="8"/>
    <x v="2"/>
    <s v="Several workers were observed using gloves that were torn and not suitable for _x000a_use. "/>
    <x v="1"/>
    <s v="The workers were sent to the PPE office to replace the damaged gloves with new ones, and then they continued their work safely. "/>
    <m/>
    <m/>
    <m/>
    <m/>
    <m/>
    <x v="0"/>
    <m/>
  </r>
  <r>
    <n v="2137"/>
    <x v="300"/>
    <s v="Mahmoud Samir"/>
    <x v="2"/>
    <s v="HSE"/>
    <x v="2"/>
    <x v="4"/>
    <x v="3"/>
    <s v="A safe behavior was observed from the workshop supervisor by performing _x000a_good housekeeping and clearing all walkways from obstacles. "/>
    <x v="5"/>
    <s v="The supervisor will be recognized for his safe behavior and encouraged to continue following and promoting good safety practices. A positive safety acknowledgment will be given to motivate him and others to maintain a safe working environment. "/>
    <m/>
    <m/>
    <m/>
    <m/>
    <m/>
    <x v="1"/>
    <m/>
  </r>
  <r>
    <n v="2138"/>
    <x v="300"/>
    <s v="Mahmoud Samir"/>
    <x v="2"/>
    <s v="HSE"/>
    <x v="0"/>
    <x v="1"/>
    <x v="3"/>
    <s v="A large amount of gravel and obstacles were observed in the work walkways. "/>
    <x v="1"/>
    <s v="Housekeeping was performed, and the gravel and obstacles were removed to prevent tripping or slipping hazards during work. "/>
    <m/>
    <m/>
    <m/>
    <m/>
    <m/>
    <x v="0"/>
    <m/>
  </r>
  <r>
    <n v="2139"/>
    <x v="301"/>
    <s v="Mahmoud Samir"/>
    <x v="2"/>
    <s v="HSE"/>
    <x v="0"/>
    <x v="1"/>
    <x v="3"/>
    <s v="A large amount of gravel and obstacles were observed in the work walkways. "/>
    <x v="1"/>
    <s v="Housekeeping was performed, and the gravel and obstacles were removed to prevent tripping or slipping hazards during work. "/>
    <m/>
    <m/>
    <m/>
    <m/>
    <m/>
    <x v="0"/>
    <m/>
  </r>
  <r>
    <n v="2140"/>
    <x v="299"/>
    <s v="Mahmoud Elshahat"/>
    <x v="2"/>
    <s v="HSE"/>
    <x v="1"/>
    <x v="3"/>
    <x v="8"/>
    <s v="A lifting area was observed unsecured, and inappropriate lifting accessories were being used."/>
    <x v="1"/>
    <s v="Work was stopped immediately, the lifting supervisor was called, the lifting area was secured, and proper lifting accessories were used."/>
    <m/>
    <m/>
    <m/>
    <m/>
    <m/>
    <x v="0"/>
    <m/>
  </r>
  <r>
    <n v="2141"/>
    <x v="298"/>
    <s v="Mahmoud Elshahat"/>
    <x v="2"/>
    <s v="HSE"/>
    <x v="0"/>
    <x v="9"/>
    <x v="3"/>
    <s v="A scaffold was observed placed in a walkway, affecting emergency response time."/>
    <x v="1"/>
    <s v="Work was stopped, the supervisor was notified, and the walkway space was increased and moved away from the electrical panel."/>
    <m/>
    <m/>
    <m/>
    <m/>
    <m/>
    <x v="0"/>
    <m/>
  </r>
  <r>
    <n v="2142"/>
    <x v="301"/>
    <s v="Mahmoud Elshahat"/>
    <x v="2"/>
    <s v="HSE"/>
    <x v="0"/>
    <x v="3"/>
    <x v="17"/>
    <s v="Poor material arrangement and stacked pallets without separation were observed, posing a hand-pinch hazard during manual handling."/>
    <x v="1"/>
    <s v="The responsible supervisor was called, materials were properly arranged, and all pallets were separated to ensure safe manual handling and prevent injuries."/>
    <m/>
    <m/>
    <m/>
    <m/>
    <m/>
    <x v="0"/>
    <m/>
  </r>
  <r>
    <n v="2143"/>
    <x v="297"/>
    <s v="Mahmoud Elshahat"/>
    <x v="2"/>
    <s v="HSE"/>
    <x v="0"/>
    <x v="6"/>
    <x v="3"/>
    <s v="Garnet material for sandblasting was found on the ground without placing a protective sheet under the frame before blasting."/>
    <x v="1"/>
    <s v="Work was stopped, the sandblasting supervisor was called, the garnet was removed, and a protective sheet was provided under the frame."/>
    <m/>
    <m/>
    <m/>
    <m/>
    <m/>
    <x v="0"/>
    <m/>
  </r>
  <r>
    <n v="2144"/>
    <x v="295"/>
    <s v="Mahmoud Elshahat"/>
    <x v="2"/>
    <s v="HSE"/>
    <x v="0"/>
    <x v="6"/>
    <x v="5"/>
    <s v=" During inspection of compressed gas cylinders in the work area, a gas leak was detected."/>
    <x v="1"/>
    <s v="The cylinder was immediately moved to the quarantine area, the leak was repaired, and the cylinder was returned to service."/>
    <m/>
    <m/>
    <m/>
    <m/>
    <m/>
    <x v="0"/>
    <m/>
  </r>
  <r>
    <n v="2145"/>
    <x v="296"/>
    <s v="Mahmoud Elshahat"/>
    <x v="2"/>
    <s v="HSE"/>
    <x v="0"/>
    <x v="18"/>
    <x v="3"/>
    <s v="Poor housekeeping and unorganized electrical cables were observed inside the workshop, creating a tripping hazard."/>
    <x v="1"/>
    <s v="Work inside the workshop was stopped, and a full housekeeping and cable-arrangement campaign was carried out to ensure a safe working environment."/>
    <m/>
    <m/>
    <m/>
    <m/>
    <m/>
    <x v="0"/>
    <m/>
  </r>
  <r>
    <n v="2146"/>
    <x v="296"/>
    <s v="Mahmoud Nasr"/>
    <x v="2"/>
    <s v="HSE"/>
    <x v="1"/>
    <x v="0"/>
    <x v="16"/>
    <s v="I observed that the welder was working from an unsafe position, posing a _x000a_risk to his safety."/>
    <x v="1"/>
    <s v="I immediately stopped the activity, communicated my concerns, issued a _x000a_warning letter, and recommended the use of a proper scaffolding platform _x000a_to ensure a safer work environment. "/>
    <m/>
    <m/>
    <m/>
    <m/>
    <m/>
    <x v="0"/>
    <m/>
  </r>
  <r>
    <n v="2147"/>
    <x v="295"/>
    <s v="Mahmoud Nasr"/>
    <x v="2"/>
    <s v="HSE"/>
    <x v="0"/>
    <x v="20"/>
    <x v="7"/>
    <s v="I have observed that the tank is standing in an unsafe condition."/>
    <x v="1"/>
    <s v="I recommended installing an additional support beneath the tank to enhance safety and barricading the surrounding area."/>
    <m/>
    <m/>
    <m/>
    <m/>
    <m/>
    <x v="0"/>
    <m/>
  </r>
  <r>
    <n v="2148"/>
    <x v="295"/>
    <s v="Mahmoud Nasr"/>
    <x v="2"/>
    <s v="HSE"/>
    <x v="0"/>
    <x v="2"/>
    <x v="3"/>
    <s v="I observed that the structure is positioned poorly and is taking up _x000a_excessive space in the workshop, which may create an unsafe situation for _x000a_other workers. "/>
    <x v="1"/>
    <s v="I advised repositioning the structure to ensure both its stability and the safety of all personnel in the area. "/>
    <m/>
    <m/>
    <m/>
    <m/>
    <m/>
    <x v="0"/>
    <m/>
  </r>
  <r>
    <n v="2149"/>
    <x v="296"/>
    <s v="Mahmoud Nasr"/>
    <x v="2"/>
    <s v="HSE"/>
    <x v="0"/>
    <x v="2"/>
    <x v="3"/>
    <s v="I have observed that materials were improperly stored on the workers’ _x000a_accessway, creating a safety hazard. "/>
    <x v="1"/>
    <s v="I stopped the work and instructed the supervisor to reorganize the area before resuming operations. "/>
    <m/>
    <m/>
    <m/>
    <m/>
    <m/>
    <x v="0"/>
    <m/>
  </r>
  <r>
    <n v="2150"/>
    <x v="297"/>
    <s v="Mahmoud Nasr"/>
    <x v="2"/>
    <s v="HSE"/>
    <x v="0"/>
    <x v="2"/>
    <x v="3"/>
    <s v="I observed that the waste boxes were full and the waste collection vehicle _x000a_had not arrived.  "/>
    <x v="1"/>
    <s v="I requested the HSE PTJ management to take action to resolve the issue, and I also raised this concern to our management. "/>
    <m/>
    <m/>
    <m/>
    <m/>
    <m/>
    <x v="0"/>
    <m/>
  </r>
  <r>
    <n v="2151"/>
    <x v="298"/>
    <s v="Mahmoud Nasr"/>
    <x v="2"/>
    <s v="HSE"/>
    <x v="0"/>
    <x v="20"/>
    <x v="18"/>
    <s v="I observed that the pump had unprotected rotating parts and the battery _x000a_needed to be covered and properly fixed. "/>
    <x v="1"/>
    <s v="I informed the supervisor in the testing area to address these issues, and he corrected them immediately. "/>
    <m/>
    <m/>
    <m/>
    <m/>
    <m/>
    <x v="0"/>
    <m/>
  </r>
  <r>
    <n v="2152"/>
    <x v="299"/>
    <s v="Mahmoud Nasr"/>
    <x v="2"/>
    <s v="HSE"/>
    <x v="0"/>
    <x v="0"/>
    <x v="3"/>
    <s v="I observed that the materials were not stacked properly, creating a _x000a_potential hazard."/>
    <x v="1"/>
    <s v="I reported my concern to the supervisor, who then rearranged the stacking to ensure safety. "/>
    <m/>
    <m/>
    <m/>
    <m/>
    <m/>
    <x v="0"/>
    <m/>
  </r>
  <r>
    <n v="2153"/>
    <x v="300"/>
    <s v="Mahmoud Nasr"/>
    <x v="2"/>
    <s v="HSE"/>
    <x v="0"/>
    <x v="0"/>
    <x v="0"/>
    <s v="I observed that the electrical panel lacked a proper accessway and was _x000a_positioned near hot work activities, creating a safety risk.  "/>
    <x v="1"/>
    <s v="I stopped the work and requested HSE PTJ to reposition the panel to provide safe and unobstructed access. "/>
    <m/>
    <m/>
    <m/>
    <m/>
    <m/>
    <x v="0"/>
    <m/>
  </r>
  <r>
    <n v="2154"/>
    <x v="297"/>
    <s v="Malcolm Garrington"/>
    <x v="1"/>
    <s v="Project Manager"/>
    <x v="0"/>
    <x v="5"/>
    <x v="9"/>
    <s v="CPY noted (not for the first time) the lack of top PTJ management attending the _x000a_mandatory weekly project/yard TBT. _x000a__x000a_PTJ HSE Manager and others commenced the TBT while several (on various _x000a_occasions are not present) "/>
    <x v="2"/>
    <s v="CPY intervened and requested to hold the TBT while awaiting the attendance of _x000a_said PTJ personnel.  Last week dated 24/11/25 CPY just witnessed and found it _x000a_necessary to submit the official route of concern. "/>
    <s v="PTJ HSE Manager to be held accountable, likewise TFMC HSE and management _x000a_alike to speak up and address the slackness of personnel not attending."/>
    <m/>
    <m/>
    <m/>
    <m/>
    <x v="0"/>
    <m/>
  </r>
  <r>
    <n v="2155"/>
    <x v="297"/>
    <s v="Malcolm Garrington"/>
    <x v="1"/>
    <s v="Project Manager"/>
    <x v="0"/>
    <x v="5"/>
    <x v="2"/>
    <s v="CPY noted (typically) the PTJ personnel not wearing the correct PPE while in the fabrication shops or outside fabrication areas within the fabrication yard. _x000a_Not only PTJ workers but supervision.  PTJ supervision are a responsible person who should lead by example all the time and take action is not part of the _x000a_incorrect none compliance "/>
    <x v="2"/>
    <s v="CPY intervened and requested every person to wear their correct PPE safety glasses or hard hats. "/>
    <s v="PTJ HSE to support and push out the correct behaviour, likewise TFMC and CPY to assist and support – take appropriate action of reoffending personnel. "/>
    <m/>
    <m/>
    <m/>
    <m/>
    <x v="0"/>
    <m/>
  </r>
  <r>
    <n v="2156"/>
    <x v="288"/>
    <s v="Ahmed Nasr"/>
    <x v="1"/>
    <s v="Fabrication"/>
    <x v="0"/>
    <x v="5"/>
    <x v="7"/>
    <s v="It has been observed that Tarpaulin conditions need improvement in the_x000a_painting area under PLET 123-T"/>
    <x v="2"/>
    <s v="The concern has been communicated with the HSE supervisor from TFMC, and been raised to PTJ management"/>
    <m/>
    <m/>
    <m/>
    <m/>
    <m/>
    <x v="0"/>
    <m/>
  </r>
  <r>
    <n v="2157"/>
    <x v="289"/>
    <s v="Ahmed Nasr"/>
    <x v="1"/>
    <s v="Fabrication"/>
    <x v="0"/>
    <x v="1"/>
    <x v="3"/>
    <s v="It has been observed that there is poor housekeeping in open area 1, where a_x000a_lot of stones on ground that need to be removed."/>
    <x v="2"/>
    <s v="A discussion with PTJ HSE supervisor and PTJ Const. On how these stones may cause a trip hazard. PTJ Const. Promised that a team will be assigned to remove these stones."/>
    <m/>
    <m/>
    <m/>
    <m/>
    <m/>
    <x v="0"/>
    <m/>
  </r>
  <r>
    <n v="2158"/>
    <x v="290"/>
    <s v="Ahmed Nasr"/>
    <x v="1"/>
    <s v="Fabrication"/>
    <x v="0"/>
    <x v="1"/>
    <x v="3"/>
    <s v="It has been observed that there is poor material stacking in open area 1."/>
    <x v="2"/>
    <s v="A discussion with PTJ HSE supervisor and PTJ Const., and agreed to modify the _x000a_stacking of beams and rings and to be maintained regularly"/>
    <m/>
    <m/>
    <m/>
    <m/>
    <m/>
    <x v="0"/>
    <m/>
  </r>
  <r>
    <n v="2159"/>
    <x v="292"/>
    <s v="Ahmed Nasr"/>
    <x v="1"/>
    <s v="Fabrication"/>
    <x v="0"/>
    <x v="5"/>
    <x v="1"/>
    <s v="It has been observed that a lot of wooden board scaffolds in inadequate_x000a_condition."/>
    <x v="2"/>
    <s v="A discussion with PTJ HSE supervisor and PTJ Const., and agreed to get new proper scaffolding material."/>
    <m/>
    <m/>
    <m/>
    <m/>
    <m/>
    <x v="0"/>
    <m/>
  </r>
  <r>
    <n v="2160"/>
    <x v="291"/>
    <s v="Ahmed Nasr"/>
    <x v="1"/>
    <s v="Fabrication"/>
    <x v="3"/>
    <x v="5"/>
    <x v="2"/>
    <s v="Worker observed using automatic Oxyacetylene cutting machine while wearing _x000a_full proper PPE."/>
    <x v="5"/>
    <s v="Encouraged the workers"/>
    <m/>
    <m/>
    <m/>
    <m/>
    <m/>
    <x v="1"/>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7" cacheId="0" autoFormatId="1" applyNumberFormats="0" applyBorderFormats="0" applyFontFormats="0" applyPatternFormats="0" applyAlignmentFormats="0" applyWidthHeightFormats="1" dataCaption="Values" updatedVersion="5" minRefreshableVersion="3" createdVersion="8" useAutoFormatting="1" indent="0" outline="1" outlineData="1" showDrill="1" multipleFieldFilters="0" rowHeaderCaption="Status" colHeaderCaption="Month" chartFormat="35">
  <location ref="B63:C65" firstHeaderRow="1" firstDataRow="1" firstDataCol="1"/>
  <pivotFields count="23">
    <pivotField showAll="0"/>
    <pivotField numFmtId="178" showAll="0">
      <items count="303">
        <item x="4"/>
        <item x="3"/>
        <item x="0"/>
        <item x="2"/>
        <item x="1"/>
        <item x="5"/>
        <item x="6"/>
        <item x="7"/>
        <item x="8"/>
        <item x="11"/>
        <item x="9"/>
        <item x="10"/>
        <item x="13"/>
        <item x="14"/>
        <item x="15"/>
        <item x="12"/>
        <item x="16"/>
        <item x="17"/>
        <item x="18"/>
        <item x="24"/>
        <item x="19"/>
        <item x="21"/>
        <item x="22"/>
        <item x="20"/>
        <item x="23"/>
        <item x="25"/>
        <item x="26"/>
        <item x="27"/>
        <item x="28"/>
        <item x="29"/>
        <item x="30"/>
        <item x="31"/>
        <item x="32"/>
        <item x="33"/>
        <item x="34"/>
        <item x="35"/>
        <item x="36"/>
        <item x="37"/>
        <item x="46"/>
        <item x="45"/>
        <item x="38"/>
        <item x="39"/>
        <item x="40"/>
        <item x="47"/>
        <item x="41"/>
        <item x="42"/>
        <item x="48"/>
        <item x="43"/>
        <item x="44"/>
        <item x="49"/>
        <item x="50"/>
        <item x="51"/>
        <item x="61"/>
        <item x="52"/>
        <item x="58"/>
        <item x="59"/>
        <item x="60"/>
        <item x="54"/>
        <item x="55"/>
        <item x="56"/>
        <item x="57"/>
        <item x="53"/>
        <item x="71"/>
        <item x="62"/>
        <item x="63"/>
        <item x="77"/>
        <item x="64"/>
        <item x="65"/>
        <item x="66"/>
        <item x="67"/>
        <item x="72"/>
        <item x="69"/>
        <item x="70"/>
        <item x="68"/>
        <item x="73"/>
        <item x="103"/>
        <item x="74"/>
        <item x="75"/>
        <item x="76"/>
        <item x="98"/>
        <item x="78"/>
        <item x="106"/>
        <item x="79"/>
        <item x="80"/>
        <item x="81"/>
        <item x="82"/>
        <item x="83"/>
        <item x="84"/>
        <item x="105"/>
        <item x="85"/>
        <item x="86"/>
        <item x="87"/>
        <item x="88"/>
        <item x="89"/>
        <item x="90"/>
        <item x="91"/>
        <item x="92"/>
        <item x="97"/>
        <item x="93"/>
        <item x="94"/>
        <item x="95"/>
        <item x="104"/>
        <item x="96"/>
        <item x="102"/>
        <item x="100"/>
        <item x="101"/>
        <item x="99"/>
        <item x="133"/>
        <item x="111"/>
        <item x="108"/>
        <item x="110"/>
        <item x="107"/>
        <item x="109"/>
        <item x="112"/>
        <item x="113"/>
        <item x="120"/>
        <item x="116"/>
        <item x="117"/>
        <item x="115"/>
        <item x="114"/>
        <item x="118"/>
        <item x="119"/>
        <item x="123"/>
        <item x="121"/>
        <item x="122"/>
        <item x="125"/>
        <item x="126"/>
        <item x="124"/>
        <item x="130"/>
        <item x="131"/>
        <item x="127"/>
        <item x="129"/>
        <item x="128"/>
        <item x="132"/>
        <item x="134"/>
        <item x="135"/>
        <item x="136"/>
        <item x="137"/>
        <item x="140"/>
        <item x="141"/>
        <item x="138"/>
        <item x="139"/>
        <item x="149"/>
        <item x="142"/>
        <item x="143"/>
        <item x="144"/>
        <item x="145"/>
        <item x="146"/>
        <item x="147"/>
        <item x="148"/>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showAll="0">
      <items count="7">
        <item x="0"/>
        <item x="2"/>
        <item m="1" x="4"/>
        <item x="1"/>
        <item m="1" x="3"/>
        <item m="1" x="5"/>
        <item t="default"/>
      </items>
    </pivotField>
    <pivotField showAll="0"/>
    <pivotField showAll="0">
      <items count="10">
        <item x="3"/>
        <item x="2"/>
        <item x="1"/>
        <item x="0"/>
        <item m="1" x="4"/>
        <item m="1" x="5"/>
        <item m="1" x="6"/>
        <item m="1" x="7"/>
        <item m="1" x="8"/>
        <item t="default"/>
      </items>
    </pivotField>
    <pivotField showAll="0">
      <items count="31">
        <item x="6"/>
        <item m="1" x="29"/>
        <item x="20"/>
        <item m="1" x="23"/>
        <item x="1"/>
        <item x="7"/>
        <item x="3"/>
        <item x="9"/>
        <item x="17"/>
        <item m="1" x="25"/>
        <item m="1" x="26"/>
        <item m="1" x="24"/>
        <item m="1" x="27"/>
        <item m="1" x="28"/>
        <item x="16"/>
        <item x="14"/>
        <item x="10"/>
        <item x="13"/>
        <item x="11"/>
        <item x="12"/>
        <item x="0"/>
        <item x="2"/>
        <item x="4"/>
        <item x="8"/>
        <item x="15"/>
        <item x="19"/>
        <item x="18"/>
        <item x="5"/>
        <item m="1" x="22"/>
        <item m="1" x="21"/>
        <item t="default"/>
      </items>
    </pivotField>
    <pivotField showAll="0">
      <items count="28">
        <item x="6"/>
        <item m="1" x="24"/>
        <item x="14"/>
        <item x="13"/>
        <item x="0"/>
        <item x="21"/>
        <item x="5"/>
        <item x="3"/>
        <item x="4"/>
        <item x="17"/>
        <item m="1" x="26"/>
        <item x="22"/>
        <item x="2"/>
        <item x="19"/>
        <item x="12"/>
        <item x="8"/>
        <item x="15"/>
        <item x="11"/>
        <item x="16"/>
        <item x="9"/>
        <item x="18"/>
        <item x="20"/>
        <item x="10"/>
        <item x="1"/>
        <item x="7"/>
        <item m="1" x="23"/>
        <item m="1" x="25"/>
        <item t="default"/>
      </items>
    </pivotField>
    <pivotField showAll="0"/>
    <pivotField showAll="0">
      <items count="8">
        <item x="0"/>
        <item x="4"/>
        <item x="5"/>
        <item x="2"/>
        <item x="3"/>
        <item x="1"/>
        <item m="1" x="6"/>
        <item t="default"/>
      </items>
    </pivotField>
    <pivotField showAll="0"/>
    <pivotField showAll="0"/>
    <pivotField showAll="0"/>
    <pivotField showAll="0"/>
    <pivotField showAll="0"/>
    <pivotField showAll="0"/>
    <pivotField axis="axisRow" dataField="1" showAll="0">
      <items count="6">
        <item m="1" x="2"/>
        <item x="0"/>
        <item m="1" x="4"/>
        <item h="1" x="1"/>
        <item h="1" m="1" x="3"/>
        <item t="default"/>
      </items>
    </pivotField>
    <pivotField showAll="0"/>
    <pivotField dragToCol="0" dragToPage="0" dragToRow="0" defaultSubtotal="0" showAll="0"/>
    <pivotField showAll="0">
      <items count="9">
        <item x="2"/>
        <item x="0"/>
        <item x="1"/>
        <item x="3"/>
        <item x="4"/>
        <item x="5"/>
        <item x="6"/>
        <item x="7"/>
        <item t="default"/>
      </items>
    </pivotField>
    <pivotField showAll="0">
      <items count="7">
        <item x="2"/>
        <item x="5"/>
        <item x="4"/>
        <item x="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16"/>
  </rowFields>
  <rowItems count="2">
    <i>
      <x v="1"/>
    </i>
    <i t="grand">
      <x/>
    </i>
  </rowItems>
  <colItems count="1">
    <i/>
  </colItems>
  <dataFields count="1">
    <dataField name="No. of SHOCs" fld="16" subtotal="count" baseField="0" baseItem="0"/>
  </dataFields>
  <formats count="11">
    <format dxfId="0">
      <pivotArea type="all" dataOnly="0" outline="0" fieldPosition="0"/>
    </format>
    <format dxfId="1">
      <pivotArea outline="0" collapsedLevelsAreSubtotals="1" fieldPosition="0"/>
    </format>
    <format dxfId="2">
      <pivotArea field="16" type="button" dataOnly="0" labelOnly="1" outline="0" fieldPosition="0"/>
    </format>
    <format dxfId="3">
      <pivotArea dataOnly="0" labelOnly="1" fieldPosition="0">
        <references count="1">
          <reference field="16" count="0"/>
        </references>
      </pivotArea>
    </format>
    <format dxfId="4">
      <pivotArea dataOnly="0" labelOnly="1" grandRow="1" outline="0" fieldPosition="0"/>
    </format>
    <format dxfId="5">
      <pivotArea dataOnly="0" labelOnly="1" outline="0" fieldPosition="0"/>
    </format>
    <format dxfId="6">
      <pivotArea type="all" dataOnly="0" outline="0" fieldPosition="0"/>
    </format>
    <format dxfId="7">
      <pivotArea outline="0" collapsedLevelsAreSubtotals="1" fieldPosition="0"/>
    </format>
    <format dxfId="8">
      <pivotArea field="16" type="button" dataOnly="0" labelOnly="1" outline="0" fieldPosition="0"/>
    </format>
    <format dxfId="9">
      <pivotArea dataOnly="0" labelOnly="1" fieldPosition="0">
        <references count="1">
          <reference field="16" count="0"/>
        </references>
      </pivotArea>
    </format>
    <format dxfId="10">
      <pivotArea dataOnly="0" labelOnly="1" grandRow="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8" cacheId="0" autoFormatId="1" applyNumberFormats="0" applyBorderFormats="0" applyFontFormats="0" applyPatternFormats="0" applyAlignmentFormats="0" applyWidthHeightFormats="1" dataCaption="Values" updatedVersion="5" minRefreshableVersion="3" createdVersion="8" useAutoFormatting="1" indent="0" outline="1" outlineData="1" showDrill="1" multipleFieldFilters="0" rowHeaderCaption="Status" colHeaderCaption="Month">
  <location ref="C11:D13" firstHeaderRow="1" firstDataRow="1" firstDataCol="1"/>
  <pivotFields count="23">
    <pivotField dataField="1" showAll="0"/>
    <pivotField numFmtId="178" showAll="0">
      <items count="303">
        <item x="4"/>
        <item x="3"/>
        <item x="0"/>
        <item x="2"/>
        <item x="1"/>
        <item x="5"/>
        <item x="6"/>
        <item x="7"/>
        <item x="8"/>
        <item x="11"/>
        <item x="9"/>
        <item x="10"/>
        <item x="13"/>
        <item x="14"/>
        <item x="15"/>
        <item x="12"/>
        <item x="16"/>
        <item x="17"/>
        <item x="18"/>
        <item x="24"/>
        <item x="19"/>
        <item x="21"/>
        <item x="22"/>
        <item x="20"/>
        <item x="23"/>
        <item x="25"/>
        <item x="26"/>
        <item x="27"/>
        <item x="28"/>
        <item x="29"/>
        <item x="30"/>
        <item x="31"/>
        <item x="32"/>
        <item x="33"/>
        <item x="34"/>
        <item x="35"/>
        <item x="36"/>
        <item x="37"/>
        <item x="46"/>
        <item x="45"/>
        <item x="38"/>
        <item x="39"/>
        <item x="40"/>
        <item x="47"/>
        <item x="41"/>
        <item x="42"/>
        <item x="48"/>
        <item x="43"/>
        <item x="44"/>
        <item x="49"/>
        <item x="50"/>
        <item x="51"/>
        <item x="61"/>
        <item x="52"/>
        <item x="58"/>
        <item x="59"/>
        <item x="60"/>
        <item x="54"/>
        <item x="55"/>
        <item x="56"/>
        <item x="57"/>
        <item x="53"/>
        <item x="71"/>
        <item x="62"/>
        <item x="63"/>
        <item x="77"/>
        <item x="64"/>
        <item x="65"/>
        <item x="66"/>
        <item x="67"/>
        <item x="72"/>
        <item x="69"/>
        <item x="70"/>
        <item x="68"/>
        <item x="73"/>
        <item x="103"/>
        <item x="74"/>
        <item x="75"/>
        <item x="76"/>
        <item x="98"/>
        <item x="78"/>
        <item x="106"/>
        <item x="79"/>
        <item x="80"/>
        <item x="81"/>
        <item x="82"/>
        <item x="83"/>
        <item x="84"/>
        <item x="105"/>
        <item x="85"/>
        <item x="86"/>
        <item x="87"/>
        <item x="88"/>
        <item x="89"/>
        <item x="90"/>
        <item x="91"/>
        <item x="92"/>
        <item x="97"/>
        <item x="93"/>
        <item x="94"/>
        <item x="95"/>
        <item x="104"/>
        <item x="96"/>
        <item x="102"/>
        <item x="100"/>
        <item x="101"/>
        <item x="99"/>
        <item x="133"/>
        <item x="111"/>
        <item x="108"/>
        <item x="110"/>
        <item x="107"/>
        <item x="109"/>
        <item x="112"/>
        <item x="113"/>
        <item x="120"/>
        <item x="116"/>
        <item x="117"/>
        <item x="115"/>
        <item x="114"/>
        <item x="118"/>
        <item x="119"/>
        <item x="123"/>
        <item x="121"/>
        <item x="122"/>
        <item x="125"/>
        <item x="126"/>
        <item x="124"/>
        <item x="130"/>
        <item x="131"/>
        <item x="127"/>
        <item x="129"/>
        <item x="128"/>
        <item x="132"/>
        <item x="134"/>
        <item x="135"/>
        <item x="136"/>
        <item x="137"/>
        <item x="140"/>
        <item x="141"/>
        <item x="138"/>
        <item x="139"/>
        <item x="149"/>
        <item x="142"/>
        <item x="143"/>
        <item x="144"/>
        <item x="145"/>
        <item x="146"/>
        <item x="147"/>
        <item x="148"/>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showAll="0">
      <items count="7">
        <item x="0"/>
        <item x="2"/>
        <item m="1" x="4"/>
        <item x="1"/>
        <item m="1" x="3"/>
        <item m="1" x="5"/>
        <item t="default"/>
      </items>
    </pivotField>
    <pivotField showAll="0"/>
    <pivotField showAll="0">
      <items count="10">
        <item x="3"/>
        <item x="2"/>
        <item x="1"/>
        <item x="0"/>
        <item m="1" x="4"/>
        <item m="1" x="5"/>
        <item m="1" x="6"/>
        <item m="1" x="7"/>
        <item m="1" x="8"/>
        <item t="default"/>
      </items>
    </pivotField>
    <pivotField showAll="0">
      <items count="31">
        <item x="6"/>
        <item m="1" x="29"/>
        <item x="20"/>
        <item m="1" x="23"/>
        <item x="1"/>
        <item x="7"/>
        <item x="3"/>
        <item x="9"/>
        <item x="17"/>
        <item m="1" x="25"/>
        <item m="1" x="26"/>
        <item m="1" x="24"/>
        <item m="1" x="27"/>
        <item m="1" x="28"/>
        <item x="16"/>
        <item x="14"/>
        <item x="10"/>
        <item x="13"/>
        <item x="11"/>
        <item x="12"/>
        <item x="0"/>
        <item x="2"/>
        <item x="4"/>
        <item x="8"/>
        <item x="15"/>
        <item x="19"/>
        <item x="18"/>
        <item x="5"/>
        <item m="1" x="22"/>
        <item m="1" x="21"/>
        <item t="default"/>
      </items>
    </pivotField>
    <pivotField showAll="0">
      <items count="28">
        <item x="6"/>
        <item m="1" x="24"/>
        <item x="14"/>
        <item x="13"/>
        <item x="0"/>
        <item x="21"/>
        <item x="5"/>
        <item x="3"/>
        <item x="4"/>
        <item x="17"/>
        <item m="1" x="26"/>
        <item x="22"/>
        <item x="2"/>
        <item x="19"/>
        <item x="12"/>
        <item x="8"/>
        <item x="15"/>
        <item x="11"/>
        <item x="16"/>
        <item x="9"/>
        <item x="18"/>
        <item x="20"/>
        <item x="10"/>
        <item x="1"/>
        <item x="7"/>
        <item m="1" x="23"/>
        <item m="1" x="25"/>
        <item t="default"/>
      </items>
    </pivotField>
    <pivotField showAll="0"/>
    <pivotField showAll="0">
      <items count="8">
        <item x="0"/>
        <item x="4"/>
        <item x="5"/>
        <item x="2"/>
        <item x="3"/>
        <item x="1"/>
        <item m="1" x="6"/>
        <item t="default"/>
      </items>
    </pivotField>
    <pivotField showAll="0"/>
    <pivotField showAll="0"/>
    <pivotField showAll="0"/>
    <pivotField showAll="0"/>
    <pivotField showAll="0"/>
    <pivotField showAll="0"/>
    <pivotField showAll="0">
      <items count="6">
        <item x="0"/>
        <item m="1" x="4"/>
        <item x="1"/>
        <item m="1" x="2"/>
        <item m="1" x="3"/>
        <item t="default"/>
      </items>
    </pivotField>
    <pivotField showAll="0"/>
    <pivotField dragToCol="0" dragToPage="0" dragToRow="0" defaultSubtotal="0" showAll="0"/>
    <pivotField defaultSubtotal="0" showAll="0">
      <items count="8">
        <item x="0"/>
        <item x="1"/>
        <item x="2"/>
        <item x="3"/>
        <item x="4"/>
        <item x="5"/>
        <item x="6"/>
        <item x="7"/>
      </items>
    </pivotField>
    <pivotField showAll="0">
      <items count="7">
        <item x="2"/>
        <item x="5"/>
        <item x="4"/>
        <item x="3"/>
        <item x="0"/>
        <item x="1"/>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items>
    </pivotField>
    <pivotField axis="axisRow" showAll="0">
      <items count="15">
        <item h="1" sd="0" x="0"/>
        <item h="1" sd="0" x="1"/>
        <item h="1" sd="0" x="2"/>
        <item h="1" sd="0" x="3"/>
        <item h="1" sd="0" x="4"/>
        <item h="1" sd="0" x="5"/>
        <item h="1" sd="0" x="6"/>
        <item h="1" sd="0" x="7"/>
        <item sd="0" x="8"/>
        <item h="1" sd="0" x="9"/>
        <item h="1" sd="0" x="10"/>
        <item h="1" sd="0" x="11"/>
        <item h="1" sd="0" x="12"/>
        <item h="1" sd="0" x="13"/>
        <item t="default"/>
      </items>
    </pivotField>
  </pivotFields>
  <rowFields count="1">
    <field x="22"/>
  </rowFields>
  <rowItems count="2">
    <i>
      <x v="8"/>
    </i>
    <i t="grand">
      <x/>
    </i>
  </rowItems>
  <colItems count="1">
    <i/>
  </colItems>
  <dataFields count="1">
    <dataField name="Count of S/N" fld="0" subtotal="count" baseField="0" baseItem="0"/>
  </dataFields>
  <formats count="3">
    <format dxfId="11">
      <pivotArea type="all" dataOnly="0" outline="0" fieldPosition="0"/>
    </format>
    <format dxfId="12">
      <pivotArea outline="0" collapsedLevelsAreSubtotals="1" fieldPosition="0"/>
    </format>
    <format dxfId="13">
      <pivotArea dataOnly="0" labelOnly="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6" cacheId="0" autoFormatId="1" applyNumberFormats="0" applyBorderFormats="0" applyFontFormats="0" applyPatternFormats="0" applyAlignmentFormats="0" applyWidthHeightFormats="1" dataCaption="Values" updatedVersion="5" minRefreshableVersion="3" createdVersion="8" useAutoFormatting="1" indent="0" outline="1" outlineData="1" showDrill="1" multipleFieldFilters="0" rowHeaderCaption="Action" colHeaderCaption="Month" chartFormat="12">
  <location ref="B100:C106" firstHeaderRow="1" firstDataRow="1" firstDataCol="1"/>
  <pivotFields count="23">
    <pivotField showAll="0"/>
    <pivotField numFmtId="178" showAll="0">
      <items count="303">
        <item x="4"/>
        <item x="3"/>
        <item x="0"/>
        <item x="2"/>
        <item x="1"/>
        <item x="5"/>
        <item x="6"/>
        <item x="7"/>
        <item x="8"/>
        <item x="11"/>
        <item x="9"/>
        <item x="10"/>
        <item x="13"/>
        <item x="14"/>
        <item x="15"/>
        <item x="12"/>
        <item x="16"/>
        <item x="17"/>
        <item x="18"/>
        <item x="24"/>
        <item x="19"/>
        <item x="21"/>
        <item x="22"/>
        <item x="20"/>
        <item x="23"/>
        <item x="25"/>
        <item x="26"/>
        <item x="27"/>
        <item x="28"/>
        <item x="29"/>
        <item x="30"/>
        <item x="31"/>
        <item x="32"/>
        <item x="33"/>
        <item x="34"/>
        <item x="35"/>
        <item x="36"/>
        <item x="37"/>
        <item x="46"/>
        <item x="45"/>
        <item x="38"/>
        <item x="39"/>
        <item x="40"/>
        <item x="47"/>
        <item x="41"/>
        <item x="42"/>
        <item x="48"/>
        <item x="43"/>
        <item x="44"/>
        <item x="49"/>
        <item x="50"/>
        <item x="51"/>
        <item x="61"/>
        <item x="52"/>
        <item x="58"/>
        <item x="59"/>
        <item x="60"/>
        <item x="54"/>
        <item x="55"/>
        <item x="56"/>
        <item x="57"/>
        <item x="53"/>
        <item x="71"/>
        <item x="62"/>
        <item x="63"/>
        <item x="77"/>
        <item x="64"/>
        <item x="65"/>
        <item x="66"/>
        <item x="67"/>
        <item x="72"/>
        <item x="69"/>
        <item x="70"/>
        <item x="68"/>
        <item x="73"/>
        <item x="103"/>
        <item x="74"/>
        <item x="75"/>
        <item x="76"/>
        <item x="98"/>
        <item x="78"/>
        <item x="106"/>
        <item x="79"/>
        <item x="80"/>
        <item x="81"/>
        <item x="82"/>
        <item x="83"/>
        <item x="84"/>
        <item x="105"/>
        <item x="85"/>
        <item x="86"/>
        <item x="87"/>
        <item x="88"/>
        <item x="89"/>
        <item x="90"/>
        <item x="91"/>
        <item x="92"/>
        <item x="97"/>
        <item x="93"/>
        <item x="94"/>
        <item x="95"/>
        <item x="104"/>
        <item x="96"/>
        <item x="102"/>
        <item x="100"/>
        <item x="101"/>
        <item x="99"/>
        <item x="133"/>
        <item x="111"/>
        <item x="108"/>
        <item x="110"/>
        <item x="107"/>
        <item x="109"/>
        <item x="112"/>
        <item x="113"/>
        <item x="120"/>
        <item x="116"/>
        <item x="117"/>
        <item x="115"/>
        <item x="114"/>
        <item x="118"/>
        <item x="119"/>
        <item x="123"/>
        <item x="121"/>
        <item x="122"/>
        <item x="125"/>
        <item x="126"/>
        <item x="124"/>
        <item x="130"/>
        <item x="131"/>
        <item x="127"/>
        <item x="129"/>
        <item x="128"/>
        <item x="132"/>
        <item x="134"/>
        <item x="135"/>
        <item x="136"/>
        <item x="137"/>
        <item x="140"/>
        <item x="141"/>
        <item x="138"/>
        <item x="139"/>
        <item x="149"/>
        <item x="142"/>
        <item x="143"/>
        <item x="144"/>
        <item x="145"/>
        <item x="146"/>
        <item x="147"/>
        <item x="148"/>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showAll="0">
      <items count="7">
        <item x="0"/>
        <item x="2"/>
        <item m="1" x="4"/>
        <item x="1"/>
        <item m="1" x="3"/>
        <item m="1" x="5"/>
        <item t="default"/>
      </items>
    </pivotField>
    <pivotField showAll="0"/>
    <pivotField showAll="0">
      <items count="10">
        <item x="3"/>
        <item x="2"/>
        <item x="1"/>
        <item x="0"/>
        <item m="1" x="4"/>
        <item m="1" x="5"/>
        <item m="1" x="6"/>
        <item m="1" x="7"/>
        <item m="1" x="8"/>
        <item t="default"/>
      </items>
    </pivotField>
    <pivotField showAll="0">
      <items count="31">
        <item x="6"/>
        <item m="1" x="29"/>
        <item x="20"/>
        <item m="1" x="23"/>
        <item x="1"/>
        <item x="7"/>
        <item x="3"/>
        <item x="9"/>
        <item x="17"/>
        <item m="1" x="25"/>
        <item m="1" x="26"/>
        <item m="1" x="24"/>
        <item m="1" x="27"/>
        <item m="1" x="28"/>
        <item x="16"/>
        <item x="14"/>
        <item x="10"/>
        <item x="13"/>
        <item x="11"/>
        <item x="12"/>
        <item x="0"/>
        <item x="2"/>
        <item x="4"/>
        <item x="8"/>
        <item x="15"/>
        <item x="19"/>
        <item x="18"/>
        <item x="5"/>
        <item m="1" x="22"/>
        <item m="1" x="21"/>
        <item t="default"/>
      </items>
    </pivotField>
    <pivotField showAll="0">
      <items count="28">
        <item x="6"/>
        <item m="1" x="24"/>
        <item x="14"/>
        <item x="13"/>
        <item x="0"/>
        <item x="21"/>
        <item x="5"/>
        <item x="3"/>
        <item x="4"/>
        <item x="17"/>
        <item m="1" x="26"/>
        <item x="22"/>
        <item x="2"/>
        <item x="19"/>
        <item x="12"/>
        <item x="8"/>
        <item x="15"/>
        <item x="11"/>
        <item x="16"/>
        <item x="9"/>
        <item x="18"/>
        <item x="20"/>
        <item x="10"/>
        <item x="1"/>
        <item x="7"/>
        <item m="1" x="23"/>
        <item m="1" x="25"/>
        <item t="default"/>
      </items>
    </pivotField>
    <pivotField showAll="0"/>
    <pivotField axis="axisRow" dataField="1" showAll="0">
      <items count="8">
        <item x="0"/>
        <item x="5"/>
        <item x="2"/>
        <item x="3"/>
        <item x="1"/>
        <item m="1" x="6"/>
        <item x="4"/>
        <item t="default"/>
      </items>
    </pivotField>
    <pivotField showAll="0"/>
    <pivotField showAll="0"/>
    <pivotField showAll="0"/>
    <pivotField showAll="0"/>
    <pivotField showAll="0"/>
    <pivotField showAll="0"/>
    <pivotField showAll="0">
      <items count="6">
        <item x="0"/>
        <item m="1" x="4"/>
        <item x="1"/>
        <item m="1" x="2"/>
        <item m="1" x="3"/>
        <item t="default"/>
      </items>
    </pivotField>
    <pivotField showAll="0"/>
    <pivotField dragToCol="0" dragToPage="0" dragToRow="0" defaultSubtotal="0" showAll="0"/>
    <pivotField showAll="0">
      <items count="9">
        <item x="2"/>
        <item x="0"/>
        <item x="1"/>
        <item x="3"/>
        <item x="4"/>
        <item x="5"/>
        <item x="6"/>
        <item x="7"/>
        <item t="default"/>
      </items>
    </pivotField>
    <pivotField showAll="0">
      <items count="7">
        <item x="2"/>
        <item x="5"/>
        <item x="4"/>
        <item x="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9"/>
  </rowFields>
  <rowItems count="6">
    <i>
      <x/>
    </i>
    <i>
      <x v="1"/>
    </i>
    <i>
      <x v="2"/>
    </i>
    <i>
      <x v="3"/>
    </i>
    <i>
      <x v="4"/>
    </i>
    <i t="grand">
      <x/>
    </i>
  </rowItems>
  <colItems count="1">
    <i/>
  </colItems>
  <dataFields count="1">
    <dataField name="No. of SHOCs" fld="9" subtotal="count" baseField="0" baseItem="0"/>
  </dataFields>
  <formats count="12">
    <format dxfId="14">
      <pivotArea type="all" dataOnly="0" outline="0" fieldPosition="0"/>
    </format>
    <format dxfId="15">
      <pivotArea outline="0" collapsedLevelsAreSubtotals="1" fieldPosition="0"/>
    </format>
    <format dxfId="16">
      <pivotArea field="9" type="button" dataOnly="0" labelOnly="1" outline="0" fieldPosition="0"/>
    </format>
    <format dxfId="17">
      <pivotArea dataOnly="0" labelOnly="1" fieldPosition="0">
        <references count="1">
          <reference field="9" count="0"/>
        </references>
      </pivotArea>
    </format>
    <format dxfId="18">
      <pivotArea dataOnly="0" labelOnly="1" grandRow="1" outline="0" fieldPosition="0"/>
    </format>
    <format dxfId="19">
      <pivotArea dataOnly="0" labelOnly="1" outline="0" fieldPosition="0"/>
    </format>
    <format dxfId="20">
      <pivotArea type="all" dataOnly="0" outline="0" fieldPosition="0"/>
    </format>
    <format dxfId="21">
      <pivotArea outline="0" collapsedLevelsAreSubtotals="1" fieldPosition="0"/>
    </format>
    <format dxfId="22">
      <pivotArea field="9" type="button" dataOnly="0" labelOnly="1" outline="0" fieldPosition="0"/>
    </format>
    <format dxfId="23">
      <pivotArea dataOnly="0" labelOnly="1" grandRow="1" outline="0" fieldPosition="0"/>
    </format>
    <format dxfId="24">
      <pivotArea dataOnly="0" labelOnly="1" outline="0" fieldPosition="0"/>
    </format>
    <format dxfId="25">
      <pivotArea dataOnly="0" labelOnly="1" fieldPosition="0">
        <references count="1">
          <reference field="9" count="0"/>
        </references>
      </pivotArea>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1" cacheId="0" autoFormatId="1" applyNumberFormats="0" applyBorderFormats="0" applyFontFormats="0" applyPatternFormats="0" applyAlignmentFormats="0" applyWidthHeightFormats="1" dataCaption="Values" updatedVersion="5" minRefreshableVersion="3" createdVersion="8" useAutoFormatting="1" indent="0" outline="1" outlineData="1" showDrill="1" multipleFieldFilters="0" rowHeaderCaption="Company" colHeaderCaption="Months" chartFormat="17">
  <location ref="B23:C27" firstHeaderRow="1" firstDataRow="1" firstDataCol="1"/>
  <pivotFields count="23">
    <pivotField showAll="0"/>
    <pivotField numFmtId="178" showAll="0">
      <items count="303">
        <item x="4"/>
        <item x="3"/>
        <item x="0"/>
        <item x="2"/>
        <item x="1"/>
        <item x="5"/>
        <item x="6"/>
        <item x="7"/>
        <item x="8"/>
        <item x="11"/>
        <item x="9"/>
        <item x="10"/>
        <item x="13"/>
        <item x="14"/>
        <item x="15"/>
        <item x="12"/>
        <item x="16"/>
        <item x="17"/>
        <item x="18"/>
        <item x="24"/>
        <item x="19"/>
        <item x="21"/>
        <item x="22"/>
        <item x="20"/>
        <item x="23"/>
        <item x="25"/>
        <item x="26"/>
        <item x="27"/>
        <item x="28"/>
        <item x="29"/>
        <item x="30"/>
        <item x="31"/>
        <item x="32"/>
        <item x="33"/>
        <item x="34"/>
        <item x="35"/>
        <item x="36"/>
        <item x="37"/>
        <item x="46"/>
        <item x="45"/>
        <item x="38"/>
        <item x="39"/>
        <item x="40"/>
        <item x="47"/>
        <item x="41"/>
        <item x="42"/>
        <item x="48"/>
        <item x="43"/>
        <item x="44"/>
        <item x="49"/>
        <item x="50"/>
        <item x="51"/>
        <item x="61"/>
        <item x="52"/>
        <item x="58"/>
        <item x="59"/>
        <item x="60"/>
        <item x="54"/>
        <item x="55"/>
        <item x="56"/>
        <item x="57"/>
        <item x="53"/>
        <item x="71"/>
        <item x="62"/>
        <item x="63"/>
        <item x="77"/>
        <item x="64"/>
        <item x="65"/>
        <item x="66"/>
        <item x="67"/>
        <item x="72"/>
        <item x="69"/>
        <item x="70"/>
        <item x="68"/>
        <item x="73"/>
        <item x="103"/>
        <item x="74"/>
        <item x="75"/>
        <item x="76"/>
        <item x="98"/>
        <item x="78"/>
        <item x="106"/>
        <item x="79"/>
        <item x="80"/>
        <item x="81"/>
        <item x="82"/>
        <item x="83"/>
        <item x="84"/>
        <item x="105"/>
        <item x="85"/>
        <item x="86"/>
        <item x="87"/>
        <item x="88"/>
        <item x="89"/>
        <item x="90"/>
        <item x="91"/>
        <item x="92"/>
        <item x="97"/>
        <item x="93"/>
        <item x="94"/>
        <item x="95"/>
        <item x="104"/>
        <item x="96"/>
        <item x="102"/>
        <item x="100"/>
        <item x="101"/>
        <item x="99"/>
        <item x="133"/>
        <item x="111"/>
        <item x="108"/>
        <item x="110"/>
        <item x="107"/>
        <item x="109"/>
        <item x="112"/>
        <item x="113"/>
        <item x="120"/>
        <item x="116"/>
        <item x="117"/>
        <item x="115"/>
        <item x="114"/>
        <item x="118"/>
        <item x="119"/>
        <item x="123"/>
        <item x="121"/>
        <item x="122"/>
        <item x="125"/>
        <item x="126"/>
        <item x="124"/>
        <item x="130"/>
        <item x="131"/>
        <item x="127"/>
        <item x="129"/>
        <item x="128"/>
        <item x="132"/>
        <item x="134"/>
        <item x="135"/>
        <item x="136"/>
        <item x="137"/>
        <item x="140"/>
        <item x="141"/>
        <item x="138"/>
        <item x="139"/>
        <item x="149"/>
        <item x="142"/>
        <item x="143"/>
        <item x="144"/>
        <item x="145"/>
        <item x="146"/>
        <item x="147"/>
        <item x="148"/>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axis="axisRow" dataField="1" showAll="0">
      <items count="7">
        <item x="0"/>
        <item m="1" x="4"/>
        <item m="1" x="3"/>
        <item m="1" x="5"/>
        <item x="1"/>
        <item x="2"/>
        <item t="default"/>
      </items>
    </pivotField>
    <pivotField showAll="0"/>
    <pivotField showAll="0">
      <items count="10">
        <item x="3"/>
        <item x="2"/>
        <item x="1"/>
        <item x="0"/>
        <item m="1" x="4"/>
        <item m="1" x="5"/>
        <item m="1" x="6"/>
        <item m="1" x="7"/>
        <item m="1" x="8"/>
        <item t="default"/>
      </items>
    </pivotField>
    <pivotField showAll="0">
      <items count="31">
        <item x="6"/>
        <item m="1" x="29"/>
        <item x="20"/>
        <item m="1" x="23"/>
        <item x="1"/>
        <item x="7"/>
        <item x="3"/>
        <item x="9"/>
        <item x="17"/>
        <item m="1" x="25"/>
        <item m="1" x="26"/>
        <item m="1" x="24"/>
        <item m="1" x="27"/>
        <item m="1" x="28"/>
        <item x="16"/>
        <item x="14"/>
        <item x="10"/>
        <item x="13"/>
        <item x="11"/>
        <item x="12"/>
        <item x="0"/>
        <item x="2"/>
        <item x="4"/>
        <item x="8"/>
        <item x="15"/>
        <item x="19"/>
        <item x="18"/>
        <item x="5"/>
        <item m="1" x="22"/>
        <item m="1" x="21"/>
        <item t="default"/>
      </items>
    </pivotField>
    <pivotField showAll="0">
      <items count="28">
        <item x="6"/>
        <item m="1" x="24"/>
        <item x="14"/>
        <item x="13"/>
        <item x="0"/>
        <item x="21"/>
        <item x="5"/>
        <item x="3"/>
        <item x="4"/>
        <item x="17"/>
        <item m="1" x="26"/>
        <item x="22"/>
        <item x="2"/>
        <item x="19"/>
        <item x="12"/>
        <item x="8"/>
        <item x="15"/>
        <item x="11"/>
        <item x="16"/>
        <item x="9"/>
        <item x="18"/>
        <item x="20"/>
        <item x="10"/>
        <item x="1"/>
        <item x="7"/>
        <item m="1" x="23"/>
        <item m="1" x="25"/>
        <item t="default"/>
      </items>
    </pivotField>
    <pivotField showAll="0"/>
    <pivotField showAll="0">
      <items count="8">
        <item x="0"/>
        <item x="4"/>
        <item x="5"/>
        <item x="2"/>
        <item x="3"/>
        <item x="1"/>
        <item m="1" x="6"/>
        <item t="default"/>
      </items>
    </pivotField>
    <pivotField showAll="0"/>
    <pivotField showAll="0"/>
    <pivotField showAll="0"/>
    <pivotField showAll="0"/>
    <pivotField showAll="0"/>
    <pivotField showAll="0"/>
    <pivotField showAll="0">
      <items count="6">
        <item x="0"/>
        <item m="1" x="4"/>
        <item x="1"/>
        <item m="1" x="2"/>
        <item m="1" x="3"/>
        <item t="default"/>
      </items>
    </pivotField>
    <pivotField showAll="0"/>
    <pivotField dragToCol="0" dragToPage="0" dragToRow="0" defaultSubtotal="0" showAll="0"/>
    <pivotField showAll="0">
      <items count="9">
        <item x="2"/>
        <item x="0"/>
        <item x="1"/>
        <item x="3"/>
        <item x="4"/>
        <item x="5"/>
        <item x="6"/>
        <item x="7"/>
        <item t="default"/>
      </items>
    </pivotField>
    <pivotField showAll="0">
      <items count="7">
        <item x="2"/>
        <item x="5"/>
        <item x="4"/>
        <item x="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3"/>
  </rowFields>
  <rowItems count="4">
    <i>
      <x/>
    </i>
    <i>
      <x v="4"/>
    </i>
    <i>
      <x v="5"/>
    </i>
    <i t="grand">
      <x/>
    </i>
  </rowItems>
  <colItems count="1">
    <i/>
  </colItems>
  <dataFields count="1">
    <dataField name="Count of Company" fld="3" subtotal="count" baseField="0" baseItem="0"/>
  </dataFields>
  <formats count="12">
    <format dxfId="26">
      <pivotArea type="all" dataOnly="0" outline="0" fieldPosition="0"/>
    </format>
    <format dxfId="27">
      <pivotArea outline="0" collapsedLevelsAreSubtotals="1" fieldPosition="0"/>
    </format>
    <format dxfId="28">
      <pivotArea field="3" type="button" dataOnly="0" labelOnly="1" outline="0" fieldPosition="0"/>
    </format>
    <format dxfId="29">
      <pivotArea dataOnly="0" labelOnly="1" fieldPosition="0">
        <references count="1">
          <reference field="3" count="0"/>
        </references>
      </pivotArea>
    </format>
    <format dxfId="30">
      <pivotArea dataOnly="0" labelOnly="1" grandRow="1" outline="0" fieldPosition="0"/>
    </format>
    <format dxfId="31">
      <pivotArea dataOnly="0" labelOnly="1" outline="0" fieldPosition="0"/>
    </format>
    <format dxfId="32">
      <pivotArea type="all" dataOnly="0" outline="0" fieldPosition="0"/>
    </format>
    <format dxfId="33">
      <pivotArea outline="0" collapsedLevelsAreSubtotals="1" fieldPosition="0"/>
    </format>
    <format dxfId="34">
      <pivotArea field="3" type="button" dataOnly="0" labelOnly="1" outline="0" fieldPosition="0"/>
    </format>
    <format dxfId="35">
      <pivotArea dataOnly="0" labelOnly="1" fieldPosition="0">
        <references count="1">
          <reference field="3" count="0"/>
        </references>
      </pivotArea>
    </format>
    <format dxfId="36">
      <pivotArea dataOnly="0" labelOnly="1" grandRow="1" outline="0" fieldPosition="0"/>
    </format>
    <format dxfId="37">
      <pivotArea dataOnly="0" labelOnly="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0" autoFormatId="1" applyNumberFormats="0" applyBorderFormats="0" applyFontFormats="0" applyPatternFormats="0" applyAlignmentFormats="0" applyWidthHeightFormats="1" dataCaption="Values" updatedVersion="5" minRefreshableVersion="3" createdVersion="8" useAutoFormatting="1" indent="0" outline="1" outlineData="1" showDrill="1" multipleFieldFilters="0" rowHeaderCaption="Observation Type" colHeaderCaption="Month" chartFormat="22">
  <location ref="R68:S87" firstHeaderRow="1" firstDataRow="1" firstDataCol="1" rowPageCount="1" colPageCount="1"/>
  <pivotFields count="23">
    <pivotField showAll="0"/>
    <pivotField numFmtId="178" showAll="0">
      <items count="303">
        <item x="4"/>
        <item x="3"/>
        <item x="0"/>
        <item x="2"/>
        <item x="1"/>
        <item x="5"/>
        <item x="6"/>
        <item x="7"/>
        <item x="8"/>
        <item x="11"/>
        <item x="9"/>
        <item x="10"/>
        <item x="13"/>
        <item x="14"/>
        <item x="15"/>
        <item x="12"/>
        <item x="16"/>
        <item x="17"/>
        <item x="18"/>
        <item x="24"/>
        <item x="19"/>
        <item x="21"/>
        <item x="22"/>
        <item x="20"/>
        <item x="23"/>
        <item x="25"/>
        <item x="26"/>
        <item x="27"/>
        <item x="28"/>
        <item x="29"/>
        <item x="30"/>
        <item x="31"/>
        <item x="32"/>
        <item x="33"/>
        <item x="34"/>
        <item x="35"/>
        <item x="36"/>
        <item x="37"/>
        <item x="46"/>
        <item x="45"/>
        <item x="38"/>
        <item x="39"/>
        <item x="40"/>
        <item x="47"/>
        <item x="41"/>
        <item x="42"/>
        <item x="48"/>
        <item x="43"/>
        <item x="44"/>
        <item x="49"/>
        <item x="50"/>
        <item x="51"/>
        <item x="61"/>
        <item x="52"/>
        <item x="58"/>
        <item x="59"/>
        <item x="60"/>
        <item x="54"/>
        <item x="55"/>
        <item x="56"/>
        <item x="57"/>
        <item x="53"/>
        <item x="71"/>
        <item x="62"/>
        <item x="63"/>
        <item x="77"/>
        <item x="64"/>
        <item x="65"/>
        <item x="66"/>
        <item x="67"/>
        <item x="72"/>
        <item x="69"/>
        <item x="70"/>
        <item x="68"/>
        <item x="73"/>
        <item x="103"/>
        <item x="74"/>
        <item x="75"/>
        <item x="76"/>
        <item x="98"/>
        <item x="78"/>
        <item x="106"/>
        <item x="79"/>
        <item x="80"/>
        <item x="81"/>
        <item x="82"/>
        <item x="83"/>
        <item x="84"/>
        <item x="105"/>
        <item x="85"/>
        <item x="86"/>
        <item x="87"/>
        <item x="88"/>
        <item x="89"/>
        <item x="90"/>
        <item x="91"/>
        <item x="92"/>
        <item x="97"/>
        <item x="93"/>
        <item x="94"/>
        <item x="95"/>
        <item x="104"/>
        <item x="96"/>
        <item x="102"/>
        <item x="100"/>
        <item x="101"/>
        <item x="99"/>
        <item x="133"/>
        <item x="111"/>
        <item x="108"/>
        <item x="110"/>
        <item x="107"/>
        <item x="109"/>
        <item x="112"/>
        <item x="113"/>
        <item x="120"/>
        <item x="116"/>
        <item x="117"/>
        <item x="115"/>
        <item x="114"/>
        <item x="118"/>
        <item x="119"/>
        <item x="123"/>
        <item x="121"/>
        <item x="122"/>
        <item x="125"/>
        <item x="126"/>
        <item x="124"/>
        <item x="130"/>
        <item x="131"/>
        <item x="127"/>
        <item x="129"/>
        <item x="128"/>
        <item x="132"/>
        <item x="134"/>
        <item x="135"/>
        <item x="136"/>
        <item x="137"/>
        <item x="140"/>
        <item x="141"/>
        <item x="138"/>
        <item x="139"/>
        <item x="149"/>
        <item x="142"/>
        <item x="143"/>
        <item x="144"/>
        <item x="145"/>
        <item x="146"/>
        <item x="147"/>
        <item x="148"/>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showAll="0">
      <items count="7">
        <item x="0"/>
        <item x="2"/>
        <item m="1" x="4"/>
        <item x="1"/>
        <item m="1" x="3"/>
        <item m="1" x="5"/>
        <item t="default"/>
      </items>
    </pivotField>
    <pivotField showAll="0"/>
    <pivotField axis="axisPage" multipleItemSelectionAllowed="1" showAll="0">
      <items count="10">
        <item h="1" x="3"/>
        <item h="1" x="2"/>
        <item x="1"/>
        <item x="0"/>
        <item m="1" x="4"/>
        <item m="1" x="5"/>
        <item m="1" x="6"/>
        <item m="1" x="7"/>
        <item m="1" x="8"/>
        <item t="default"/>
      </items>
    </pivotField>
    <pivotField showAll="0">
      <items count="31">
        <item x="6"/>
        <item m="1" x="29"/>
        <item x="20"/>
        <item m="1" x="23"/>
        <item x="1"/>
        <item x="7"/>
        <item x="3"/>
        <item x="9"/>
        <item x="17"/>
        <item m="1" x="25"/>
        <item m="1" x="26"/>
        <item m="1" x="24"/>
        <item m="1" x="27"/>
        <item m="1" x="28"/>
        <item x="16"/>
        <item x="14"/>
        <item x="10"/>
        <item x="13"/>
        <item x="11"/>
        <item x="12"/>
        <item x="0"/>
        <item x="2"/>
        <item x="4"/>
        <item x="8"/>
        <item x="15"/>
        <item x="19"/>
        <item x="18"/>
        <item x="5"/>
        <item m="1" x="22"/>
        <item m="1" x="21"/>
        <item t="default"/>
      </items>
    </pivotField>
    <pivotField axis="axisRow" dataField="1" showAll="0">
      <items count="28">
        <item m="1" x="23"/>
        <item x="7"/>
        <item x="1"/>
        <item x="10"/>
        <item x="20"/>
        <item x="18"/>
        <item x="9"/>
        <item x="16"/>
        <item m="1" x="25"/>
        <item x="11"/>
        <item x="15"/>
        <item x="8"/>
        <item x="12"/>
        <item x="19"/>
        <item x="2"/>
        <item m="1" x="26"/>
        <item x="17"/>
        <item x="4"/>
        <item x="3"/>
        <item x="5"/>
        <item x="21"/>
        <item x="0"/>
        <item x="13"/>
        <item x="14"/>
        <item m="1" x="24"/>
        <item x="6"/>
        <item x="22"/>
        <item t="default"/>
      </items>
    </pivotField>
    <pivotField showAll="0"/>
    <pivotField showAll="0">
      <items count="8">
        <item x="0"/>
        <item x="4"/>
        <item x="5"/>
        <item x="2"/>
        <item x="3"/>
        <item x="1"/>
        <item m="1" x="6"/>
        <item t="default"/>
      </items>
    </pivotField>
    <pivotField showAll="0"/>
    <pivotField showAll="0"/>
    <pivotField showAll="0"/>
    <pivotField showAll="0"/>
    <pivotField showAll="0"/>
    <pivotField showAll="0"/>
    <pivotField showAll="0">
      <items count="6">
        <item x="0"/>
        <item m="1" x="4"/>
        <item x="1"/>
        <item m="1" x="2"/>
        <item m="1" x="3"/>
        <item t="default"/>
      </items>
    </pivotField>
    <pivotField showAll="0"/>
    <pivotField dragToCol="0" dragToPage="0" dragToRow="0" defaultSubtotal="0" showAll="0"/>
    <pivotField showAll="0">
      <items count="9">
        <item x="2"/>
        <item x="0"/>
        <item x="1"/>
        <item x="3"/>
        <item x="4"/>
        <item x="5"/>
        <item x="6"/>
        <item x="7"/>
        <item t="default"/>
      </items>
    </pivotField>
    <pivotField axis="axisRow" sortType="descending" showAll="0">
      <items count="7">
        <item x="1"/>
        <item x="4"/>
        <item x="3"/>
        <item n="Others" x="5"/>
        <item x="0"/>
        <item n="LSR" x="2"/>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2">
    <field x="20"/>
    <field x="7"/>
  </rowFields>
  <rowItems count="19">
    <i>
      <x v="3"/>
    </i>
    <i r="1">
      <x v="1"/>
    </i>
    <i r="1">
      <x v="5"/>
    </i>
    <i r="1">
      <x v="6"/>
    </i>
    <i r="1">
      <x v="7"/>
    </i>
    <i r="1">
      <x v="10"/>
    </i>
    <i r="1">
      <x v="14"/>
    </i>
    <i r="1">
      <x v="16"/>
    </i>
    <i r="1">
      <x v="18"/>
    </i>
    <i r="1">
      <x v="20"/>
    </i>
    <i>
      <x v="5"/>
    </i>
    <i r="1">
      <x v="2"/>
    </i>
    <i r="1">
      <x v="3"/>
    </i>
    <i r="1">
      <x v="11"/>
    </i>
    <i r="1">
      <x v="17"/>
    </i>
    <i r="1">
      <x v="19"/>
    </i>
    <i r="1">
      <x v="21"/>
    </i>
    <i r="1">
      <x v="25"/>
    </i>
    <i t="grand">
      <x/>
    </i>
  </rowItems>
  <colItems count="1">
    <i/>
  </colItems>
  <pageFields count="1">
    <pageField fld="5"/>
  </pageFields>
  <dataFields count="1">
    <dataField name="No. of SHOCs" fld="7" subtotal="count" baseField="0" baseItem="0"/>
  </dataFields>
  <formats count="12">
    <format dxfId="38">
      <pivotArea type="all" dataOnly="0" outline="0" fieldPosition="0"/>
    </format>
    <format dxfId="39">
      <pivotArea outline="0" collapsedLevelsAreSubtotals="1" fieldPosition="0"/>
    </format>
    <format dxfId="40">
      <pivotArea field="7" type="button" dataOnly="0" labelOnly="1" outline="0" fieldPosition="0"/>
    </format>
    <format dxfId="41">
      <pivotArea dataOnly="0" labelOnly="1" fieldPosition="0">
        <references count="1">
          <reference field="7" count="0"/>
        </references>
      </pivotArea>
    </format>
    <format dxfId="42">
      <pivotArea dataOnly="0" labelOnly="1" grandRow="1" outline="0" fieldPosition="0"/>
    </format>
    <format dxfId="43">
      <pivotArea dataOnly="0" labelOnly="1" outline="0" fieldPosition="0"/>
    </format>
    <format dxfId="44">
      <pivotArea type="all" dataOnly="0" outline="0" fieldPosition="0"/>
    </format>
    <format dxfId="45">
      <pivotArea outline="0" collapsedLevelsAreSubtotals="1" fieldPosition="0"/>
    </format>
    <format dxfId="46">
      <pivotArea field="7" type="button" dataOnly="0" labelOnly="1" outline="0" fieldPosition="0"/>
    </format>
    <format dxfId="47">
      <pivotArea dataOnly="0" labelOnly="1" fieldPosition="0">
        <references count="1">
          <reference field="7" count="0"/>
        </references>
      </pivotArea>
    </format>
    <format dxfId="48">
      <pivotArea dataOnly="0" labelOnly="1" grandRow="1" outline="0" fieldPosition="0"/>
    </format>
    <format dxfId="49">
      <pivotArea dataOnly="0" labelOnly="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0" autoFormatId="1" applyNumberFormats="0" applyBorderFormats="0" applyFontFormats="0" applyPatternFormats="0" applyAlignmentFormats="0" applyWidthHeightFormats="1" dataCaption="Values" updatedVersion="5" minRefreshableVersion="3" createdVersion="8" useAutoFormatting="1" indent="0" outline="1" outlineData="1" showDrill="1" multipleFieldFilters="0" rowHeaderCaption="Location" colHeaderCaption="Month" chartFormat="37">
  <location ref="L34:P50" firstHeaderRow="1" firstDataRow="2" firstDataCol="1"/>
  <pivotFields count="23">
    <pivotField showAll="0"/>
    <pivotField numFmtId="178" showAll="0">
      <items count="303">
        <item x="4"/>
        <item x="3"/>
        <item x="0"/>
        <item x="2"/>
        <item x="1"/>
        <item x="5"/>
        <item x="6"/>
        <item x="7"/>
        <item x="8"/>
        <item x="11"/>
        <item x="9"/>
        <item x="10"/>
        <item x="13"/>
        <item x="14"/>
        <item x="15"/>
        <item x="12"/>
        <item x="16"/>
        <item x="17"/>
        <item x="18"/>
        <item x="24"/>
        <item x="19"/>
        <item x="21"/>
        <item x="22"/>
        <item x="20"/>
        <item x="23"/>
        <item x="25"/>
        <item x="26"/>
        <item x="27"/>
        <item x="28"/>
        <item x="29"/>
        <item x="30"/>
        <item x="31"/>
        <item x="32"/>
        <item x="33"/>
        <item x="34"/>
        <item x="35"/>
        <item x="36"/>
        <item x="37"/>
        <item x="46"/>
        <item x="45"/>
        <item x="38"/>
        <item x="39"/>
        <item x="40"/>
        <item x="47"/>
        <item x="41"/>
        <item x="42"/>
        <item x="48"/>
        <item x="43"/>
        <item x="44"/>
        <item x="49"/>
        <item x="50"/>
        <item x="51"/>
        <item x="61"/>
        <item x="52"/>
        <item x="58"/>
        <item x="59"/>
        <item x="60"/>
        <item x="54"/>
        <item x="55"/>
        <item x="56"/>
        <item x="57"/>
        <item x="53"/>
        <item x="71"/>
        <item x="62"/>
        <item x="63"/>
        <item x="77"/>
        <item x="64"/>
        <item x="65"/>
        <item x="66"/>
        <item x="67"/>
        <item x="72"/>
        <item x="69"/>
        <item x="70"/>
        <item x="68"/>
        <item x="73"/>
        <item x="103"/>
        <item x="74"/>
        <item x="75"/>
        <item x="76"/>
        <item x="98"/>
        <item x="78"/>
        <item x="106"/>
        <item x="79"/>
        <item x="80"/>
        <item x="81"/>
        <item x="82"/>
        <item x="83"/>
        <item x="84"/>
        <item x="105"/>
        <item x="85"/>
        <item x="86"/>
        <item x="87"/>
        <item x="88"/>
        <item x="89"/>
        <item x="90"/>
        <item x="91"/>
        <item x="92"/>
        <item x="97"/>
        <item x="93"/>
        <item x="94"/>
        <item x="95"/>
        <item x="104"/>
        <item x="96"/>
        <item x="102"/>
        <item x="100"/>
        <item x="101"/>
        <item x="99"/>
        <item x="133"/>
        <item x="111"/>
        <item x="108"/>
        <item x="110"/>
        <item x="107"/>
        <item x="109"/>
        <item x="112"/>
        <item x="113"/>
        <item x="120"/>
        <item x="116"/>
        <item x="117"/>
        <item x="115"/>
        <item x="114"/>
        <item x="118"/>
        <item x="119"/>
        <item x="123"/>
        <item x="121"/>
        <item x="122"/>
        <item x="125"/>
        <item x="126"/>
        <item x="124"/>
        <item x="130"/>
        <item x="131"/>
        <item x="127"/>
        <item x="129"/>
        <item x="128"/>
        <item x="132"/>
        <item x="134"/>
        <item x="135"/>
        <item x="136"/>
        <item x="137"/>
        <item x="140"/>
        <item x="141"/>
        <item x="138"/>
        <item x="139"/>
        <item x="149"/>
        <item x="142"/>
        <item x="143"/>
        <item x="144"/>
        <item x="145"/>
        <item x="146"/>
        <item x="147"/>
        <item x="148"/>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t="default"/>
      </items>
    </pivotField>
    <pivotField showAll="0"/>
    <pivotField showAll="0">
      <items count="7">
        <item x="0"/>
        <item x="2"/>
        <item m="1" x="4"/>
        <item x="1"/>
        <item m="1" x="3"/>
        <item m="1" x="5"/>
        <item t="default"/>
      </items>
    </pivotField>
    <pivotField showAll="0"/>
    <pivotField showAll="0">
      <items count="10">
        <item x="3"/>
        <item x="2"/>
        <item x="1"/>
        <item x="0"/>
        <item m="1" x="4"/>
        <item m="1" x="5"/>
        <item m="1" x="6"/>
        <item m="1" x="7"/>
        <item m="1" x="8"/>
        <item t="default"/>
      </items>
    </pivotField>
    <pivotField axis="axisRow" dataField="1" showAll="0">
      <items count="31">
        <item m="1" x="23"/>
        <item m="1" x="25"/>
        <item m="1" x="26"/>
        <item m="1" x="24"/>
        <item m="1" x="27"/>
        <item m="1" x="28"/>
        <item x="0"/>
        <item x="2"/>
        <item x="4"/>
        <item x="18"/>
        <item m="1" x="29"/>
        <item m="1" x="21"/>
        <item x="1"/>
        <item x="3"/>
        <item x="5"/>
        <item x="6"/>
        <item x="7"/>
        <item x="8"/>
        <item x="9"/>
        <item x="10"/>
        <item x="11"/>
        <item x="12"/>
        <item m="1" x="22"/>
        <item x="13"/>
        <item x="14"/>
        <item x="15"/>
        <item x="16"/>
        <item x="17"/>
        <item x="19"/>
        <item x="20"/>
        <item t="default"/>
      </items>
    </pivotField>
    <pivotField showAll="0">
      <items count="28">
        <item x="6"/>
        <item m="1" x="24"/>
        <item x="14"/>
        <item x="13"/>
        <item x="0"/>
        <item x="21"/>
        <item x="5"/>
        <item x="3"/>
        <item x="4"/>
        <item x="17"/>
        <item m="1" x="26"/>
        <item x="22"/>
        <item x="2"/>
        <item x="19"/>
        <item x="12"/>
        <item x="8"/>
        <item x="15"/>
        <item x="11"/>
        <item x="16"/>
        <item x="9"/>
        <item x="18"/>
        <item x="20"/>
        <item x="10"/>
        <item x="1"/>
        <item x="7"/>
        <item m="1" x="23"/>
        <item m="1" x="25"/>
        <item t="default"/>
      </items>
    </pivotField>
    <pivotField showAll="0"/>
    <pivotField showAll="0">
      <items count="8">
        <item x="0"/>
        <item x="4"/>
        <item x="5"/>
        <item x="2"/>
        <item x="3"/>
        <item x="1"/>
        <item m="1" x="6"/>
        <item t="default"/>
      </items>
    </pivotField>
    <pivotField showAll="0"/>
    <pivotField showAll="0"/>
    <pivotField showAll="0"/>
    <pivotField showAll="0"/>
    <pivotField showAll="0"/>
    <pivotField showAll="0"/>
    <pivotField showAll="0">
      <items count="6">
        <item x="0"/>
        <item m="1" x="4"/>
        <item x="1"/>
        <item m="1" x="2"/>
        <item m="1" x="3"/>
        <item t="default"/>
      </items>
    </pivotField>
    <pivotField showAll="0"/>
    <pivotField dragToCol="0" dragToPage="0" dragToRow="0" defaultSubtotal="0" showAll="0"/>
    <pivotField axis="axisCol" showAll="0">
      <items count="9">
        <item n="Safe Act/ Condition" x="2"/>
        <item x="0"/>
        <item x="1"/>
        <item x="3"/>
        <item x="4"/>
        <item x="5"/>
        <item x="6"/>
        <item x="7"/>
        <item t="default"/>
      </items>
    </pivotField>
    <pivotField showAll="0">
      <items count="7">
        <item x="2"/>
        <item x="5"/>
        <item x="4"/>
        <item x="3"/>
        <item x="0"/>
        <item x="1"/>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h="1" x="0"/>
        <item h="1" x="1"/>
        <item h="1" x="2"/>
        <item h="1" x="3"/>
        <item h="1" x="4"/>
        <item h="1" x="5"/>
        <item h="1" x="6"/>
        <item h="1" x="7"/>
        <item x="8"/>
        <item h="1" x="9"/>
        <item h="1" x="10"/>
        <item h="1" x="11"/>
        <item h="1" x="12"/>
        <item h="1" x="13"/>
        <item t="default"/>
      </items>
    </pivotField>
  </pivotFields>
  <rowFields count="1">
    <field x="6"/>
  </rowFields>
  <rowItems count="15">
    <i>
      <x v="6"/>
    </i>
    <i>
      <x v="7"/>
    </i>
    <i>
      <x v="8"/>
    </i>
    <i>
      <x v="9"/>
    </i>
    <i>
      <x v="12"/>
    </i>
    <i>
      <x v="13"/>
    </i>
    <i>
      <x v="14"/>
    </i>
    <i>
      <x v="15"/>
    </i>
    <i>
      <x v="16"/>
    </i>
    <i>
      <x v="17"/>
    </i>
    <i>
      <x v="18"/>
    </i>
    <i>
      <x v="20"/>
    </i>
    <i>
      <x v="25"/>
    </i>
    <i>
      <x v="27"/>
    </i>
    <i t="grand">
      <x/>
    </i>
  </rowItems>
  <colFields count="1">
    <field x="19"/>
  </colFields>
  <colItems count="4">
    <i>
      <x/>
    </i>
    <i>
      <x v="1"/>
    </i>
    <i>
      <x v="2"/>
    </i>
    <i t="grand">
      <x/>
    </i>
  </colItems>
  <dataFields count="1">
    <dataField name="No. of SHOCs" fld="6" subtotal="count" baseField="0" baseItem="0"/>
  </dataFields>
  <formats count="13">
    <format dxfId="50">
      <pivotArea dataOnly="0" labelOnly="1" outline="0" fieldPosition="0"/>
    </format>
    <format dxfId="51">
      <pivotArea type="all" dataOnly="0" outline="0" fieldPosition="0"/>
    </format>
    <format dxfId="52">
      <pivotArea outline="0" collapsedLevelsAreSubtotals="1" fieldPosition="0"/>
    </format>
    <format dxfId="53">
      <pivotArea field="6" type="button" dataOnly="0" labelOnly="1" outline="0" fieldPosition="0"/>
    </format>
    <format dxfId="54">
      <pivotArea dataOnly="0" labelOnly="1" fieldPosition="0">
        <references count="1">
          <reference field="6" count="0"/>
        </references>
      </pivotArea>
    </format>
    <format dxfId="55">
      <pivotArea dataOnly="0" labelOnly="1" grandRow="1" outline="0" fieldPosition="0"/>
    </format>
    <format dxfId="56">
      <pivotArea dataOnly="0" labelOnly="1" outline="0" fieldPosition="0"/>
    </format>
    <format dxfId="57">
      <pivotArea type="all" dataOnly="0" outline="0" fieldPosition="0"/>
    </format>
    <format dxfId="58">
      <pivotArea outline="0" collapsedLevelsAreSubtotals="1" fieldPosition="0"/>
    </format>
    <format dxfId="59">
      <pivotArea field="6" type="button" dataOnly="0" labelOnly="1" outline="0" fieldPosition="0"/>
    </format>
    <format dxfId="60">
      <pivotArea dataOnly="0" labelOnly="1" fieldPosition="0">
        <references count="1">
          <reference field="6" count="0"/>
        </references>
      </pivotArea>
    </format>
    <format dxfId="61">
      <pivotArea dataOnly="0" labelOnly="1" grandRow="1" outline="0" fieldPosition="0"/>
    </format>
    <format dxfId="62">
      <pivotArea dataOnly="0" labelOnly="1" outline="0" fieldPosition="0"/>
    </format>
  </formats>
  <pivotTableStyleInfo name="PivotStyleLight16" showRowHeaders="1" showColHeaders="1"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s__Date" sourceName="Months (Date)">
  <pivotTables>
    <pivotTable tabId="76" name="PivotTable8"/>
    <pivotTable tabId="76" name="PivotTable11"/>
    <pivotTable tabId="76" name="PivotTable12"/>
    <pivotTable tabId="76" name="PivotTable5"/>
    <pivotTable tabId="76" name="PivotTable6"/>
    <pivotTable tabId="76" name="PivotTable7"/>
  </pivotTables>
  <data>
    <tabular pivotCacheId="1">
      <items count="14">
        <i x="1" s="0"/>
        <i x="2" s="0"/>
        <i x="3" s="0"/>
        <i x="4" s="0"/>
        <i x="5" s="0"/>
        <i x="6" s="0"/>
        <i x="7" s="0"/>
        <i x="8" s="1"/>
        <i x="9" s="0"/>
        <i x="10" s="0"/>
        <i x="11" s="0"/>
        <i x="12" s="0" nd="1"/>
        <i x="0" s="0" nd="1"/>
        <i x="13" s="0"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s (Date)" cache="Slicer_Months__Date" caption="Months (Date)" startItem="1" style="SlicerStyleDark2" rowHeight="225425"/>
</slicers>
</file>

<file path=xl/tables/table1.xml><?xml version="1.0" encoding="utf-8"?>
<table xmlns="http://schemas.openxmlformats.org/spreadsheetml/2006/main" id="2" name="Table2" displayName="Table2" ref="A23:R2181" totalsRowShown="0">
  <autoFilter xmlns:etc="http://www.wps.cn/officeDocument/2017/etCustomData" ref="A23:R2181" etc:filterBottomFollowUsedRange="0"/>
  <tableColumns count="18">
    <tableColumn id="1" name="S/N" dataDxfId="63"/>
    <tableColumn id="2" name="Date" dataDxfId="64"/>
    <tableColumn id="3" name="Observer" dataDxfId="65"/>
    <tableColumn id="4" name="Company" dataDxfId="66"/>
    <tableColumn id="16" name="Trade/Position" dataDxfId="67"/>
    <tableColumn id="7" name="Observation Group" dataDxfId="68"/>
    <tableColumn id="14" name="Location/Area" dataDxfId="69"/>
    <tableColumn id="17" name="Observation Type" dataDxfId="70"/>
    <tableColumn id="8" name="Observation" dataDxfId="71"/>
    <tableColumn id="10" name="Action" dataDxfId="72"/>
    <tableColumn id="22" name="Action Taken" dataDxfId="73"/>
    <tableColumn id="19" name="Corrective Action / Preventive Action" dataDxfId="74"/>
    <tableColumn id="9" name="Priority" dataDxfId="75"/>
    <tableColumn id="20" name="Risk Rating" dataDxfId="76"/>
    <tableColumn id="11" name="Custodian" dataDxfId="77"/>
    <tableColumn id="12" name="Due Date" dataDxfId="78"/>
    <tableColumn id="13" name="Status" dataDxfId="79"/>
    <tableColumn id="15" name="Comment" dataDxfId="80"/>
  </tableColumns>
  <tableStyleInfo name="TableStyleMedium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7" Type="http://schemas.openxmlformats.org/officeDocument/2006/relationships/drawing" Target="../drawings/drawing3.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B39"/>
  <sheetViews>
    <sheetView zoomScale="85" zoomScaleNormal="85" workbookViewId="0">
      <selection activeCell="A1" sqref="A1:Z1"/>
    </sheetView>
  </sheetViews>
  <sheetFormatPr defaultColWidth="9" defaultRowHeight="13.2"/>
  <sheetData>
    <row r="1" s="19" customFormat="1" ht="45" customHeight="1" spans="1:28">
      <c r="A1" s="126" t="s">
        <v>0</v>
      </c>
      <c r="B1" s="127"/>
      <c r="C1" s="127"/>
      <c r="D1" s="127"/>
      <c r="E1" s="127"/>
      <c r="F1" s="127"/>
      <c r="G1" s="127"/>
      <c r="H1" s="127"/>
      <c r="I1" s="127"/>
      <c r="J1" s="127"/>
      <c r="K1" s="127"/>
      <c r="L1" s="127"/>
      <c r="M1" s="127"/>
      <c r="N1" s="127"/>
      <c r="O1" s="127"/>
      <c r="P1" s="127"/>
      <c r="Q1" s="127"/>
      <c r="R1" s="127"/>
      <c r="S1" s="127"/>
      <c r="T1" s="127"/>
      <c r="U1" s="127"/>
      <c r="V1" s="127"/>
      <c r="W1" s="127"/>
      <c r="X1" s="127"/>
      <c r="Y1" s="127"/>
      <c r="Z1" s="137"/>
      <c r="AA1"/>
      <c r="AB1"/>
    </row>
    <row r="2" spans="1:26">
      <c r="A2" s="128"/>
      <c r="B2" s="129"/>
      <c r="C2" s="129"/>
      <c r="D2" s="129"/>
      <c r="E2" s="129"/>
      <c r="F2" s="129"/>
      <c r="G2" s="129"/>
      <c r="H2" s="129"/>
      <c r="I2" s="129"/>
      <c r="J2" s="129"/>
      <c r="K2" s="129"/>
      <c r="L2" s="129"/>
      <c r="M2" s="129"/>
      <c r="N2" s="129"/>
      <c r="O2" s="129"/>
      <c r="P2" s="129"/>
      <c r="Q2" s="129"/>
      <c r="R2" s="129"/>
      <c r="S2" s="129"/>
      <c r="T2" s="129"/>
      <c r="U2" s="129"/>
      <c r="V2" s="129"/>
      <c r="W2" s="129"/>
      <c r="X2" s="135"/>
      <c r="Y2" s="135"/>
      <c r="Z2" s="135"/>
    </row>
    <row r="3" spans="1:26">
      <c r="A3" s="128"/>
      <c r="B3" s="129"/>
      <c r="C3" s="129"/>
      <c r="D3" s="129"/>
      <c r="E3" s="129"/>
      <c r="F3" s="129"/>
      <c r="G3" s="129"/>
      <c r="H3" s="129"/>
      <c r="I3" s="129"/>
      <c r="J3" s="129"/>
      <c r="K3" s="129"/>
      <c r="L3" s="129"/>
      <c r="M3" s="129"/>
      <c r="N3" s="129"/>
      <c r="O3" s="129"/>
      <c r="P3" s="129"/>
      <c r="Q3" s="129"/>
      <c r="R3" s="129"/>
      <c r="S3" s="129"/>
      <c r="T3" s="129"/>
      <c r="U3" s="129"/>
      <c r="V3" s="129"/>
      <c r="W3" s="129"/>
      <c r="X3" s="135"/>
      <c r="Y3" s="135"/>
      <c r="Z3" s="135"/>
    </row>
    <row r="4" spans="1:26">
      <c r="A4" s="128"/>
      <c r="B4" s="129"/>
      <c r="C4" s="129"/>
      <c r="D4" s="129"/>
      <c r="E4" s="129"/>
      <c r="F4" s="129"/>
      <c r="G4" s="129"/>
      <c r="H4" s="129"/>
      <c r="I4" s="129"/>
      <c r="J4" s="129"/>
      <c r="K4" s="129"/>
      <c r="L4" s="129"/>
      <c r="M4" s="129"/>
      <c r="N4" s="129"/>
      <c r="O4" s="129"/>
      <c r="P4" s="129"/>
      <c r="Q4" s="129"/>
      <c r="R4" s="129"/>
      <c r="S4" s="129"/>
      <c r="T4" s="129"/>
      <c r="U4" s="129"/>
      <c r="V4" s="129"/>
      <c r="W4" s="129"/>
      <c r="X4" s="135"/>
      <c r="Y4" s="135"/>
      <c r="Z4" s="135"/>
    </row>
    <row r="5" spans="1:26">
      <c r="A5" s="128"/>
      <c r="B5" s="129"/>
      <c r="C5" s="129"/>
      <c r="D5" s="129"/>
      <c r="E5" s="129"/>
      <c r="F5" s="129"/>
      <c r="G5" s="129"/>
      <c r="H5" s="129"/>
      <c r="I5" s="129"/>
      <c r="J5" s="129"/>
      <c r="K5" s="129"/>
      <c r="L5" s="129"/>
      <c r="M5" s="129"/>
      <c r="N5" s="129"/>
      <c r="O5" s="129"/>
      <c r="P5" s="129"/>
      <c r="Q5" s="129"/>
      <c r="R5" s="129"/>
      <c r="S5" s="129"/>
      <c r="T5" s="129"/>
      <c r="U5" s="129"/>
      <c r="V5" s="129"/>
      <c r="W5" s="129"/>
      <c r="X5" s="135"/>
      <c r="Y5" s="135"/>
      <c r="Z5" s="135"/>
    </row>
    <row r="6" spans="1:26">
      <c r="A6" s="128"/>
      <c r="B6" s="129"/>
      <c r="C6" s="129"/>
      <c r="D6" s="129"/>
      <c r="E6" s="129"/>
      <c r="F6" s="129"/>
      <c r="G6" s="129"/>
      <c r="H6" s="129"/>
      <c r="I6" s="129"/>
      <c r="J6" s="129"/>
      <c r="K6" s="129"/>
      <c r="L6" s="129"/>
      <c r="M6" s="129"/>
      <c r="N6" s="129"/>
      <c r="O6" s="129"/>
      <c r="P6" s="129"/>
      <c r="Q6" s="129"/>
      <c r="R6" s="129"/>
      <c r="S6" s="129"/>
      <c r="T6" s="129"/>
      <c r="U6" s="129"/>
      <c r="V6" s="129"/>
      <c r="W6" s="129"/>
      <c r="X6" s="135"/>
      <c r="Y6" s="135"/>
      <c r="Z6" s="135"/>
    </row>
    <row r="7" spans="1:26">
      <c r="A7" s="128"/>
      <c r="B7" s="129"/>
      <c r="C7" s="129"/>
      <c r="D7" s="129"/>
      <c r="E7" s="129"/>
      <c r="F7" s="129"/>
      <c r="G7" s="129"/>
      <c r="H7" s="129"/>
      <c r="I7" s="129"/>
      <c r="J7" s="129"/>
      <c r="K7" s="129"/>
      <c r="L7" s="129"/>
      <c r="M7" s="129"/>
      <c r="N7" s="129"/>
      <c r="O7" s="129"/>
      <c r="P7" s="129"/>
      <c r="Q7" s="129"/>
      <c r="R7" s="129"/>
      <c r="S7" s="129"/>
      <c r="T7" s="129"/>
      <c r="U7" s="129"/>
      <c r="V7" s="129"/>
      <c r="W7" s="129"/>
      <c r="X7" s="135"/>
      <c r="Y7" s="135"/>
      <c r="Z7" s="135"/>
    </row>
    <row r="8" spans="1:26">
      <c r="A8" s="128"/>
      <c r="B8" s="129"/>
      <c r="C8" s="129"/>
      <c r="D8" s="129"/>
      <c r="E8" s="129"/>
      <c r="F8" s="129"/>
      <c r="G8" s="129"/>
      <c r="H8" s="129"/>
      <c r="I8" s="129"/>
      <c r="J8" s="129"/>
      <c r="K8" s="129"/>
      <c r="L8" s="129"/>
      <c r="M8" s="129"/>
      <c r="N8" s="129"/>
      <c r="O8" s="129"/>
      <c r="P8" s="129"/>
      <c r="Q8" s="129"/>
      <c r="R8" s="129"/>
      <c r="S8" s="129"/>
      <c r="T8" s="129"/>
      <c r="U8" s="129"/>
      <c r="V8" s="129"/>
      <c r="W8" s="129"/>
      <c r="X8" s="135"/>
      <c r="Y8" s="135"/>
      <c r="Z8" s="135"/>
    </row>
    <row r="9" spans="1:26">
      <c r="A9" s="128"/>
      <c r="B9" s="129"/>
      <c r="C9" s="129"/>
      <c r="D9" s="129"/>
      <c r="E9" s="129"/>
      <c r="F9" s="129"/>
      <c r="G9" s="129"/>
      <c r="H9" s="129"/>
      <c r="I9" s="129"/>
      <c r="J9" s="129"/>
      <c r="K9" s="129"/>
      <c r="L9" s="129"/>
      <c r="M9" s="129"/>
      <c r="N9" s="129"/>
      <c r="O9" s="129"/>
      <c r="P9" s="129"/>
      <c r="Q9" s="129"/>
      <c r="R9" s="129"/>
      <c r="S9" s="129"/>
      <c r="T9" s="129"/>
      <c r="U9" s="129"/>
      <c r="V9" s="129"/>
      <c r="W9" s="129"/>
      <c r="X9" s="135"/>
      <c r="Y9" s="135"/>
      <c r="Z9" s="135"/>
    </row>
    <row r="10" spans="1:26">
      <c r="A10" s="128"/>
      <c r="B10" s="129"/>
      <c r="C10" s="129"/>
      <c r="D10" s="129"/>
      <c r="E10" s="129"/>
      <c r="F10" s="129"/>
      <c r="G10" s="129"/>
      <c r="H10" s="129"/>
      <c r="I10" s="129"/>
      <c r="J10" s="129"/>
      <c r="K10" s="129"/>
      <c r="L10" s="129"/>
      <c r="M10" s="129"/>
      <c r="N10" s="129"/>
      <c r="O10" s="129"/>
      <c r="P10" s="129"/>
      <c r="Q10" s="129"/>
      <c r="R10" s="129"/>
      <c r="S10" s="129"/>
      <c r="T10" s="129"/>
      <c r="U10" s="129"/>
      <c r="V10" s="129"/>
      <c r="W10" s="129"/>
      <c r="X10" s="135"/>
      <c r="Y10" s="135"/>
      <c r="Z10" s="135"/>
    </row>
    <row r="11" spans="1:26">
      <c r="A11" s="128"/>
      <c r="B11" s="129"/>
      <c r="C11" s="129"/>
      <c r="D11" s="129"/>
      <c r="E11" s="129"/>
      <c r="F11" s="129"/>
      <c r="G11" s="129"/>
      <c r="H11" s="129"/>
      <c r="I11" s="129"/>
      <c r="J11" s="129"/>
      <c r="K11" s="129"/>
      <c r="L11" s="129"/>
      <c r="M11" s="129"/>
      <c r="N11" s="129"/>
      <c r="O11" s="129"/>
      <c r="P11" s="129"/>
      <c r="Q11" s="129"/>
      <c r="R11" s="129"/>
      <c r="S11" s="129"/>
      <c r="T11" s="129"/>
      <c r="U11" s="129"/>
      <c r="V11" s="129"/>
      <c r="W11" s="129"/>
      <c r="X11" s="135"/>
      <c r="Y11" s="135"/>
      <c r="Z11" s="135"/>
    </row>
    <row r="12" spans="1:26">
      <c r="A12" s="128"/>
      <c r="B12" s="129"/>
      <c r="C12" s="129"/>
      <c r="D12" s="129"/>
      <c r="E12" s="129"/>
      <c r="F12" s="129"/>
      <c r="G12" s="129"/>
      <c r="H12" s="129"/>
      <c r="I12" s="129"/>
      <c r="J12" s="129"/>
      <c r="K12" s="129"/>
      <c r="L12" s="129"/>
      <c r="M12" s="129"/>
      <c r="N12" s="129"/>
      <c r="O12" s="129"/>
      <c r="P12" s="129"/>
      <c r="Q12" s="129"/>
      <c r="R12" s="129"/>
      <c r="S12" s="129"/>
      <c r="T12" s="129"/>
      <c r="U12" s="129"/>
      <c r="V12" s="129"/>
      <c r="W12" s="129"/>
      <c r="X12" s="135"/>
      <c r="Y12" s="135"/>
      <c r="Z12" s="135"/>
    </row>
    <row r="13" spans="1:26">
      <c r="A13" s="128"/>
      <c r="B13" s="129"/>
      <c r="C13" s="129"/>
      <c r="D13" s="129"/>
      <c r="E13" s="129"/>
      <c r="F13" s="129"/>
      <c r="G13" s="129"/>
      <c r="H13" s="129"/>
      <c r="I13" s="129"/>
      <c r="J13" s="129"/>
      <c r="K13" s="129"/>
      <c r="L13" s="129"/>
      <c r="M13" s="129"/>
      <c r="N13" s="129"/>
      <c r="O13" s="129"/>
      <c r="P13" s="129"/>
      <c r="Q13" s="129"/>
      <c r="R13" s="129"/>
      <c r="S13" s="129"/>
      <c r="T13" s="129"/>
      <c r="U13" s="129"/>
      <c r="V13" s="129"/>
      <c r="W13" s="129"/>
      <c r="X13" s="135"/>
      <c r="Y13" s="135"/>
      <c r="Z13" s="135"/>
    </row>
    <row r="14" spans="1:26">
      <c r="A14" s="128"/>
      <c r="B14" s="129"/>
      <c r="C14" s="129"/>
      <c r="D14" s="129"/>
      <c r="E14" s="129"/>
      <c r="F14" s="129"/>
      <c r="G14" s="129"/>
      <c r="H14" s="129"/>
      <c r="I14" s="129"/>
      <c r="J14" s="129"/>
      <c r="K14" s="129"/>
      <c r="L14" s="129"/>
      <c r="M14" s="129"/>
      <c r="N14" s="129"/>
      <c r="O14" s="129"/>
      <c r="P14" s="129"/>
      <c r="Q14" s="129"/>
      <c r="R14" s="129"/>
      <c r="S14" s="129"/>
      <c r="T14" s="129"/>
      <c r="U14" s="129"/>
      <c r="V14" s="129"/>
      <c r="W14" s="129"/>
      <c r="X14" s="135"/>
      <c r="Y14" s="135"/>
      <c r="Z14" s="135"/>
    </row>
    <row r="15" spans="1:26">
      <c r="A15" s="128"/>
      <c r="B15" s="129"/>
      <c r="C15" s="129"/>
      <c r="D15" s="129"/>
      <c r="E15" s="129"/>
      <c r="F15" s="129"/>
      <c r="G15" s="129"/>
      <c r="H15" s="129"/>
      <c r="I15" s="129"/>
      <c r="J15" s="129"/>
      <c r="K15" s="129"/>
      <c r="L15" s="129"/>
      <c r="M15" s="129"/>
      <c r="N15" s="129"/>
      <c r="O15" s="129"/>
      <c r="P15" s="129"/>
      <c r="Q15" s="129"/>
      <c r="R15" s="129"/>
      <c r="S15" s="129"/>
      <c r="T15" s="129"/>
      <c r="U15" s="129"/>
      <c r="V15" s="129"/>
      <c r="W15" s="129"/>
      <c r="X15" s="135"/>
      <c r="Y15" s="135"/>
      <c r="Z15" s="135"/>
    </row>
    <row r="16" spans="1:26">
      <c r="A16" s="128"/>
      <c r="B16" s="129"/>
      <c r="C16" s="129"/>
      <c r="D16" s="129"/>
      <c r="E16" s="129"/>
      <c r="F16" s="129"/>
      <c r="G16" s="129"/>
      <c r="H16" s="129"/>
      <c r="I16" s="129"/>
      <c r="J16" s="129"/>
      <c r="K16" s="129"/>
      <c r="L16" s="129"/>
      <c r="M16" s="129"/>
      <c r="N16" s="129"/>
      <c r="O16" s="129"/>
      <c r="P16" s="129"/>
      <c r="Q16" s="129"/>
      <c r="R16" s="129"/>
      <c r="S16" s="129"/>
      <c r="T16" s="129"/>
      <c r="U16" s="129"/>
      <c r="V16" s="129"/>
      <c r="W16" s="129"/>
      <c r="X16" s="135"/>
      <c r="Y16" s="135"/>
      <c r="Z16" s="135"/>
    </row>
    <row r="17" spans="1:26">
      <c r="A17" s="128"/>
      <c r="B17" s="129"/>
      <c r="C17" s="129"/>
      <c r="D17" s="129"/>
      <c r="E17" s="129"/>
      <c r="F17" s="129"/>
      <c r="G17" s="129"/>
      <c r="H17" s="129"/>
      <c r="I17" s="129"/>
      <c r="J17" s="129"/>
      <c r="K17" s="129"/>
      <c r="L17" s="129"/>
      <c r="M17" s="129"/>
      <c r="N17" s="129"/>
      <c r="O17" s="129"/>
      <c r="P17" s="129"/>
      <c r="Q17" s="129"/>
      <c r="R17" s="129"/>
      <c r="S17" s="129"/>
      <c r="T17" s="129"/>
      <c r="U17" s="129"/>
      <c r="V17" s="129"/>
      <c r="W17" s="129"/>
      <c r="X17" s="135"/>
      <c r="Y17" s="135"/>
      <c r="Z17" s="135"/>
    </row>
    <row r="18" ht="13.9" customHeight="1" spans="1:26">
      <c r="A18" s="128"/>
      <c r="B18" s="129"/>
      <c r="C18" s="129"/>
      <c r="D18" s="129"/>
      <c r="E18" s="129"/>
      <c r="F18" s="129"/>
      <c r="G18" s="129"/>
      <c r="H18" s="129"/>
      <c r="I18" s="129"/>
      <c r="J18" s="129"/>
      <c r="K18" s="129"/>
      <c r="L18" s="129"/>
      <c r="M18" s="129"/>
      <c r="N18" s="129"/>
      <c r="O18" s="129"/>
      <c r="P18" s="129"/>
      <c r="Q18" s="129"/>
      <c r="R18" s="129"/>
      <c r="S18" s="129"/>
      <c r="T18" s="129"/>
      <c r="U18" s="129"/>
      <c r="V18" s="129"/>
      <c r="W18" s="129"/>
      <c r="X18" s="135"/>
      <c r="Y18" s="135"/>
      <c r="Z18" s="135"/>
    </row>
    <row r="19" spans="1:26">
      <c r="A19" s="128"/>
      <c r="B19" s="129"/>
      <c r="C19" s="129"/>
      <c r="D19" s="129"/>
      <c r="E19" s="129"/>
      <c r="F19" s="129"/>
      <c r="G19" s="129"/>
      <c r="H19" s="129"/>
      <c r="I19" s="129"/>
      <c r="J19" s="129"/>
      <c r="K19" s="129"/>
      <c r="L19" s="129"/>
      <c r="M19" s="129"/>
      <c r="N19" s="129"/>
      <c r="O19" s="129"/>
      <c r="P19" s="129"/>
      <c r="Q19" s="129"/>
      <c r="R19" s="129"/>
      <c r="S19" s="129"/>
      <c r="T19" s="129"/>
      <c r="U19" s="129"/>
      <c r="V19" s="129"/>
      <c r="W19" s="129"/>
      <c r="X19" s="135"/>
      <c r="Y19" s="135"/>
      <c r="Z19" s="135"/>
    </row>
    <row r="20" spans="1:26">
      <c r="A20" s="128"/>
      <c r="B20" s="129"/>
      <c r="C20" s="129"/>
      <c r="D20" s="129"/>
      <c r="E20" s="129"/>
      <c r="F20" s="129"/>
      <c r="G20" s="129"/>
      <c r="H20" s="129"/>
      <c r="I20" s="129"/>
      <c r="J20" s="129"/>
      <c r="K20" s="129"/>
      <c r="L20" s="129"/>
      <c r="M20" s="129"/>
      <c r="N20" s="129"/>
      <c r="O20" s="129"/>
      <c r="P20" s="129"/>
      <c r="Q20" s="129"/>
      <c r="R20" s="129"/>
      <c r="S20" s="129"/>
      <c r="T20" s="129"/>
      <c r="U20" s="129"/>
      <c r="V20" s="129"/>
      <c r="W20" s="129"/>
      <c r="X20" s="135"/>
      <c r="Y20" s="135"/>
      <c r="Z20" s="135"/>
    </row>
    <row r="21" spans="1:26">
      <c r="A21" s="128"/>
      <c r="B21" s="129"/>
      <c r="C21" s="129"/>
      <c r="D21" s="129"/>
      <c r="E21" s="129"/>
      <c r="F21" s="129"/>
      <c r="G21" s="129"/>
      <c r="H21" s="129"/>
      <c r="I21" s="129"/>
      <c r="J21" s="129"/>
      <c r="K21" s="129"/>
      <c r="L21" s="129"/>
      <c r="M21" s="129"/>
      <c r="N21" s="129"/>
      <c r="O21" s="129"/>
      <c r="P21" s="129"/>
      <c r="Q21" s="129"/>
      <c r="R21" s="129"/>
      <c r="S21" s="129"/>
      <c r="T21" s="129"/>
      <c r="U21" s="129"/>
      <c r="V21" s="129"/>
      <c r="W21" s="129"/>
      <c r="X21" s="135"/>
      <c r="Y21" s="135"/>
      <c r="Z21" s="135"/>
    </row>
    <row r="22" spans="1:26">
      <c r="A22" s="128"/>
      <c r="B22" s="129"/>
      <c r="C22" s="129"/>
      <c r="D22" s="129"/>
      <c r="E22" s="129"/>
      <c r="F22" s="129"/>
      <c r="G22" s="129"/>
      <c r="H22" s="129"/>
      <c r="I22" s="129"/>
      <c r="J22" s="129"/>
      <c r="K22" s="129"/>
      <c r="L22" s="129"/>
      <c r="M22" s="129"/>
      <c r="N22" s="129"/>
      <c r="O22" s="129"/>
      <c r="P22" s="129"/>
      <c r="Q22" s="129"/>
      <c r="R22" s="129"/>
      <c r="S22" s="129"/>
      <c r="T22" s="129"/>
      <c r="U22" s="129"/>
      <c r="V22" s="129"/>
      <c r="W22" s="129"/>
      <c r="X22" s="135"/>
      <c r="Y22" s="135"/>
      <c r="Z22" s="135"/>
    </row>
    <row r="23" spans="1:26">
      <c r="A23" s="128"/>
      <c r="B23" s="129"/>
      <c r="C23" s="129"/>
      <c r="D23" s="129"/>
      <c r="E23" s="129"/>
      <c r="F23" s="129"/>
      <c r="G23" s="129"/>
      <c r="H23" s="129"/>
      <c r="I23" s="129"/>
      <c r="J23" s="129"/>
      <c r="K23" s="129"/>
      <c r="L23" s="129"/>
      <c r="M23" s="129"/>
      <c r="N23" s="129"/>
      <c r="O23" s="129"/>
      <c r="P23" s="129"/>
      <c r="Q23" s="129"/>
      <c r="R23" s="129"/>
      <c r="S23" s="129"/>
      <c r="T23" s="129"/>
      <c r="U23" s="129"/>
      <c r="V23" s="129"/>
      <c r="W23" s="129"/>
      <c r="X23" s="135"/>
      <c r="Y23" s="135"/>
      <c r="Z23" s="135"/>
    </row>
    <row r="24" spans="1:26">
      <c r="A24" s="128"/>
      <c r="B24" s="129"/>
      <c r="C24" s="129"/>
      <c r="D24" s="129"/>
      <c r="E24" s="129"/>
      <c r="F24" s="129"/>
      <c r="G24" s="129"/>
      <c r="H24" s="129"/>
      <c r="I24" s="129"/>
      <c r="J24" s="129"/>
      <c r="K24" s="129"/>
      <c r="L24" s="129"/>
      <c r="M24" s="129"/>
      <c r="N24" s="129"/>
      <c r="O24" s="129"/>
      <c r="P24" s="129"/>
      <c r="Q24" s="129"/>
      <c r="R24" s="129"/>
      <c r="S24" s="129"/>
      <c r="T24" s="129"/>
      <c r="U24" s="129"/>
      <c r="V24" s="129"/>
      <c r="W24" s="129"/>
      <c r="X24" s="135"/>
      <c r="Y24" s="135"/>
      <c r="Z24" s="135"/>
    </row>
    <row r="25" spans="1:26">
      <c r="A25" s="128"/>
      <c r="B25" s="129"/>
      <c r="C25" s="129"/>
      <c r="D25" s="129"/>
      <c r="E25" s="129"/>
      <c r="F25" s="129"/>
      <c r="G25" s="129"/>
      <c r="H25" s="129"/>
      <c r="I25" s="129"/>
      <c r="J25" s="129"/>
      <c r="K25" s="129"/>
      <c r="L25" s="129"/>
      <c r="M25" s="129"/>
      <c r="N25" s="129"/>
      <c r="O25" s="129"/>
      <c r="P25" s="129"/>
      <c r="Q25" s="129"/>
      <c r="R25" s="129"/>
      <c r="S25" s="129"/>
      <c r="T25" s="129"/>
      <c r="U25" s="129"/>
      <c r="V25" s="129"/>
      <c r="W25" s="129"/>
      <c r="X25" s="135"/>
      <c r="Y25" s="135"/>
      <c r="Z25" s="135"/>
    </row>
    <row r="26" spans="1:26">
      <c r="A26" s="128"/>
      <c r="B26" s="129"/>
      <c r="C26" s="129"/>
      <c r="D26" s="129"/>
      <c r="E26" s="129"/>
      <c r="F26" s="129"/>
      <c r="G26" s="129"/>
      <c r="H26" s="129"/>
      <c r="I26" s="129"/>
      <c r="J26" s="129"/>
      <c r="K26" s="129"/>
      <c r="L26" s="129"/>
      <c r="M26" s="129"/>
      <c r="N26" s="129"/>
      <c r="O26" s="129"/>
      <c r="P26" s="129"/>
      <c r="Q26" s="129"/>
      <c r="R26" s="129"/>
      <c r="S26" s="129"/>
      <c r="T26" s="129"/>
      <c r="U26" s="129"/>
      <c r="V26" s="129"/>
      <c r="W26" s="129"/>
      <c r="X26" s="135"/>
      <c r="Y26" s="135"/>
      <c r="Z26" s="135"/>
    </row>
    <row r="27" spans="1:26">
      <c r="A27" s="128"/>
      <c r="B27" s="129"/>
      <c r="C27" s="129"/>
      <c r="D27" s="129"/>
      <c r="E27" s="129"/>
      <c r="F27" s="129"/>
      <c r="G27" s="129"/>
      <c r="H27" s="129"/>
      <c r="I27" s="129"/>
      <c r="J27" s="129"/>
      <c r="K27" s="129"/>
      <c r="L27" s="129"/>
      <c r="M27" s="129"/>
      <c r="N27" s="129"/>
      <c r="O27" s="129"/>
      <c r="P27" s="129"/>
      <c r="Q27" s="129"/>
      <c r="R27" s="129"/>
      <c r="S27" s="129"/>
      <c r="T27" s="129"/>
      <c r="U27" s="129"/>
      <c r="V27" s="129"/>
      <c r="W27" s="129"/>
      <c r="X27" s="135"/>
      <c r="Y27" s="135"/>
      <c r="Z27" s="135"/>
    </row>
    <row r="28" spans="1:26">
      <c r="A28" s="128"/>
      <c r="B28" s="129"/>
      <c r="C28" s="129"/>
      <c r="D28" s="129"/>
      <c r="E28" s="129"/>
      <c r="F28" s="129"/>
      <c r="G28" s="129"/>
      <c r="H28" s="129"/>
      <c r="I28" s="129"/>
      <c r="J28" s="129"/>
      <c r="K28" s="129"/>
      <c r="L28" s="129"/>
      <c r="M28" s="129"/>
      <c r="N28" s="129"/>
      <c r="O28" s="129"/>
      <c r="P28" s="129"/>
      <c r="Q28" s="129"/>
      <c r="R28" s="129"/>
      <c r="S28" s="129"/>
      <c r="T28" s="129"/>
      <c r="U28" s="129"/>
      <c r="V28" s="129"/>
      <c r="W28" s="129"/>
      <c r="X28" s="135"/>
      <c r="Y28" s="135"/>
      <c r="Z28" s="135"/>
    </row>
    <row r="29" spans="1:26">
      <c r="A29" s="128"/>
      <c r="B29" s="129"/>
      <c r="C29" s="129"/>
      <c r="D29" s="129"/>
      <c r="E29" s="129"/>
      <c r="F29" s="129"/>
      <c r="G29" s="129"/>
      <c r="H29" s="129"/>
      <c r="I29" s="129"/>
      <c r="J29" s="129"/>
      <c r="K29" s="129"/>
      <c r="L29" s="129"/>
      <c r="M29" s="129"/>
      <c r="N29" s="129"/>
      <c r="O29" s="129"/>
      <c r="P29" s="129"/>
      <c r="Q29" s="129"/>
      <c r="R29" s="129"/>
      <c r="S29" s="129"/>
      <c r="T29" s="129"/>
      <c r="U29" s="129"/>
      <c r="V29" s="129"/>
      <c r="W29" s="129"/>
      <c r="X29" s="135"/>
      <c r="Y29" s="135"/>
      <c r="Z29" s="135"/>
    </row>
    <row r="30" spans="1:26">
      <c r="A30" s="128"/>
      <c r="B30" s="129"/>
      <c r="C30" s="129"/>
      <c r="D30" s="129"/>
      <c r="E30" s="129"/>
      <c r="F30" s="129"/>
      <c r="G30" s="129"/>
      <c r="H30" s="129"/>
      <c r="I30" s="129"/>
      <c r="J30" s="129"/>
      <c r="K30" s="129"/>
      <c r="L30" s="129"/>
      <c r="M30" s="129"/>
      <c r="N30" s="129"/>
      <c r="O30" s="129"/>
      <c r="P30" s="129"/>
      <c r="Q30" s="129"/>
      <c r="R30" s="129"/>
      <c r="S30" s="129"/>
      <c r="T30" s="129"/>
      <c r="U30" s="129"/>
      <c r="V30" s="129"/>
      <c r="W30" s="129"/>
      <c r="X30" s="135"/>
      <c r="Y30" s="135"/>
      <c r="Z30" s="135"/>
    </row>
    <row r="31" spans="1:26">
      <c r="A31" s="128"/>
      <c r="B31" s="129"/>
      <c r="C31" s="129"/>
      <c r="D31" s="129"/>
      <c r="E31" s="129"/>
      <c r="F31" s="129"/>
      <c r="G31" s="129"/>
      <c r="H31" s="129"/>
      <c r="I31" s="129"/>
      <c r="J31" s="129"/>
      <c r="K31" s="129"/>
      <c r="L31" s="129"/>
      <c r="M31" s="129"/>
      <c r="N31" s="129"/>
      <c r="O31" s="129"/>
      <c r="P31" s="129"/>
      <c r="Q31" s="129"/>
      <c r="R31" s="129"/>
      <c r="S31" s="129"/>
      <c r="T31" s="129"/>
      <c r="U31" s="129"/>
      <c r="V31" s="129"/>
      <c r="W31" s="129"/>
      <c r="X31" s="135"/>
      <c r="Y31" s="135"/>
      <c r="Z31" s="135"/>
    </row>
    <row r="32" spans="1:26">
      <c r="A32" s="128"/>
      <c r="B32" s="129"/>
      <c r="C32" s="129"/>
      <c r="D32" s="129"/>
      <c r="E32" s="129"/>
      <c r="F32" s="129"/>
      <c r="G32" s="129"/>
      <c r="H32" s="129"/>
      <c r="I32" s="129"/>
      <c r="J32" s="129"/>
      <c r="K32" s="129"/>
      <c r="L32" s="129"/>
      <c r="M32" s="129"/>
      <c r="N32" s="129"/>
      <c r="O32" s="129"/>
      <c r="P32" s="129"/>
      <c r="Q32" s="129"/>
      <c r="R32" s="129"/>
      <c r="S32" s="129"/>
      <c r="T32" s="129"/>
      <c r="U32" s="129"/>
      <c r="V32" s="129"/>
      <c r="W32" s="129"/>
      <c r="X32" s="135"/>
      <c r="Y32" s="135"/>
      <c r="Z32" s="135"/>
    </row>
    <row r="33" spans="1:26">
      <c r="A33" s="130"/>
      <c r="B33" s="131"/>
      <c r="C33" s="131"/>
      <c r="D33" s="129"/>
      <c r="E33" s="129"/>
      <c r="F33" s="129"/>
      <c r="G33" s="129"/>
      <c r="H33" s="129"/>
      <c r="I33" s="129"/>
      <c r="J33" s="129"/>
      <c r="K33" s="129"/>
      <c r="L33" s="129"/>
      <c r="M33" s="129"/>
      <c r="N33" s="129"/>
      <c r="O33" s="129"/>
      <c r="P33" s="129"/>
      <c r="Q33" s="129"/>
      <c r="R33" s="129"/>
      <c r="S33" s="129"/>
      <c r="T33" s="129"/>
      <c r="U33" s="129"/>
      <c r="V33" s="129"/>
      <c r="W33" s="129"/>
      <c r="X33" s="135"/>
      <c r="Y33" s="135"/>
      <c r="Z33" s="135"/>
    </row>
    <row r="34" spans="1:26">
      <c r="A34" s="130"/>
      <c r="B34" s="131"/>
      <c r="C34" s="131"/>
      <c r="D34" s="129"/>
      <c r="E34" s="129"/>
      <c r="F34" s="129"/>
      <c r="G34" s="129"/>
      <c r="H34" s="129"/>
      <c r="I34" s="129"/>
      <c r="J34" s="129"/>
      <c r="K34" s="129"/>
      <c r="L34" s="129"/>
      <c r="M34" s="129"/>
      <c r="N34" s="129"/>
      <c r="O34" s="129"/>
      <c r="P34" s="129"/>
      <c r="Q34" s="129"/>
      <c r="R34" s="129"/>
      <c r="S34" s="129"/>
      <c r="T34" s="129"/>
      <c r="U34" s="129"/>
      <c r="V34" s="129"/>
      <c r="W34" s="129"/>
      <c r="X34" s="135"/>
      <c r="Y34" s="135"/>
      <c r="Z34" s="135"/>
    </row>
    <row r="35" spans="1:26">
      <c r="A35" s="130"/>
      <c r="B35" s="131"/>
      <c r="C35" s="131"/>
      <c r="D35" s="129"/>
      <c r="E35" s="129"/>
      <c r="F35" s="129"/>
      <c r="G35" s="129"/>
      <c r="H35" s="129"/>
      <c r="I35" s="129"/>
      <c r="J35" s="129"/>
      <c r="K35" s="129"/>
      <c r="L35" s="129"/>
      <c r="M35" s="129"/>
      <c r="N35" s="129"/>
      <c r="O35" s="129"/>
      <c r="P35" s="129"/>
      <c r="Q35" s="129"/>
      <c r="R35" s="129"/>
      <c r="S35" s="129"/>
      <c r="T35" s="129"/>
      <c r="U35" s="129"/>
      <c r="V35" s="129"/>
      <c r="W35" s="129"/>
      <c r="X35" s="135"/>
      <c r="Y35" s="135"/>
      <c r="Z35" s="135"/>
    </row>
    <row r="36" spans="1:26">
      <c r="A36" s="130"/>
      <c r="B36" s="131"/>
      <c r="C36" s="131"/>
      <c r="D36" s="129"/>
      <c r="E36" s="129"/>
      <c r="F36" s="129"/>
      <c r="G36" s="129"/>
      <c r="H36" s="129"/>
      <c r="I36" s="129"/>
      <c r="J36" s="129"/>
      <c r="K36" s="129"/>
      <c r="L36" s="129"/>
      <c r="M36" s="129"/>
      <c r="N36" s="129"/>
      <c r="O36" s="129"/>
      <c r="P36" s="129"/>
      <c r="Q36" s="129"/>
      <c r="R36" s="129"/>
      <c r="S36" s="129"/>
      <c r="T36" s="129"/>
      <c r="U36" s="129"/>
      <c r="V36" s="129"/>
      <c r="W36" s="129"/>
      <c r="X36" s="135"/>
      <c r="Y36" s="135"/>
      <c r="Z36" s="135"/>
    </row>
    <row r="37" spans="1:26">
      <c r="A37" s="130"/>
      <c r="B37" s="131"/>
      <c r="C37" s="131"/>
      <c r="D37" s="129"/>
      <c r="E37" s="129"/>
      <c r="F37" s="129"/>
      <c r="G37" s="129"/>
      <c r="H37" s="129"/>
      <c r="I37" s="129"/>
      <c r="J37" s="129"/>
      <c r="K37" s="129"/>
      <c r="L37" s="129"/>
      <c r="M37" s="129"/>
      <c r="N37" s="129"/>
      <c r="O37" s="129"/>
      <c r="P37" s="129"/>
      <c r="Q37" s="129"/>
      <c r="R37" s="129"/>
      <c r="S37" s="129"/>
      <c r="T37" s="129"/>
      <c r="U37" s="129"/>
      <c r="V37" s="129"/>
      <c r="W37" s="129"/>
      <c r="X37" s="135"/>
      <c r="Y37" s="135"/>
      <c r="Z37" s="135"/>
    </row>
    <row r="38" spans="1:26">
      <c r="A38" s="130"/>
      <c r="B38" s="131"/>
      <c r="C38" s="131"/>
      <c r="D38" s="129"/>
      <c r="E38" s="129"/>
      <c r="F38" s="129"/>
      <c r="G38" s="129"/>
      <c r="H38" s="129"/>
      <c r="I38" s="129"/>
      <c r="J38" s="129"/>
      <c r="K38" s="129"/>
      <c r="L38" s="129"/>
      <c r="M38" s="129"/>
      <c r="N38" s="129"/>
      <c r="O38" s="129"/>
      <c r="P38" s="129"/>
      <c r="Q38" s="129"/>
      <c r="R38" s="129"/>
      <c r="S38" s="129"/>
      <c r="T38" s="129"/>
      <c r="U38" s="129"/>
      <c r="V38" s="129"/>
      <c r="W38" s="129"/>
      <c r="X38" s="135"/>
      <c r="Y38" s="135"/>
      <c r="Z38" s="135"/>
    </row>
    <row r="39" ht="13.95" spans="1:26">
      <c r="A39" s="132"/>
      <c r="B39" s="133"/>
      <c r="C39" s="133"/>
      <c r="D39" s="134"/>
      <c r="E39" s="134"/>
      <c r="F39" s="134"/>
      <c r="G39" s="134"/>
      <c r="H39" s="134"/>
      <c r="I39" s="134"/>
      <c r="J39" s="134"/>
      <c r="K39" s="134"/>
      <c r="L39" s="134"/>
      <c r="M39" s="134"/>
      <c r="N39" s="134"/>
      <c r="O39" s="134"/>
      <c r="P39" s="134"/>
      <c r="Q39" s="134"/>
      <c r="R39" s="134"/>
      <c r="S39" s="134"/>
      <c r="T39" s="134"/>
      <c r="U39" s="134"/>
      <c r="V39" s="134"/>
      <c r="W39" s="134"/>
      <c r="X39" s="136"/>
      <c r="Y39" s="136"/>
      <c r="Z39" s="136"/>
    </row>
  </sheetData>
  <mergeCells count="1">
    <mergeCell ref="A1:Z1"/>
  </mergeCells>
  <pageMargins left="0.25" right="0.25" top="2.02" bottom="0.75" header="0.3" footer="0.3"/>
  <pageSetup paperSize="1" scale="57" fitToHeight="0" orientation="landscape"/>
  <headerFooter/>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181"/>
  <sheetViews>
    <sheetView tabSelected="1" zoomScale="70" zoomScaleNormal="70" topLeftCell="L1" workbookViewId="0">
      <pane ySplit="23" topLeftCell="A2057" activePane="bottomLeft" state="frozen"/>
      <selection/>
      <selection pane="bottomLeft" activeCell="B23" sqref="B23:R23"/>
    </sheetView>
  </sheetViews>
  <sheetFormatPr defaultColWidth="9.13888888888889" defaultRowHeight="13.2"/>
  <cols>
    <col min="1" max="1" width="10.5740740740741" style="18" customWidth="1"/>
    <col min="2" max="2" width="33.8518518518519" style="19" customWidth="1"/>
    <col min="3" max="3" width="23.4259259259259" style="19" customWidth="1"/>
    <col min="4" max="4" width="27.287037037037" style="5" customWidth="1"/>
    <col min="5" max="5" width="25.5740740740741" style="5" customWidth="1"/>
    <col min="6" max="6" width="31.287037037037" style="5" customWidth="1"/>
    <col min="7" max="7" width="29.712962962963" style="5" customWidth="1"/>
    <col min="8" max="8" width="29.4259259259259" style="5" customWidth="1"/>
    <col min="9" max="9" width="73" style="5" customWidth="1"/>
    <col min="10" max="10" width="29.712962962963" style="5" customWidth="1"/>
    <col min="11" max="11" width="62.712962962963" style="5" customWidth="1"/>
    <col min="12" max="12" width="67.287037037037" style="5" customWidth="1"/>
    <col min="13" max="13" width="18.287037037037" style="5" customWidth="1"/>
    <col min="14" max="14" width="25.8518518518519" style="5" customWidth="1"/>
    <col min="15" max="15" width="23.712962962963" style="5" customWidth="1"/>
    <col min="16" max="16" width="31" style="5" customWidth="1"/>
    <col min="17" max="17" width="15.8518518518519" style="5" customWidth="1"/>
    <col min="18" max="18" width="26.287037037037" style="5" customWidth="1"/>
    <col min="19" max="19" width="20.287037037037" style="19" customWidth="1"/>
    <col min="20" max="16384" width="9.13888888888889" style="19"/>
  </cols>
  <sheetData>
    <row r="1" ht="58.15" customHeight="1" spans="1:19">
      <c r="A1" s="20" t="s">
        <v>1</v>
      </c>
      <c r="B1" s="21"/>
      <c r="C1" s="21"/>
      <c r="D1" s="21"/>
      <c r="E1" s="21"/>
      <c r="F1" s="21"/>
      <c r="G1" s="21"/>
      <c r="H1" s="21"/>
      <c r="I1" s="21"/>
      <c r="J1" s="21"/>
      <c r="K1" s="21"/>
      <c r="L1" s="21"/>
      <c r="M1" s="21"/>
      <c r="N1" s="21"/>
      <c r="O1" s="21"/>
      <c r="P1" s="21"/>
      <c r="Q1" s="21"/>
      <c r="R1" s="21"/>
      <c r="S1" s="21"/>
    </row>
    <row r="2" ht="13.9" customHeight="1" spans="1:19">
      <c r="A2" s="21"/>
      <c r="I2" s="21"/>
      <c r="J2" s="21"/>
      <c r="K2" s="21"/>
      <c r="L2" s="21"/>
      <c r="M2" s="21"/>
      <c r="N2" s="21"/>
      <c r="O2" s="21"/>
      <c r="P2" s="21"/>
      <c r="Q2" s="21"/>
      <c r="R2" s="21"/>
      <c r="S2" s="21"/>
    </row>
    <row r="3" ht="13.9" customHeight="1" spans="1:19">
      <c r="A3" s="21"/>
      <c r="B3" s="22" t="s">
        <v>2</v>
      </c>
      <c r="C3" s="21"/>
      <c r="D3" s="21"/>
      <c r="E3" s="21"/>
      <c r="F3" s="21"/>
      <c r="O3" s="21"/>
      <c r="P3" s="21"/>
      <c r="Q3" s="21"/>
      <c r="R3" s="21"/>
      <c r="S3" s="21"/>
    </row>
    <row r="4" ht="13.9" customHeight="1" spans="1:19">
      <c r="A4" s="21"/>
      <c r="B4" s="23" t="s">
        <v>3</v>
      </c>
      <c r="C4" s="24">
        <f>SUM(C6:C9)</f>
        <v>2158</v>
      </c>
      <c r="D4" s="25" t="s">
        <v>4</v>
      </c>
      <c r="E4" s="25" t="s">
        <v>5</v>
      </c>
      <c r="F4" s="25" t="s">
        <v>6</v>
      </c>
      <c r="O4" s="21"/>
      <c r="P4" s="21"/>
      <c r="Q4" s="21"/>
      <c r="R4" s="21"/>
      <c r="S4" s="21"/>
    </row>
    <row r="5" ht="13.9" customHeight="1" spans="1:19">
      <c r="A5" s="21"/>
      <c r="B5" s="26"/>
      <c r="C5" s="27"/>
      <c r="D5" s="28">
        <f>SUM(D6:D9)</f>
        <v>1847</v>
      </c>
      <c r="E5" s="29">
        <f>SUM(E6:E9)</f>
        <v>0</v>
      </c>
      <c r="F5" s="28">
        <f>SUM(F6:F9)</f>
        <v>301</v>
      </c>
      <c r="O5" s="21"/>
      <c r="P5" s="21"/>
      <c r="Q5" s="21"/>
      <c r="R5" s="21"/>
      <c r="S5" s="21"/>
    </row>
    <row r="6" ht="13.9" customHeight="1" spans="1:19">
      <c r="A6" s="21"/>
      <c r="B6" s="30" t="s">
        <v>7</v>
      </c>
      <c r="C6" s="31">
        <f>COUNTIF(Table2[Observation Group],"Unsafe Act")</f>
        <v>429</v>
      </c>
      <c r="D6" s="31">
        <f>COUNTIFS(Table2[Observation Group],"Unsafe Act",(Table2[Status]),"Closed")</f>
        <v>429</v>
      </c>
      <c r="E6" s="31">
        <f>COUNTIFS(Table2[Observation Group],"Unsafe Act",(Table2[Status]),"Open")</f>
        <v>0</v>
      </c>
      <c r="F6" s="32" t="s">
        <v>8</v>
      </c>
      <c r="O6" s="21"/>
      <c r="P6" s="21"/>
      <c r="Q6" s="21"/>
      <c r="R6" s="21"/>
      <c r="S6" s="21"/>
    </row>
    <row r="7" ht="13.9" customHeight="1" spans="1:19">
      <c r="A7" s="21"/>
      <c r="B7" s="30" t="s">
        <v>9</v>
      </c>
      <c r="C7" s="31">
        <f>COUNTIF(Table2[Observation Group],"Unsafe Condition")</f>
        <v>1418</v>
      </c>
      <c r="D7" s="31">
        <f>COUNTIFS(Table2[Observation Group],"Unsafe Condition",(Table2[Status]),"Closed")</f>
        <v>1418</v>
      </c>
      <c r="E7" s="31">
        <f>COUNTIFS(Table2[Observation Group],"Unsafe Condition",(Table2[Status]),"Open")</f>
        <v>0</v>
      </c>
      <c r="F7" s="32" t="s">
        <v>8</v>
      </c>
      <c r="O7" s="21"/>
      <c r="P7" s="21"/>
      <c r="Q7" s="21"/>
      <c r="R7" s="21"/>
      <c r="S7" s="21"/>
    </row>
    <row r="8" ht="13.9" customHeight="1" spans="1:19">
      <c r="A8" s="21"/>
      <c r="B8" s="33" t="s">
        <v>10</v>
      </c>
      <c r="C8" s="34">
        <f>COUNTIF(Table2[Observation Group],"Safe Act")</f>
        <v>125</v>
      </c>
      <c r="D8" s="35" t="s">
        <v>8</v>
      </c>
      <c r="E8" s="35" t="s">
        <v>8</v>
      </c>
      <c r="F8" s="34">
        <f>COUNTIFS(Table2[Observation Group],"Safe Act",(Table2[Action]),"I provided positive feedback")</f>
        <v>125</v>
      </c>
      <c r="O8" s="21"/>
      <c r="P8" s="21"/>
      <c r="Q8" s="21"/>
      <c r="R8" s="21"/>
      <c r="S8" s="21"/>
    </row>
    <row r="9" ht="13.9" customHeight="1" spans="1:19">
      <c r="A9" s="21"/>
      <c r="B9" s="33" t="s">
        <v>11</v>
      </c>
      <c r="C9" s="34">
        <f>COUNTIF(Table2[Observation Group],"Safe Condition")</f>
        <v>186</v>
      </c>
      <c r="D9" s="35" t="s">
        <v>8</v>
      </c>
      <c r="E9" s="35" t="s">
        <v>8</v>
      </c>
      <c r="F9" s="34">
        <f>COUNTIFS(Table2[Observation Group],"Safe Condition",(Table2[Action]),"I provided positive feedback")</f>
        <v>176</v>
      </c>
      <c r="O9" s="21"/>
      <c r="P9" s="21"/>
      <c r="Q9" s="21"/>
      <c r="R9" s="21"/>
      <c r="S9" s="21"/>
    </row>
    <row r="10" ht="13.9" customHeight="1" spans="1:19">
      <c r="A10" s="21"/>
      <c r="B10" s="36" t="s">
        <v>12</v>
      </c>
      <c r="C10" s="37">
        <f>SUM(COUNTIF((Table2[Priority]),"High"))</f>
        <v>3</v>
      </c>
      <c r="D10" s="38"/>
      <c r="E10" s="39"/>
      <c r="F10" s="40"/>
      <c r="O10" s="21"/>
      <c r="P10" s="21"/>
      <c r="Q10" s="21"/>
      <c r="R10" s="21"/>
      <c r="S10" s="21"/>
    </row>
    <row r="11" ht="13.9" customHeight="1" spans="1:19">
      <c r="A11" s="21"/>
      <c r="B11" s="41" t="s">
        <v>13</v>
      </c>
      <c r="C11" s="37">
        <f>SUM(COUNTIF((Table2[Risk Rating]),"High"))</f>
        <v>9</v>
      </c>
      <c r="D11" s="42"/>
      <c r="E11" s="43"/>
      <c r="F11" s="44"/>
      <c r="O11" s="21"/>
      <c r="P11" s="21"/>
      <c r="Q11" s="21"/>
      <c r="R11" s="21"/>
      <c r="S11" s="21"/>
    </row>
    <row r="12" ht="13.9" customHeight="1" spans="1:19">
      <c r="A12" s="21"/>
      <c r="B12" s="5"/>
      <c r="C12" s="5"/>
      <c r="O12" s="21"/>
      <c r="P12" s="21"/>
      <c r="Q12" s="21"/>
      <c r="R12" s="21"/>
      <c r="S12" s="21"/>
    </row>
    <row r="13" ht="13.9" customHeight="1" spans="1:19">
      <c r="A13" s="21"/>
      <c r="B13" s="45" t="s">
        <v>14</v>
      </c>
      <c r="C13" s="21"/>
      <c r="D13" s="21"/>
      <c r="E13" s="46">
        <f ca="1">E15/(D15+E15)</f>
        <v>0</v>
      </c>
      <c r="F13" s="21"/>
      <c r="O13" s="21"/>
      <c r="P13" s="21"/>
      <c r="Q13" s="21"/>
      <c r="R13" s="21"/>
      <c r="S13" s="21"/>
    </row>
    <row r="14" ht="13.9" customHeight="1" spans="1:19">
      <c r="A14" s="21"/>
      <c r="B14" s="47" t="s">
        <v>3</v>
      </c>
      <c r="C14" s="48">
        <f ca="1">SUM(C16:C19)</f>
        <v>2158</v>
      </c>
      <c r="D14" s="49" t="s">
        <v>15</v>
      </c>
      <c r="E14" s="49" t="s">
        <v>5</v>
      </c>
      <c r="F14" s="49" t="s">
        <v>6</v>
      </c>
      <c r="O14" s="21"/>
      <c r="P14" s="21"/>
      <c r="Q14" s="21"/>
      <c r="R14" s="21"/>
      <c r="S14" s="21"/>
    </row>
    <row r="15" ht="13.9" customHeight="1" spans="1:19">
      <c r="A15" s="21"/>
      <c r="B15" s="50"/>
      <c r="C15" s="51"/>
      <c r="D15" s="52">
        <f ca="1">SUM(D16:D19)</f>
        <v>1847</v>
      </c>
      <c r="E15" s="53">
        <f ca="1">SUM(E16:E19)</f>
        <v>0</v>
      </c>
      <c r="F15" s="52">
        <f ca="1">SUM(F16:F19)</f>
        <v>301</v>
      </c>
      <c r="O15" s="21"/>
      <c r="P15" s="21"/>
      <c r="Q15" s="21"/>
      <c r="R15" s="21"/>
      <c r="S15" s="21"/>
    </row>
    <row r="16" ht="13.9" customHeight="1" spans="1:19">
      <c r="A16" s="21"/>
      <c r="B16" s="30" t="s">
        <v>7</v>
      </c>
      <c r="C16" s="31" cm="1">
        <f ca="1" t="array" ref="C16">SUMPRODUCT(SUBTOTAL(3,OFFSET(Table2[Observation Group],ROW(Table2[Observation Group])-MIN(ROW(Table2[Observation Group])),,1)),--(Table2[Observation Group]="Unsafe Act"))</f>
        <v>429</v>
      </c>
      <c r="D16" s="31" cm="1">
        <f ca="1" t="array" ref="D16">SUMPRODUCT(IF(Table2[Observation Group]="Unsafe Act",IF(Table2[Status]="Closed",SUBTOTAL(3,OFFSET(Table2[Observation Group],ROW(Table2[Observation Group])-MIN(ROW(Table2[Observation Group])),,1)),0),0))</f>
        <v>429</v>
      </c>
      <c r="E16" s="31" cm="1">
        <f ca="1" t="array" ref="E16">SUMPRODUCT(IF((Table2[Observation Group]="Unsafe Act")*(Table2[Status]="Open"),SUBTOTAL(3,OFFSET(Table2[Observation Group],ROW(Table2[Observation Group])-MIN(ROW(Table2[Observation Group])),,1)),0))</f>
        <v>0</v>
      </c>
      <c r="F16" s="32" t="s">
        <v>8</v>
      </c>
      <c r="O16" s="21"/>
      <c r="P16" s="21"/>
      <c r="Q16" s="21"/>
      <c r="R16" s="21"/>
      <c r="S16" s="21"/>
    </row>
    <row r="17" ht="13.9" customHeight="1" spans="1:19">
      <c r="A17" s="21"/>
      <c r="B17" s="30" t="s">
        <v>9</v>
      </c>
      <c r="C17" s="31" cm="1">
        <f ca="1" t="array" ref="C17">SUMPRODUCT(SUBTOTAL(3,OFFSET(Table2[Observation Group],ROW(Table2[Observation Group])-MIN(ROW(Table2[Observation Group])),,1)),--(Table2[Observation Group]="Unsafe Condition"))</f>
        <v>1418</v>
      </c>
      <c r="D17" s="31" cm="1">
        <f ca="1" t="array" ref="D17">SUMPRODUCT(IF(Table2[Observation Group]="Unsafe Condition",IF(Table2[Status]="Closed",SUBTOTAL(3,OFFSET(Table2[Observation Group],ROW(Table2[Observation Group])-MIN(ROW(Table2[Observation Group])),,1)),0),0))</f>
        <v>1418</v>
      </c>
      <c r="E17" s="31" cm="1">
        <f ca="1" t="array" ref="E17">SUMPRODUCT(IF((Table2[Observation Group]="Unsafe condition")*(Table2[Status]="Open"),SUBTOTAL(3,OFFSET(Table2[Observation Group],ROW(Table2[Observation Group])-MIN(ROW(Table2[Observation Group])),,1)),0))</f>
        <v>0</v>
      </c>
      <c r="F17" s="32" t="s">
        <v>8</v>
      </c>
      <c r="O17" s="21"/>
      <c r="P17" s="21"/>
      <c r="Q17" s="21"/>
      <c r="R17" s="21"/>
      <c r="S17" s="21"/>
    </row>
    <row r="18" ht="13.9" customHeight="1" spans="1:18">
      <c r="A18" s="21"/>
      <c r="B18" s="33" t="s">
        <v>10</v>
      </c>
      <c r="C18" s="34" cm="1">
        <f ca="1" t="array" ref="C18">SUMPRODUCT(SUBTOTAL(3,OFFSET(Table2[Observation Group],ROW(Table2[Observation Group])-MIN(ROW(Table2[Observation Group])),,1)),--(Table2[Observation Group]="Safe Act"))</f>
        <v>125</v>
      </c>
      <c r="D18" s="35" t="s">
        <v>8</v>
      </c>
      <c r="E18" s="35" t="s">
        <v>8</v>
      </c>
      <c r="F18" s="34" cm="1">
        <f ca="1" t="array" ref="F18">SUMPRODUCT(IF(Table2[Observation Group]="Safe Act",IF(Table2[Action]="I provided positive feedback",SUBTOTAL(3,OFFSET(Table2[Observation Group],ROW(Table2[Observation Group])-MIN(ROW(Table2[Observation Group])),,1)),0),0))</f>
        <v>125</v>
      </c>
      <c r="O18" s="21"/>
      <c r="P18" s="21"/>
      <c r="Q18" s="21"/>
      <c r="R18" s="19"/>
    </row>
    <row r="19" ht="13.9" customHeight="1" spans="1:18">
      <c r="A19" s="21"/>
      <c r="B19" s="33" t="s">
        <v>11</v>
      </c>
      <c r="C19" s="34" cm="1">
        <f ca="1" t="array" ref="C19">SUMPRODUCT(SUBTOTAL(3,OFFSET(Table2[Observation Group],ROW(Table2[Observation Group])-MIN(ROW(Table2[Observation Group])),,1)),--(Table2[Observation Group]="Safe Condition"))</f>
        <v>186</v>
      </c>
      <c r="D19" s="35" t="s">
        <v>8</v>
      </c>
      <c r="E19" s="35" t="s">
        <v>8</v>
      </c>
      <c r="F19" s="34" cm="1">
        <f ca="1" t="array" ref="F19">SUMPRODUCT(IF(Table2[Observation Group]="Safe Condition",IF(Table2[Action]="I provided positive feedback",SUBTOTAL(3,OFFSET(Table2[Observation Group],ROW(Table2[Observation Group])-MIN(ROW(Table2[Observation Group])),,1)),0),0))</f>
        <v>176</v>
      </c>
      <c r="O19" s="21"/>
      <c r="P19" s="21"/>
      <c r="Q19" s="21"/>
      <c r="R19" s="19"/>
    </row>
    <row r="20" ht="13.9" customHeight="1" spans="1:18">
      <c r="A20" s="21"/>
      <c r="B20" s="36" t="s">
        <v>12</v>
      </c>
      <c r="C20" s="54" cm="1">
        <f ca="1" t="array" ref="C20">SUMPRODUCT(IF(Table2[Priority]&lt;&gt;"Low",IF(Table2[Priority]&lt;&gt;"Medium",IF(Table2[Priority]&lt;&gt;"N/A",SUBTOTAL(3,OFFSET(Table2[Priority],ROW(Table2[Priority])-MIN(ROW(Table2[Priority])),,1)),0),0),0))</f>
        <v>3</v>
      </c>
      <c r="D20" s="38"/>
      <c r="E20" s="39"/>
      <c r="F20" s="40"/>
      <c r="I20"/>
      <c r="O20" s="21"/>
      <c r="P20" s="21"/>
      <c r="Q20" s="21"/>
      <c r="R20" s="19"/>
    </row>
    <row r="21" ht="13.9" customHeight="1" spans="1:18">
      <c r="A21" s="21"/>
      <c r="B21" s="41" t="s">
        <v>13</v>
      </c>
      <c r="C21" s="54" cm="1">
        <f ca="1" t="array" ref="C21">SUMPRODUCT(IF(Table2[Risk Rating]&lt;&gt;"Low",IF(Table2[Risk Rating]&lt;&gt;"Medium",IF(Table2[Risk Rating]&lt;&gt;"N/A",SUBTOTAL(3,OFFSET(Table2[Risk Rating],ROW(Table2[Risk Rating])-MIN(ROW(Table2[Risk Rating])),,1)),0),0),0))</f>
        <v>9</v>
      </c>
      <c r="D21" s="42"/>
      <c r="E21" s="43"/>
      <c r="F21" s="44"/>
      <c r="I21"/>
      <c r="O21" s="21"/>
      <c r="P21" s="21"/>
      <c r="Q21" s="21"/>
      <c r="R21" s="19"/>
    </row>
    <row r="22" ht="13.9" customHeight="1" spans="1:18">
      <c r="A22" s="55"/>
      <c r="I22"/>
      <c r="N22" s="21"/>
      <c r="O22" s="21"/>
      <c r="P22" s="21"/>
      <c r="Q22" s="21"/>
      <c r="R22" s="19"/>
    </row>
    <row r="23" s="17" customFormat="1" ht="22.8" spans="1:18">
      <c r="A23" s="56" t="s">
        <v>16</v>
      </c>
      <c r="B23" s="57" t="s">
        <v>17</v>
      </c>
      <c r="C23" s="57" t="s">
        <v>18</v>
      </c>
      <c r="D23" s="57" t="s">
        <v>19</v>
      </c>
      <c r="E23" s="57" t="s">
        <v>20</v>
      </c>
      <c r="F23" s="57" t="s">
        <v>21</v>
      </c>
      <c r="G23" s="57" t="s">
        <v>22</v>
      </c>
      <c r="H23" s="57" t="s">
        <v>23</v>
      </c>
      <c r="I23" s="57" t="s">
        <v>24</v>
      </c>
      <c r="J23" s="57" t="s">
        <v>25</v>
      </c>
      <c r="K23" s="57" t="s">
        <v>26</v>
      </c>
      <c r="L23" s="57" t="s">
        <v>27</v>
      </c>
      <c r="M23" s="57" t="s">
        <v>28</v>
      </c>
      <c r="N23" s="57" t="s">
        <v>29</v>
      </c>
      <c r="O23" s="57" t="s">
        <v>30</v>
      </c>
      <c r="P23" s="57" t="s">
        <v>31</v>
      </c>
      <c r="Q23" s="72" t="s">
        <v>32</v>
      </c>
      <c r="R23" s="57" t="s">
        <v>33</v>
      </c>
    </row>
    <row r="24" ht="13.8" spans="1:18">
      <c r="A24" s="58">
        <v>1</v>
      </c>
      <c r="B24" s="59">
        <v>45660</v>
      </c>
      <c r="C24" s="60" t="s">
        <v>34</v>
      </c>
      <c r="D24" s="61" t="s">
        <v>35</v>
      </c>
      <c r="E24" s="62"/>
      <c r="F24" s="62" t="s">
        <v>36</v>
      </c>
      <c r="G24" s="62" t="s">
        <v>37</v>
      </c>
      <c r="H24" s="62" t="s">
        <v>38</v>
      </c>
      <c r="I24" s="66" t="s">
        <v>39</v>
      </c>
      <c r="J24" s="62" t="s">
        <v>40</v>
      </c>
      <c r="K24" s="67" t="s">
        <v>41</v>
      </c>
      <c r="L24" s="68"/>
      <c r="M24" s="62"/>
      <c r="N24" s="62"/>
      <c r="O24" s="69"/>
      <c r="P24" s="59" t="s">
        <v>42</v>
      </c>
      <c r="Q24" s="73" t="s">
        <v>43</v>
      </c>
      <c r="R24" s="62"/>
    </row>
    <row r="25" ht="13.8" spans="1:18">
      <c r="A25" s="58">
        <v>2</v>
      </c>
      <c r="B25" s="59">
        <v>45662</v>
      </c>
      <c r="C25" s="60" t="s">
        <v>44</v>
      </c>
      <c r="D25" s="61" t="s">
        <v>35</v>
      </c>
      <c r="E25" s="62"/>
      <c r="F25" s="62" t="s">
        <v>36</v>
      </c>
      <c r="G25" s="62" t="s">
        <v>45</v>
      </c>
      <c r="H25" s="62" t="s">
        <v>46</v>
      </c>
      <c r="I25" s="66" t="s">
        <v>47</v>
      </c>
      <c r="J25" s="62" t="s">
        <v>40</v>
      </c>
      <c r="K25" s="67" t="s">
        <v>48</v>
      </c>
      <c r="L25" s="70"/>
      <c r="M25" s="62"/>
      <c r="N25" s="62"/>
      <c r="O25" s="69"/>
      <c r="P25" s="59" t="s">
        <v>42</v>
      </c>
      <c r="Q25" s="73" t="s">
        <v>43</v>
      </c>
      <c r="R25" s="62"/>
    </row>
    <row r="26" ht="13.8" spans="1:18">
      <c r="A26" s="58">
        <v>3</v>
      </c>
      <c r="B26" s="59">
        <v>45661</v>
      </c>
      <c r="C26" s="60" t="s">
        <v>49</v>
      </c>
      <c r="D26" s="61" t="s">
        <v>35</v>
      </c>
      <c r="E26" s="62"/>
      <c r="F26" s="63" t="s">
        <v>50</v>
      </c>
      <c r="G26" s="62" t="s">
        <v>37</v>
      </c>
      <c r="H26" s="62" t="s">
        <v>51</v>
      </c>
      <c r="I26" s="66" t="s">
        <v>52</v>
      </c>
      <c r="J26" s="62" t="s">
        <v>53</v>
      </c>
      <c r="K26" s="59" t="s">
        <v>54</v>
      </c>
      <c r="L26" s="68"/>
      <c r="M26" s="62"/>
      <c r="N26" s="62"/>
      <c r="O26" s="69"/>
      <c r="P26" s="59" t="s">
        <v>42</v>
      </c>
      <c r="Q26" s="73" t="s">
        <v>43</v>
      </c>
      <c r="R26" s="62"/>
    </row>
    <row r="27" ht="13.8" spans="1:18">
      <c r="A27" s="58">
        <v>4</v>
      </c>
      <c r="B27" s="59">
        <v>45660</v>
      </c>
      <c r="C27" s="60" t="s">
        <v>34</v>
      </c>
      <c r="D27" s="61" t="s">
        <v>35</v>
      </c>
      <c r="E27" s="62"/>
      <c r="F27" s="62" t="s">
        <v>36</v>
      </c>
      <c r="G27" s="62" t="s">
        <v>55</v>
      </c>
      <c r="H27" s="62" t="s">
        <v>56</v>
      </c>
      <c r="I27" s="66" t="s">
        <v>57</v>
      </c>
      <c r="J27" s="62" t="s">
        <v>40</v>
      </c>
      <c r="K27" s="67" t="s">
        <v>58</v>
      </c>
      <c r="L27" s="70"/>
      <c r="M27" s="62"/>
      <c r="N27" s="62"/>
      <c r="O27" s="69"/>
      <c r="P27" s="59" t="s">
        <v>42</v>
      </c>
      <c r="Q27" s="73" t="s">
        <v>43</v>
      </c>
      <c r="R27" s="62"/>
    </row>
    <row r="28" ht="41.4" spans="1:18">
      <c r="A28" s="58">
        <v>5</v>
      </c>
      <c r="B28" s="59">
        <v>45659</v>
      </c>
      <c r="C28" s="60" t="s">
        <v>59</v>
      </c>
      <c r="D28" s="61" t="s">
        <v>60</v>
      </c>
      <c r="E28" s="62"/>
      <c r="F28" s="62" t="s">
        <v>36</v>
      </c>
      <c r="G28" s="62" t="s">
        <v>61</v>
      </c>
      <c r="H28" s="62" t="s">
        <v>46</v>
      </c>
      <c r="I28" s="66" t="s">
        <v>62</v>
      </c>
      <c r="J28" s="62" t="s">
        <v>40</v>
      </c>
      <c r="K28" s="67" t="s">
        <v>63</v>
      </c>
      <c r="L28" s="70"/>
      <c r="M28" s="62"/>
      <c r="N28" s="62"/>
      <c r="O28" s="69"/>
      <c r="P28" s="59"/>
      <c r="Q28" s="73" t="s">
        <v>43</v>
      </c>
      <c r="R28" s="62"/>
    </row>
    <row r="29" ht="193.2" spans="1:18">
      <c r="A29" s="58">
        <v>6</v>
      </c>
      <c r="B29" s="59">
        <v>45658</v>
      </c>
      <c r="C29" s="60" t="s">
        <v>64</v>
      </c>
      <c r="D29" s="61" t="s">
        <v>60</v>
      </c>
      <c r="E29" s="62"/>
      <c r="F29" s="62" t="s">
        <v>50</v>
      </c>
      <c r="G29" s="62" t="s">
        <v>65</v>
      </c>
      <c r="H29" s="62" t="s">
        <v>66</v>
      </c>
      <c r="I29" s="66" t="s">
        <v>67</v>
      </c>
      <c r="J29" s="62" t="s">
        <v>53</v>
      </c>
      <c r="K29" s="67" t="s">
        <v>68</v>
      </c>
      <c r="L29" s="70"/>
      <c r="M29" s="62"/>
      <c r="N29" s="62"/>
      <c r="O29" s="69"/>
      <c r="P29" s="59" t="s">
        <v>42</v>
      </c>
      <c r="Q29" s="73" t="s">
        <v>43</v>
      </c>
      <c r="R29" s="62"/>
    </row>
    <row r="30" ht="27.6" spans="1:18">
      <c r="A30" s="58">
        <v>7</v>
      </c>
      <c r="B30" s="59">
        <v>45659</v>
      </c>
      <c r="C30" s="60" t="s">
        <v>59</v>
      </c>
      <c r="D30" s="61" t="s">
        <v>60</v>
      </c>
      <c r="E30" s="62"/>
      <c r="F30" s="62" t="s">
        <v>50</v>
      </c>
      <c r="G30" s="62" t="s">
        <v>61</v>
      </c>
      <c r="H30" s="62" t="s">
        <v>66</v>
      </c>
      <c r="I30" s="66" t="s">
        <v>69</v>
      </c>
      <c r="J30" s="62" t="s">
        <v>53</v>
      </c>
      <c r="K30" s="67" t="s">
        <v>70</v>
      </c>
      <c r="L30" s="70"/>
      <c r="M30" s="62"/>
      <c r="N30" s="62"/>
      <c r="O30" s="69"/>
      <c r="P30" s="59"/>
      <c r="Q30" s="73" t="s">
        <v>43</v>
      </c>
      <c r="R30" s="62"/>
    </row>
    <row r="31" ht="27.6" spans="1:18">
      <c r="A31" s="58">
        <v>8</v>
      </c>
      <c r="B31" s="59">
        <v>45658</v>
      </c>
      <c r="C31" s="60" t="s">
        <v>71</v>
      </c>
      <c r="D31" s="61" t="s">
        <v>72</v>
      </c>
      <c r="E31" s="62" t="s">
        <v>73</v>
      </c>
      <c r="F31" s="62" t="s">
        <v>36</v>
      </c>
      <c r="G31" s="62" t="s">
        <v>74</v>
      </c>
      <c r="H31" s="62" t="s">
        <v>66</v>
      </c>
      <c r="I31" s="66" t="s">
        <v>75</v>
      </c>
      <c r="J31" s="62" t="s">
        <v>40</v>
      </c>
      <c r="K31" s="67" t="s">
        <v>76</v>
      </c>
      <c r="L31" s="71"/>
      <c r="M31" s="62"/>
      <c r="N31" s="62"/>
      <c r="O31" s="69"/>
      <c r="P31" s="59" t="s">
        <v>42</v>
      </c>
      <c r="Q31" s="73" t="s">
        <v>43</v>
      </c>
      <c r="R31" s="62"/>
    </row>
    <row r="32" ht="27.6" spans="1:18">
      <c r="A32" s="58">
        <v>9</v>
      </c>
      <c r="B32" s="59">
        <v>45659</v>
      </c>
      <c r="C32" s="60" t="s">
        <v>71</v>
      </c>
      <c r="D32" s="61" t="s">
        <v>72</v>
      </c>
      <c r="E32" s="62" t="s">
        <v>73</v>
      </c>
      <c r="F32" s="62" t="s">
        <v>36</v>
      </c>
      <c r="G32" s="62" t="s">
        <v>55</v>
      </c>
      <c r="H32" s="62" t="s">
        <v>38</v>
      </c>
      <c r="I32" s="66" t="s">
        <v>77</v>
      </c>
      <c r="J32" s="62" t="s">
        <v>40</v>
      </c>
      <c r="K32" s="67" t="s">
        <v>78</v>
      </c>
      <c r="L32" s="70"/>
      <c r="M32" s="62"/>
      <c r="N32" s="62"/>
      <c r="O32" s="69"/>
      <c r="P32" s="59" t="s">
        <v>42</v>
      </c>
      <c r="Q32" s="73" t="s">
        <v>43</v>
      </c>
      <c r="R32" s="62"/>
    </row>
    <row r="33" ht="27.6" spans="1:18">
      <c r="A33" s="58">
        <v>10</v>
      </c>
      <c r="B33" s="59">
        <v>45659</v>
      </c>
      <c r="C33" s="60" t="s">
        <v>71</v>
      </c>
      <c r="D33" s="61" t="s">
        <v>72</v>
      </c>
      <c r="E33" s="62" t="s">
        <v>73</v>
      </c>
      <c r="F33" s="62" t="s">
        <v>36</v>
      </c>
      <c r="G33" s="62" t="s">
        <v>79</v>
      </c>
      <c r="H33" s="62" t="s">
        <v>66</v>
      </c>
      <c r="I33" s="66" t="s">
        <v>80</v>
      </c>
      <c r="J33" s="62" t="s">
        <v>40</v>
      </c>
      <c r="K33" s="67" t="s">
        <v>81</v>
      </c>
      <c r="L33" s="70"/>
      <c r="M33" s="62"/>
      <c r="N33" s="62"/>
      <c r="O33" s="69"/>
      <c r="P33" s="59" t="s">
        <v>42</v>
      </c>
      <c r="Q33" s="73" t="s">
        <v>43</v>
      </c>
      <c r="R33" s="62"/>
    </row>
    <row r="34" ht="27.6" spans="1:18">
      <c r="A34" s="58">
        <v>11</v>
      </c>
      <c r="B34" s="59">
        <v>45659</v>
      </c>
      <c r="C34" s="60" t="s">
        <v>71</v>
      </c>
      <c r="D34" s="61" t="s">
        <v>72</v>
      </c>
      <c r="E34" s="62" t="s">
        <v>73</v>
      </c>
      <c r="F34" s="62" t="s">
        <v>36</v>
      </c>
      <c r="G34" s="62" t="s">
        <v>82</v>
      </c>
      <c r="H34" s="62" t="s">
        <v>56</v>
      </c>
      <c r="I34" s="66" t="s">
        <v>83</v>
      </c>
      <c r="J34" s="62" t="s">
        <v>40</v>
      </c>
      <c r="K34" s="67" t="s">
        <v>84</v>
      </c>
      <c r="L34" s="70"/>
      <c r="M34" s="62"/>
      <c r="N34" s="62"/>
      <c r="O34" s="69"/>
      <c r="P34" s="59" t="s">
        <v>42</v>
      </c>
      <c r="Q34" s="73" t="s">
        <v>43</v>
      </c>
      <c r="R34" s="62"/>
    </row>
    <row r="35" ht="27.6" spans="1:18">
      <c r="A35" s="58">
        <v>12</v>
      </c>
      <c r="B35" s="59">
        <v>45663</v>
      </c>
      <c r="C35" s="60" t="s">
        <v>85</v>
      </c>
      <c r="D35" s="61" t="s">
        <v>60</v>
      </c>
      <c r="E35" s="62" t="s">
        <v>86</v>
      </c>
      <c r="F35" s="62" t="s">
        <v>50</v>
      </c>
      <c r="G35" s="62" t="s">
        <v>74</v>
      </c>
      <c r="H35" s="62" t="s">
        <v>51</v>
      </c>
      <c r="I35" s="66" t="s">
        <v>87</v>
      </c>
      <c r="J35" s="62" t="s">
        <v>88</v>
      </c>
      <c r="K35" s="67" t="s">
        <v>89</v>
      </c>
      <c r="L35" s="70"/>
      <c r="M35" s="62"/>
      <c r="N35" s="62"/>
      <c r="O35" s="69"/>
      <c r="P35" s="59" t="s">
        <v>42</v>
      </c>
      <c r="Q35" s="73" t="s">
        <v>43</v>
      </c>
      <c r="R35" s="62"/>
    </row>
    <row r="36" ht="82.8" spans="1:18">
      <c r="A36" s="58">
        <v>13</v>
      </c>
      <c r="B36" s="59">
        <v>45662</v>
      </c>
      <c r="C36" s="60" t="s">
        <v>85</v>
      </c>
      <c r="D36" s="61" t="s">
        <v>60</v>
      </c>
      <c r="E36" s="62" t="s">
        <v>86</v>
      </c>
      <c r="F36" s="62" t="s">
        <v>50</v>
      </c>
      <c r="G36" s="62" t="s">
        <v>45</v>
      </c>
      <c r="H36" s="62" t="s">
        <v>66</v>
      </c>
      <c r="I36" s="66" t="s">
        <v>90</v>
      </c>
      <c r="J36" s="62" t="s">
        <v>91</v>
      </c>
      <c r="K36" s="67" t="s">
        <v>92</v>
      </c>
      <c r="L36" s="71"/>
      <c r="M36" s="62"/>
      <c r="N36" s="62"/>
      <c r="O36" s="69"/>
      <c r="P36" s="59" t="s">
        <v>42</v>
      </c>
      <c r="Q36" s="73" t="s">
        <v>43</v>
      </c>
      <c r="R36" s="62"/>
    </row>
    <row r="37" ht="41.4" spans="1:18">
      <c r="A37" s="58">
        <v>14</v>
      </c>
      <c r="B37" s="59">
        <v>45662</v>
      </c>
      <c r="C37" s="60" t="s">
        <v>85</v>
      </c>
      <c r="D37" s="61" t="s">
        <v>60</v>
      </c>
      <c r="E37" s="62" t="s">
        <v>86</v>
      </c>
      <c r="F37" s="62" t="s">
        <v>36</v>
      </c>
      <c r="G37" s="62" t="s">
        <v>93</v>
      </c>
      <c r="H37" s="62" t="s">
        <v>94</v>
      </c>
      <c r="I37" s="66" t="s">
        <v>95</v>
      </c>
      <c r="J37" s="62" t="s">
        <v>88</v>
      </c>
      <c r="K37" s="67" t="s">
        <v>96</v>
      </c>
      <c r="L37" s="71"/>
      <c r="M37" s="62"/>
      <c r="N37" s="62"/>
      <c r="O37" s="69"/>
      <c r="P37" s="59" t="s">
        <v>42</v>
      </c>
      <c r="Q37" s="73" t="s">
        <v>43</v>
      </c>
      <c r="R37" s="62"/>
    </row>
    <row r="38" ht="55.2" spans="1:18">
      <c r="A38" s="58">
        <v>15</v>
      </c>
      <c r="B38" s="59">
        <v>45662</v>
      </c>
      <c r="C38" s="60" t="s">
        <v>85</v>
      </c>
      <c r="D38" s="61" t="s">
        <v>60</v>
      </c>
      <c r="E38" s="62" t="s">
        <v>86</v>
      </c>
      <c r="F38" s="62" t="s">
        <v>36</v>
      </c>
      <c r="G38" s="62" t="s">
        <v>45</v>
      </c>
      <c r="H38" s="62" t="s">
        <v>97</v>
      </c>
      <c r="I38" s="66" t="s">
        <v>98</v>
      </c>
      <c r="J38" s="62" t="s">
        <v>88</v>
      </c>
      <c r="K38" s="67" t="s">
        <v>99</v>
      </c>
      <c r="L38" s="71"/>
      <c r="M38" s="62"/>
      <c r="N38" s="62"/>
      <c r="O38" s="69"/>
      <c r="P38" s="59" t="s">
        <v>42</v>
      </c>
      <c r="Q38" s="73" t="s">
        <v>43</v>
      </c>
      <c r="R38" s="62"/>
    </row>
    <row r="39" ht="41.4" spans="1:18">
      <c r="A39" s="58">
        <v>16</v>
      </c>
      <c r="B39" s="59">
        <v>45664</v>
      </c>
      <c r="C39" s="60" t="s">
        <v>100</v>
      </c>
      <c r="D39" s="61" t="s">
        <v>60</v>
      </c>
      <c r="E39" s="62" t="s">
        <v>101</v>
      </c>
      <c r="F39" s="62" t="s">
        <v>36</v>
      </c>
      <c r="G39" s="62" t="s">
        <v>61</v>
      </c>
      <c r="H39" s="62" t="s">
        <v>56</v>
      </c>
      <c r="I39" s="66" t="s">
        <v>102</v>
      </c>
      <c r="J39" s="62" t="s">
        <v>88</v>
      </c>
      <c r="K39" s="67" t="s">
        <v>103</v>
      </c>
      <c r="L39" s="71"/>
      <c r="M39" s="62"/>
      <c r="N39" s="62"/>
      <c r="O39" s="69"/>
      <c r="P39" s="59" t="s">
        <v>42</v>
      </c>
      <c r="Q39" s="73" t="s">
        <v>43</v>
      </c>
      <c r="R39" s="62"/>
    </row>
    <row r="40" ht="41.4" spans="1:18">
      <c r="A40" s="58">
        <v>17</v>
      </c>
      <c r="B40" s="59">
        <v>45664</v>
      </c>
      <c r="C40" s="60" t="s">
        <v>100</v>
      </c>
      <c r="D40" s="61" t="s">
        <v>60</v>
      </c>
      <c r="E40" s="62" t="s">
        <v>101</v>
      </c>
      <c r="F40" s="62" t="s">
        <v>50</v>
      </c>
      <c r="G40" s="62" t="s">
        <v>61</v>
      </c>
      <c r="H40" s="62" t="s">
        <v>51</v>
      </c>
      <c r="I40" s="66" t="s">
        <v>104</v>
      </c>
      <c r="J40" s="62" t="s">
        <v>88</v>
      </c>
      <c r="K40" s="67" t="s">
        <v>105</v>
      </c>
      <c r="L40" s="71"/>
      <c r="M40" s="62"/>
      <c r="N40" s="62"/>
      <c r="O40" s="69"/>
      <c r="P40" s="59" t="s">
        <v>42</v>
      </c>
      <c r="Q40" s="73" t="s">
        <v>43</v>
      </c>
      <c r="R40" s="62"/>
    </row>
    <row r="41" ht="41.4" spans="1:18">
      <c r="A41" s="58">
        <v>18</v>
      </c>
      <c r="B41" s="59">
        <v>45663</v>
      </c>
      <c r="C41" s="60" t="s">
        <v>85</v>
      </c>
      <c r="D41" s="61" t="s">
        <v>60</v>
      </c>
      <c r="E41" s="62" t="s">
        <v>86</v>
      </c>
      <c r="F41" s="62" t="s">
        <v>36</v>
      </c>
      <c r="G41" s="62" t="s">
        <v>74</v>
      </c>
      <c r="H41" s="62" t="s">
        <v>56</v>
      </c>
      <c r="I41" s="66" t="s">
        <v>106</v>
      </c>
      <c r="J41" s="62" t="s">
        <v>91</v>
      </c>
      <c r="K41" s="67" t="s">
        <v>107</v>
      </c>
      <c r="L41" s="71"/>
      <c r="M41" s="62"/>
      <c r="N41" s="62"/>
      <c r="O41" s="69"/>
      <c r="P41" s="59" t="s">
        <v>42</v>
      </c>
      <c r="Q41" s="73" t="s">
        <v>43</v>
      </c>
      <c r="R41" s="62"/>
    </row>
    <row r="42" ht="82.8" spans="1:18">
      <c r="A42" s="58">
        <v>19</v>
      </c>
      <c r="B42" s="59">
        <v>45663</v>
      </c>
      <c r="C42" s="60" t="s">
        <v>100</v>
      </c>
      <c r="D42" s="61" t="s">
        <v>60</v>
      </c>
      <c r="E42" s="62" t="s">
        <v>101</v>
      </c>
      <c r="F42" s="62" t="s">
        <v>50</v>
      </c>
      <c r="G42" s="62" t="s">
        <v>74</v>
      </c>
      <c r="H42" s="62" t="s">
        <v>51</v>
      </c>
      <c r="I42" s="66" t="s">
        <v>108</v>
      </c>
      <c r="J42" s="62" t="s">
        <v>53</v>
      </c>
      <c r="K42" s="67" t="s">
        <v>109</v>
      </c>
      <c r="L42" s="70"/>
      <c r="M42" s="62"/>
      <c r="N42" s="62"/>
      <c r="O42" s="69"/>
      <c r="P42" s="59" t="s">
        <v>42</v>
      </c>
      <c r="Q42" s="73" t="s">
        <v>43</v>
      </c>
      <c r="R42" s="62"/>
    </row>
    <row r="43" ht="41.4" spans="1:18">
      <c r="A43" s="58">
        <v>20</v>
      </c>
      <c r="B43" s="59">
        <v>45664</v>
      </c>
      <c r="C43" s="60" t="s">
        <v>100</v>
      </c>
      <c r="D43" s="61" t="s">
        <v>60</v>
      </c>
      <c r="E43" s="62" t="s">
        <v>101</v>
      </c>
      <c r="F43" s="62" t="s">
        <v>36</v>
      </c>
      <c r="G43" s="62" t="s">
        <v>74</v>
      </c>
      <c r="H43" s="62" t="s">
        <v>46</v>
      </c>
      <c r="I43" s="66" t="s">
        <v>110</v>
      </c>
      <c r="J43" s="62" t="s">
        <v>40</v>
      </c>
      <c r="K43" s="67" t="s">
        <v>109</v>
      </c>
      <c r="L43" s="71"/>
      <c r="M43" s="62"/>
      <c r="N43" s="62"/>
      <c r="O43" s="69"/>
      <c r="P43" s="59" t="s">
        <v>42</v>
      </c>
      <c r="Q43" s="73" t="s">
        <v>43</v>
      </c>
      <c r="R43" s="62"/>
    </row>
    <row r="44" ht="13.8" spans="1:18">
      <c r="A44" s="58">
        <v>21</v>
      </c>
      <c r="B44" s="59">
        <v>45662</v>
      </c>
      <c r="C44" s="60" t="s">
        <v>111</v>
      </c>
      <c r="D44" s="61" t="s">
        <v>60</v>
      </c>
      <c r="E44" s="62"/>
      <c r="F44" s="62" t="s">
        <v>36</v>
      </c>
      <c r="G44" s="62" t="s">
        <v>37</v>
      </c>
      <c r="H44" s="62" t="s">
        <v>46</v>
      </c>
      <c r="I44" s="66" t="s">
        <v>112</v>
      </c>
      <c r="J44" s="62" t="s">
        <v>40</v>
      </c>
      <c r="K44" s="67" t="s">
        <v>113</v>
      </c>
      <c r="L44" s="71" t="s">
        <v>114</v>
      </c>
      <c r="M44" s="62" t="s">
        <v>115</v>
      </c>
      <c r="N44" s="62" t="s">
        <v>115</v>
      </c>
      <c r="O44" s="69" t="s">
        <v>116</v>
      </c>
      <c r="P44" s="59">
        <v>45669</v>
      </c>
      <c r="Q44" s="73" t="s">
        <v>43</v>
      </c>
      <c r="R44" s="62"/>
    </row>
    <row r="45" ht="27.6" spans="1:18">
      <c r="A45" s="58">
        <v>22</v>
      </c>
      <c r="B45" s="59">
        <v>45665</v>
      </c>
      <c r="C45" s="60" t="s">
        <v>111</v>
      </c>
      <c r="D45" s="61" t="s">
        <v>60</v>
      </c>
      <c r="E45" s="62"/>
      <c r="F45" s="62" t="s">
        <v>36</v>
      </c>
      <c r="G45" s="62" t="s">
        <v>74</v>
      </c>
      <c r="H45" s="62" t="s">
        <v>94</v>
      </c>
      <c r="I45" s="66" t="s">
        <v>117</v>
      </c>
      <c r="J45" s="62" t="s">
        <v>118</v>
      </c>
      <c r="K45" s="67"/>
      <c r="L45" s="71"/>
      <c r="M45" s="62"/>
      <c r="N45" s="62"/>
      <c r="O45" s="69"/>
      <c r="P45" s="59" t="s">
        <v>42</v>
      </c>
      <c r="Q45" s="73" t="s">
        <v>43</v>
      </c>
      <c r="R45" s="62"/>
    </row>
    <row r="46" ht="41.4" spans="1:18">
      <c r="A46" s="58">
        <v>23</v>
      </c>
      <c r="B46" s="59">
        <v>45665</v>
      </c>
      <c r="C46" s="60" t="s">
        <v>111</v>
      </c>
      <c r="D46" s="61" t="s">
        <v>60</v>
      </c>
      <c r="E46" s="62"/>
      <c r="F46" s="62" t="s">
        <v>36</v>
      </c>
      <c r="G46" s="62" t="s">
        <v>74</v>
      </c>
      <c r="H46" s="62" t="s">
        <v>94</v>
      </c>
      <c r="I46" s="66" t="s">
        <v>119</v>
      </c>
      <c r="J46" s="62" t="s">
        <v>118</v>
      </c>
      <c r="K46" s="67"/>
      <c r="L46" s="71"/>
      <c r="M46" s="62"/>
      <c r="N46" s="62"/>
      <c r="O46" s="69"/>
      <c r="P46" s="59" t="s">
        <v>42</v>
      </c>
      <c r="Q46" s="73" t="s">
        <v>43</v>
      </c>
      <c r="R46" s="62"/>
    </row>
    <row r="47" ht="27.6" spans="1:18">
      <c r="A47" s="58">
        <v>24</v>
      </c>
      <c r="B47" s="59">
        <v>45665</v>
      </c>
      <c r="C47" s="60" t="s">
        <v>111</v>
      </c>
      <c r="D47" s="61" t="s">
        <v>60</v>
      </c>
      <c r="E47" s="62"/>
      <c r="F47" s="62" t="s">
        <v>36</v>
      </c>
      <c r="G47" s="62" t="s">
        <v>74</v>
      </c>
      <c r="H47" s="62" t="s">
        <v>94</v>
      </c>
      <c r="I47" s="66" t="s">
        <v>120</v>
      </c>
      <c r="J47" s="62" t="s">
        <v>118</v>
      </c>
      <c r="K47" s="67"/>
      <c r="L47" s="71"/>
      <c r="M47" s="62"/>
      <c r="N47" s="62"/>
      <c r="O47" s="69"/>
      <c r="P47" s="59" t="s">
        <v>42</v>
      </c>
      <c r="Q47" s="73" t="s">
        <v>43</v>
      </c>
      <c r="R47" s="62"/>
    </row>
    <row r="48" ht="55.2" spans="1:18">
      <c r="A48" s="58">
        <v>25</v>
      </c>
      <c r="B48" s="59">
        <v>45664</v>
      </c>
      <c r="C48" s="60" t="s">
        <v>121</v>
      </c>
      <c r="D48" s="61" t="s">
        <v>60</v>
      </c>
      <c r="E48" s="62"/>
      <c r="F48" s="62" t="s">
        <v>36</v>
      </c>
      <c r="G48" s="62" t="s">
        <v>65</v>
      </c>
      <c r="H48" s="62" t="s">
        <v>46</v>
      </c>
      <c r="I48" s="66" t="s">
        <v>122</v>
      </c>
      <c r="J48" s="62" t="s">
        <v>40</v>
      </c>
      <c r="K48" s="67" t="s">
        <v>123</v>
      </c>
      <c r="L48" s="71"/>
      <c r="M48" s="62"/>
      <c r="N48" s="62"/>
      <c r="O48" s="69"/>
      <c r="P48" s="59" t="s">
        <v>42</v>
      </c>
      <c r="Q48" s="73" t="s">
        <v>43</v>
      </c>
      <c r="R48" s="62"/>
    </row>
    <row r="49" ht="41.4" spans="1:18">
      <c r="A49" s="58">
        <v>26</v>
      </c>
      <c r="B49" s="59">
        <v>45665</v>
      </c>
      <c r="C49" s="60" t="s">
        <v>124</v>
      </c>
      <c r="D49" s="61" t="s">
        <v>60</v>
      </c>
      <c r="E49" s="62"/>
      <c r="F49" s="62" t="s">
        <v>36</v>
      </c>
      <c r="G49" s="62" t="s">
        <v>61</v>
      </c>
      <c r="H49" s="62" t="s">
        <v>46</v>
      </c>
      <c r="I49" s="66" t="s">
        <v>125</v>
      </c>
      <c r="J49" s="62" t="s">
        <v>91</v>
      </c>
      <c r="K49" s="67" t="s">
        <v>126</v>
      </c>
      <c r="L49" s="70"/>
      <c r="M49" s="62"/>
      <c r="N49" s="62"/>
      <c r="O49" s="69"/>
      <c r="P49" s="59" t="s">
        <v>42</v>
      </c>
      <c r="Q49" s="73" t="s">
        <v>43</v>
      </c>
      <c r="R49" s="62"/>
    </row>
    <row r="50" ht="27.6" spans="1:18">
      <c r="A50" s="58">
        <v>27</v>
      </c>
      <c r="B50" s="59">
        <v>45662</v>
      </c>
      <c r="C50" s="60" t="s">
        <v>127</v>
      </c>
      <c r="D50" s="61" t="s">
        <v>60</v>
      </c>
      <c r="E50" s="62"/>
      <c r="F50" s="62" t="s">
        <v>36</v>
      </c>
      <c r="G50" s="62" t="s">
        <v>37</v>
      </c>
      <c r="H50" s="62" t="s">
        <v>128</v>
      </c>
      <c r="I50" s="66" t="s">
        <v>129</v>
      </c>
      <c r="J50" s="62" t="s">
        <v>40</v>
      </c>
      <c r="K50" s="67"/>
      <c r="L50" s="70"/>
      <c r="M50" s="62"/>
      <c r="N50" s="62"/>
      <c r="O50" s="69"/>
      <c r="P50" s="59" t="s">
        <v>42</v>
      </c>
      <c r="Q50" s="73" t="s">
        <v>43</v>
      </c>
      <c r="R50" s="62"/>
    </row>
    <row r="51" ht="27.6" spans="1:18">
      <c r="A51" s="58">
        <v>28</v>
      </c>
      <c r="B51" s="59">
        <v>45665</v>
      </c>
      <c r="C51" s="60" t="s">
        <v>127</v>
      </c>
      <c r="D51" s="61" t="s">
        <v>60</v>
      </c>
      <c r="E51" s="62"/>
      <c r="F51" s="62" t="s">
        <v>50</v>
      </c>
      <c r="G51" s="62" t="s">
        <v>37</v>
      </c>
      <c r="H51" s="62" t="s">
        <v>51</v>
      </c>
      <c r="I51" s="66" t="s">
        <v>130</v>
      </c>
      <c r="J51" s="62" t="s">
        <v>53</v>
      </c>
      <c r="K51" s="67"/>
      <c r="L51" s="70"/>
      <c r="M51" s="62"/>
      <c r="N51" s="62"/>
      <c r="O51" s="69"/>
      <c r="P51" s="59" t="s">
        <v>42</v>
      </c>
      <c r="Q51" s="73" t="s">
        <v>43</v>
      </c>
      <c r="R51" s="62"/>
    </row>
    <row r="52" ht="69" spans="1:18">
      <c r="A52" s="58">
        <v>29</v>
      </c>
      <c r="B52" s="59">
        <v>45664</v>
      </c>
      <c r="C52" s="60" t="s">
        <v>59</v>
      </c>
      <c r="D52" s="61" t="s">
        <v>60</v>
      </c>
      <c r="E52" s="62"/>
      <c r="F52" s="62" t="s">
        <v>36</v>
      </c>
      <c r="G52" s="62" t="s">
        <v>131</v>
      </c>
      <c r="H52" s="62" t="s">
        <v>132</v>
      </c>
      <c r="I52" s="66" t="s">
        <v>133</v>
      </c>
      <c r="J52" s="62" t="s">
        <v>91</v>
      </c>
      <c r="K52" s="67" t="s">
        <v>134</v>
      </c>
      <c r="L52" s="70"/>
      <c r="M52" s="62"/>
      <c r="N52" s="62"/>
      <c r="O52" s="69"/>
      <c r="P52" s="59"/>
      <c r="Q52" s="73" t="s">
        <v>43</v>
      </c>
      <c r="R52" s="62"/>
    </row>
    <row r="53" ht="27.6" spans="1:18">
      <c r="A53" s="58">
        <v>30</v>
      </c>
      <c r="B53" s="59">
        <v>45666</v>
      </c>
      <c r="C53" s="60" t="s">
        <v>59</v>
      </c>
      <c r="D53" s="61" t="s">
        <v>60</v>
      </c>
      <c r="E53" s="62"/>
      <c r="F53" s="62" t="s">
        <v>135</v>
      </c>
      <c r="G53" s="62" t="s">
        <v>45</v>
      </c>
      <c r="H53" s="62" t="s">
        <v>66</v>
      </c>
      <c r="I53" s="66" t="s">
        <v>136</v>
      </c>
      <c r="J53" s="62" t="s">
        <v>137</v>
      </c>
      <c r="K53" s="67" t="s">
        <v>138</v>
      </c>
      <c r="L53" s="70"/>
      <c r="M53" s="62"/>
      <c r="N53" s="62"/>
      <c r="O53" s="69"/>
      <c r="P53" s="59" t="s">
        <v>42</v>
      </c>
      <c r="Q53" s="73" t="s">
        <v>8</v>
      </c>
      <c r="R53" s="62"/>
    </row>
    <row r="54" ht="41.4" spans="1:18">
      <c r="A54" s="58">
        <v>31</v>
      </c>
      <c r="B54" s="59">
        <v>45665</v>
      </c>
      <c r="C54" s="60" t="s">
        <v>121</v>
      </c>
      <c r="D54" s="61" t="s">
        <v>60</v>
      </c>
      <c r="E54" s="62"/>
      <c r="F54" s="62" t="s">
        <v>36</v>
      </c>
      <c r="G54" s="62" t="s">
        <v>55</v>
      </c>
      <c r="H54" s="62" t="s">
        <v>56</v>
      </c>
      <c r="I54" s="66" t="s">
        <v>139</v>
      </c>
      <c r="J54" s="62" t="s">
        <v>88</v>
      </c>
      <c r="K54" s="67" t="s">
        <v>140</v>
      </c>
      <c r="L54" s="71"/>
      <c r="M54" s="62"/>
      <c r="N54" s="63"/>
      <c r="O54" s="69"/>
      <c r="P54" s="59" t="s">
        <v>42</v>
      </c>
      <c r="Q54" s="73" t="s">
        <v>43</v>
      </c>
      <c r="R54" s="62" t="s">
        <v>141</v>
      </c>
    </row>
    <row r="55" ht="41.4" spans="1:18">
      <c r="A55" s="58">
        <v>32</v>
      </c>
      <c r="B55" s="59">
        <v>45662</v>
      </c>
      <c r="C55" s="60" t="s">
        <v>111</v>
      </c>
      <c r="D55" s="61" t="s">
        <v>60</v>
      </c>
      <c r="E55" s="62"/>
      <c r="F55" s="62" t="s">
        <v>36</v>
      </c>
      <c r="G55" s="62" t="s">
        <v>79</v>
      </c>
      <c r="H55" s="62" t="s">
        <v>94</v>
      </c>
      <c r="I55" s="66" t="s">
        <v>142</v>
      </c>
      <c r="J55" s="62" t="s">
        <v>53</v>
      </c>
      <c r="K55" s="67" t="s">
        <v>143</v>
      </c>
      <c r="L55" s="71"/>
      <c r="M55" s="62"/>
      <c r="N55" s="62"/>
      <c r="O55" s="69"/>
      <c r="P55" s="59" t="s">
        <v>42</v>
      </c>
      <c r="Q55" s="73" t="s">
        <v>43</v>
      </c>
      <c r="R55" s="62"/>
    </row>
    <row r="56" ht="41.4" spans="1:18">
      <c r="A56" s="58">
        <v>33</v>
      </c>
      <c r="B56" s="59">
        <v>45665</v>
      </c>
      <c r="C56" s="60" t="s">
        <v>121</v>
      </c>
      <c r="D56" s="61" t="s">
        <v>60</v>
      </c>
      <c r="E56" s="63" t="s">
        <v>73</v>
      </c>
      <c r="F56" s="62" t="s">
        <v>50</v>
      </c>
      <c r="G56" s="62" t="s">
        <v>74</v>
      </c>
      <c r="H56" s="62" t="s">
        <v>144</v>
      </c>
      <c r="I56" s="66" t="s">
        <v>145</v>
      </c>
      <c r="J56" s="62" t="s">
        <v>88</v>
      </c>
      <c r="K56" s="67" t="s">
        <v>146</v>
      </c>
      <c r="L56" s="70"/>
      <c r="M56" s="62"/>
      <c r="N56" s="62"/>
      <c r="O56" s="69"/>
      <c r="P56" s="59" t="s">
        <v>42</v>
      </c>
      <c r="Q56" s="73" t="s">
        <v>43</v>
      </c>
      <c r="R56" s="62"/>
    </row>
    <row r="57" ht="41.4" spans="1:18">
      <c r="A57" s="58">
        <v>34</v>
      </c>
      <c r="B57" s="59">
        <v>45668</v>
      </c>
      <c r="C57" s="60" t="s">
        <v>147</v>
      </c>
      <c r="D57" s="61" t="s">
        <v>72</v>
      </c>
      <c r="E57" s="62" t="s">
        <v>73</v>
      </c>
      <c r="F57" s="62" t="s">
        <v>36</v>
      </c>
      <c r="G57" s="62" t="s">
        <v>82</v>
      </c>
      <c r="H57" s="62" t="s">
        <v>132</v>
      </c>
      <c r="I57" s="66" t="s">
        <v>148</v>
      </c>
      <c r="J57" s="62" t="s">
        <v>91</v>
      </c>
      <c r="K57" s="67" t="s">
        <v>149</v>
      </c>
      <c r="L57" s="70"/>
      <c r="M57" s="62"/>
      <c r="N57" s="62"/>
      <c r="O57" s="69"/>
      <c r="P57" s="59" t="s">
        <v>42</v>
      </c>
      <c r="Q57" s="73" t="s">
        <v>43</v>
      </c>
      <c r="R57" s="62"/>
    </row>
    <row r="58" ht="27.6" spans="1:18">
      <c r="A58" s="58">
        <v>35</v>
      </c>
      <c r="B58" s="59">
        <v>45668</v>
      </c>
      <c r="C58" s="60" t="s">
        <v>147</v>
      </c>
      <c r="D58" s="61" t="s">
        <v>72</v>
      </c>
      <c r="E58" s="62" t="s">
        <v>73</v>
      </c>
      <c r="F58" s="62" t="s">
        <v>50</v>
      </c>
      <c r="G58" s="62" t="s">
        <v>82</v>
      </c>
      <c r="H58" s="62" t="s">
        <v>150</v>
      </c>
      <c r="I58" s="66" t="s">
        <v>151</v>
      </c>
      <c r="J58" s="62" t="s">
        <v>40</v>
      </c>
      <c r="K58" s="67" t="s">
        <v>109</v>
      </c>
      <c r="L58" s="70"/>
      <c r="M58" s="62"/>
      <c r="N58" s="62"/>
      <c r="O58" s="69"/>
      <c r="P58" s="59" t="s">
        <v>42</v>
      </c>
      <c r="Q58" s="73" t="s">
        <v>43</v>
      </c>
      <c r="R58" s="62"/>
    </row>
    <row r="59" ht="27.6" spans="1:18">
      <c r="A59" s="58">
        <v>36</v>
      </c>
      <c r="B59" s="59">
        <v>45668</v>
      </c>
      <c r="C59" s="60" t="s">
        <v>147</v>
      </c>
      <c r="D59" s="61" t="s">
        <v>72</v>
      </c>
      <c r="E59" s="62" t="s">
        <v>73</v>
      </c>
      <c r="F59" s="62" t="s">
        <v>36</v>
      </c>
      <c r="G59" s="62" t="s">
        <v>82</v>
      </c>
      <c r="H59" s="62" t="s">
        <v>51</v>
      </c>
      <c r="I59" s="66" t="s">
        <v>152</v>
      </c>
      <c r="J59" s="62" t="s">
        <v>40</v>
      </c>
      <c r="K59" s="67" t="s">
        <v>153</v>
      </c>
      <c r="L59" s="70"/>
      <c r="M59" s="62"/>
      <c r="N59" s="62"/>
      <c r="O59" s="69"/>
      <c r="P59" s="59" t="s">
        <v>42</v>
      </c>
      <c r="Q59" s="73" t="s">
        <v>43</v>
      </c>
      <c r="R59" s="62"/>
    </row>
    <row r="60" ht="41.4" spans="1:18">
      <c r="A60" s="58">
        <v>37</v>
      </c>
      <c r="B60" s="59">
        <v>45660</v>
      </c>
      <c r="C60" s="60" t="s">
        <v>154</v>
      </c>
      <c r="D60" s="61" t="s">
        <v>72</v>
      </c>
      <c r="E60" s="62" t="s">
        <v>73</v>
      </c>
      <c r="F60" s="62" t="s">
        <v>36</v>
      </c>
      <c r="G60" s="62" t="s">
        <v>74</v>
      </c>
      <c r="H60" s="62" t="s">
        <v>94</v>
      </c>
      <c r="I60" s="66" t="s">
        <v>155</v>
      </c>
      <c r="J60" s="62" t="s">
        <v>88</v>
      </c>
      <c r="K60" s="67" t="s">
        <v>156</v>
      </c>
      <c r="L60" s="70"/>
      <c r="M60" s="62"/>
      <c r="N60" s="62"/>
      <c r="O60" s="69"/>
      <c r="P60" s="59" t="s">
        <v>42</v>
      </c>
      <c r="Q60" s="73" t="s">
        <v>43</v>
      </c>
      <c r="R60" s="62"/>
    </row>
    <row r="61" ht="27.6" spans="1:18">
      <c r="A61" s="58">
        <v>38</v>
      </c>
      <c r="B61" s="59">
        <v>45669</v>
      </c>
      <c r="C61" s="64" t="s">
        <v>157</v>
      </c>
      <c r="D61" s="61" t="s">
        <v>72</v>
      </c>
      <c r="E61" s="62" t="s">
        <v>73</v>
      </c>
      <c r="F61" s="62" t="s">
        <v>36</v>
      </c>
      <c r="G61" s="62" t="s">
        <v>45</v>
      </c>
      <c r="H61" s="62" t="s">
        <v>38</v>
      </c>
      <c r="I61" s="66" t="s">
        <v>158</v>
      </c>
      <c r="J61" s="62" t="s">
        <v>88</v>
      </c>
      <c r="K61" s="67" t="s">
        <v>159</v>
      </c>
      <c r="L61" s="70"/>
      <c r="M61" s="62"/>
      <c r="N61" s="62"/>
      <c r="O61" s="69"/>
      <c r="P61" s="59" t="s">
        <v>42</v>
      </c>
      <c r="Q61" s="73" t="s">
        <v>43</v>
      </c>
      <c r="R61" s="62"/>
    </row>
    <row r="62" ht="41.4" spans="1:18">
      <c r="A62" s="58">
        <v>39</v>
      </c>
      <c r="B62" s="59">
        <v>45669</v>
      </c>
      <c r="C62" s="60" t="s">
        <v>147</v>
      </c>
      <c r="D62" s="61" t="s">
        <v>72</v>
      </c>
      <c r="E62" s="62" t="s">
        <v>73</v>
      </c>
      <c r="F62" s="62" t="s">
        <v>50</v>
      </c>
      <c r="G62" s="62" t="s">
        <v>82</v>
      </c>
      <c r="H62" s="62" t="s">
        <v>46</v>
      </c>
      <c r="I62" s="66" t="s">
        <v>160</v>
      </c>
      <c r="J62" s="62" t="s">
        <v>53</v>
      </c>
      <c r="K62" s="67" t="s">
        <v>161</v>
      </c>
      <c r="L62" s="70"/>
      <c r="M62" s="62"/>
      <c r="N62" s="62"/>
      <c r="O62" s="69"/>
      <c r="P62" s="59" t="s">
        <v>42</v>
      </c>
      <c r="Q62" s="73" t="s">
        <v>43</v>
      </c>
      <c r="R62" s="62"/>
    </row>
    <row r="63" ht="41.4" spans="1:18">
      <c r="A63" s="58">
        <v>40</v>
      </c>
      <c r="B63" s="59">
        <v>45661</v>
      </c>
      <c r="C63" s="64" t="s">
        <v>162</v>
      </c>
      <c r="D63" s="61" t="s">
        <v>72</v>
      </c>
      <c r="E63" s="62" t="s">
        <v>163</v>
      </c>
      <c r="F63" s="65" t="s">
        <v>36</v>
      </c>
      <c r="G63" s="65" t="s">
        <v>37</v>
      </c>
      <c r="H63" s="65" t="s">
        <v>66</v>
      </c>
      <c r="I63" s="66" t="s">
        <v>164</v>
      </c>
      <c r="J63" s="65" t="s">
        <v>118</v>
      </c>
      <c r="K63" s="67" t="s">
        <v>165</v>
      </c>
      <c r="L63" s="70"/>
      <c r="M63" s="65"/>
      <c r="N63" s="65"/>
      <c r="O63" s="69"/>
      <c r="P63" s="59" t="s">
        <v>42</v>
      </c>
      <c r="Q63" s="73" t="s">
        <v>43</v>
      </c>
      <c r="R63" s="65"/>
    </row>
    <row r="64" ht="27.6" spans="1:18">
      <c r="A64" s="58">
        <v>41</v>
      </c>
      <c r="B64" s="59">
        <v>45663</v>
      </c>
      <c r="C64" s="60" t="s">
        <v>71</v>
      </c>
      <c r="D64" s="61" t="s">
        <v>72</v>
      </c>
      <c r="E64" s="62" t="s">
        <v>73</v>
      </c>
      <c r="F64" s="62" t="s">
        <v>36</v>
      </c>
      <c r="G64" s="62" t="s">
        <v>37</v>
      </c>
      <c r="H64" s="62" t="s">
        <v>66</v>
      </c>
      <c r="I64" s="66" t="s">
        <v>166</v>
      </c>
      <c r="J64" s="62" t="s">
        <v>40</v>
      </c>
      <c r="K64" s="67" t="s">
        <v>167</v>
      </c>
      <c r="L64" s="70"/>
      <c r="M64" s="62"/>
      <c r="N64" s="62"/>
      <c r="O64" s="69"/>
      <c r="P64" s="59" t="s">
        <v>42</v>
      </c>
      <c r="Q64" s="73" t="s">
        <v>43</v>
      </c>
      <c r="R64" s="62"/>
    </row>
    <row r="65" ht="27.6" spans="1:18">
      <c r="A65" s="58">
        <v>42</v>
      </c>
      <c r="B65" s="59">
        <v>45664</v>
      </c>
      <c r="C65" s="60" t="s">
        <v>71</v>
      </c>
      <c r="D65" s="61" t="s">
        <v>72</v>
      </c>
      <c r="E65" s="62" t="s">
        <v>73</v>
      </c>
      <c r="F65" s="62" t="s">
        <v>36</v>
      </c>
      <c r="G65" s="62" t="s">
        <v>65</v>
      </c>
      <c r="H65" s="62" t="s">
        <v>150</v>
      </c>
      <c r="I65" s="66" t="s">
        <v>168</v>
      </c>
      <c r="J65" s="62" t="s">
        <v>91</v>
      </c>
      <c r="K65" s="67" t="s">
        <v>169</v>
      </c>
      <c r="L65" s="70"/>
      <c r="M65" s="62"/>
      <c r="N65" s="62"/>
      <c r="O65" s="69"/>
      <c r="P65" s="59" t="s">
        <v>42</v>
      </c>
      <c r="Q65" s="73" t="s">
        <v>43</v>
      </c>
      <c r="R65" s="62"/>
    </row>
    <row r="66" ht="27.6" spans="1:18">
      <c r="A66" s="58">
        <v>43</v>
      </c>
      <c r="B66" s="59">
        <v>45664</v>
      </c>
      <c r="C66" s="60" t="s">
        <v>71</v>
      </c>
      <c r="D66" s="61" t="s">
        <v>72</v>
      </c>
      <c r="E66" s="62" t="s">
        <v>73</v>
      </c>
      <c r="F66" s="62" t="s">
        <v>36</v>
      </c>
      <c r="G66" s="62" t="s">
        <v>55</v>
      </c>
      <c r="H66" s="62" t="s">
        <v>66</v>
      </c>
      <c r="I66" s="66" t="s">
        <v>170</v>
      </c>
      <c r="J66" s="62" t="s">
        <v>91</v>
      </c>
      <c r="K66" s="67" t="s">
        <v>171</v>
      </c>
      <c r="L66" s="70"/>
      <c r="M66" s="62"/>
      <c r="N66" s="62"/>
      <c r="O66" s="69"/>
      <c r="P66" s="59" t="s">
        <v>42</v>
      </c>
      <c r="Q66" s="73" t="s">
        <v>43</v>
      </c>
      <c r="R66" s="62"/>
    </row>
    <row r="67" ht="41.4" spans="1:18">
      <c r="A67" s="58">
        <v>44</v>
      </c>
      <c r="B67" s="59">
        <v>45665</v>
      </c>
      <c r="C67" s="60" t="s">
        <v>71</v>
      </c>
      <c r="D67" s="61" t="s">
        <v>72</v>
      </c>
      <c r="E67" s="62" t="s">
        <v>73</v>
      </c>
      <c r="F67" s="62" t="s">
        <v>36</v>
      </c>
      <c r="G67" s="62" t="s">
        <v>55</v>
      </c>
      <c r="H67" s="62" t="s">
        <v>38</v>
      </c>
      <c r="I67" s="66" t="s">
        <v>172</v>
      </c>
      <c r="J67" s="62" t="s">
        <v>40</v>
      </c>
      <c r="K67" s="67" t="s">
        <v>173</v>
      </c>
      <c r="L67" s="70"/>
      <c r="M67" s="62"/>
      <c r="N67" s="62"/>
      <c r="O67" s="69"/>
      <c r="P67" s="59" t="s">
        <v>42</v>
      </c>
      <c r="Q67" s="73" t="s">
        <v>43</v>
      </c>
      <c r="R67" s="62"/>
    </row>
    <row r="68" ht="41.4" spans="1:18">
      <c r="A68" s="58">
        <v>45</v>
      </c>
      <c r="B68" s="59">
        <v>45669</v>
      </c>
      <c r="C68" s="60" t="s">
        <v>71</v>
      </c>
      <c r="D68" s="61" t="s">
        <v>72</v>
      </c>
      <c r="E68" s="62" t="s">
        <v>73</v>
      </c>
      <c r="F68" s="62" t="s">
        <v>36</v>
      </c>
      <c r="G68" s="62" t="s">
        <v>74</v>
      </c>
      <c r="H68" s="62" t="s">
        <v>51</v>
      </c>
      <c r="I68" s="66" t="s">
        <v>174</v>
      </c>
      <c r="J68" s="62" t="s">
        <v>91</v>
      </c>
      <c r="K68" s="67" t="s">
        <v>175</v>
      </c>
      <c r="L68" s="70"/>
      <c r="M68" s="62"/>
      <c r="N68" s="62"/>
      <c r="O68" s="69"/>
      <c r="P68" s="59" t="s">
        <v>42</v>
      </c>
      <c r="Q68" s="73" t="s">
        <v>43</v>
      </c>
      <c r="R68" s="62"/>
    </row>
    <row r="69" ht="27.6" spans="1:18">
      <c r="A69" s="58">
        <v>46</v>
      </c>
      <c r="B69" s="59">
        <v>45668</v>
      </c>
      <c r="C69" s="60" t="s">
        <v>71</v>
      </c>
      <c r="D69" s="61" t="s">
        <v>72</v>
      </c>
      <c r="E69" s="63" t="s">
        <v>73</v>
      </c>
      <c r="F69" s="62" t="s">
        <v>50</v>
      </c>
      <c r="G69" s="62" t="s">
        <v>82</v>
      </c>
      <c r="H69" s="62" t="s">
        <v>150</v>
      </c>
      <c r="I69" s="66" t="s">
        <v>151</v>
      </c>
      <c r="J69" s="62" t="s">
        <v>40</v>
      </c>
      <c r="K69" s="67" t="s">
        <v>109</v>
      </c>
      <c r="L69" s="70"/>
      <c r="M69" s="62"/>
      <c r="N69" s="62"/>
      <c r="O69" s="69"/>
      <c r="P69" s="59" t="s">
        <v>42</v>
      </c>
      <c r="Q69" s="73" t="s">
        <v>43</v>
      </c>
      <c r="R69" s="62"/>
    </row>
    <row r="70" ht="41.4" spans="1:18">
      <c r="A70" s="58">
        <v>47</v>
      </c>
      <c r="B70" s="59">
        <v>45664</v>
      </c>
      <c r="C70" s="60" t="s">
        <v>71</v>
      </c>
      <c r="D70" s="61" t="s">
        <v>72</v>
      </c>
      <c r="E70" s="62" t="s">
        <v>73</v>
      </c>
      <c r="F70" s="62" t="s">
        <v>36</v>
      </c>
      <c r="G70" s="62" t="s">
        <v>55</v>
      </c>
      <c r="H70" s="62" t="s">
        <v>38</v>
      </c>
      <c r="I70" s="66" t="s">
        <v>176</v>
      </c>
      <c r="J70" s="62" t="s">
        <v>88</v>
      </c>
      <c r="K70" s="67" t="s">
        <v>177</v>
      </c>
      <c r="L70" s="70"/>
      <c r="M70" s="62"/>
      <c r="N70" s="62"/>
      <c r="O70" s="69"/>
      <c r="P70" s="59" t="s">
        <v>42</v>
      </c>
      <c r="Q70" s="73" t="s">
        <v>43</v>
      </c>
      <c r="R70" s="62"/>
    </row>
    <row r="71" ht="27.6" spans="1:18">
      <c r="A71" s="58">
        <v>48</v>
      </c>
      <c r="B71" s="59">
        <v>45661</v>
      </c>
      <c r="C71" s="60" t="s">
        <v>34</v>
      </c>
      <c r="D71" s="61" t="s">
        <v>35</v>
      </c>
      <c r="E71" s="62"/>
      <c r="F71" s="62" t="s">
        <v>36</v>
      </c>
      <c r="G71" s="62" t="s">
        <v>131</v>
      </c>
      <c r="H71" s="62" t="s">
        <v>56</v>
      </c>
      <c r="I71" s="66" t="s">
        <v>178</v>
      </c>
      <c r="J71" s="62" t="s">
        <v>40</v>
      </c>
      <c r="K71" s="67" t="s">
        <v>179</v>
      </c>
      <c r="L71" s="70"/>
      <c r="M71" s="62"/>
      <c r="N71" s="62"/>
      <c r="O71" s="69"/>
      <c r="P71" s="59" t="s">
        <v>42</v>
      </c>
      <c r="Q71" s="73" t="s">
        <v>43</v>
      </c>
      <c r="R71" s="62"/>
    </row>
    <row r="72" ht="27.6" spans="1:18">
      <c r="A72" s="58">
        <v>49</v>
      </c>
      <c r="B72" s="59">
        <v>45662</v>
      </c>
      <c r="C72" s="60" t="s">
        <v>180</v>
      </c>
      <c r="D72" s="61" t="s">
        <v>35</v>
      </c>
      <c r="E72" s="62"/>
      <c r="F72" s="62" t="s">
        <v>36</v>
      </c>
      <c r="G72" s="62" t="s">
        <v>61</v>
      </c>
      <c r="H72" s="62" t="s">
        <v>38</v>
      </c>
      <c r="I72" s="66" t="s">
        <v>181</v>
      </c>
      <c r="J72" s="62" t="s">
        <v>40</v>
      </c>
      <c r="K72" s="67" t="s">
        <v>182</v>
      </c>
      <c r="L72" s="70"/>
      <c r="M72" s="62"/>
      <c r="N72" s="62"/>
      <c r="O72" s="69"/>
      <c r="P72" s="59" t="s">
        <v>42</v>
      </c>
      <c r="Q72" s="73" t="s">
        <v>43</v>
      </c>
      <c r="R72" s="62"/>
    </row>
    <row r="73" ht="13.8" spans="1:18">
      <c r="A73" s="58">
        <v>50</v>
      </c>
      <c r="B73" s="59">
        <v>45661</v>
      </c>
      <c r="C73" s="60" t="s">
        <v>183</v>
      </c>
      <c r="D73" s="61" t="s">
        <v>35</v>
      </c>
      <c r="E73" s="62"/>
      <c r="F73" s="62" t="s">
        <v>36</v>
      </c>
      <c r="G73" s="62" t="s">
        <v>74</v>
      </c>
      <c r="H73" s="62" t="s">
        <v>38</v>
      </c>
      <c r="I73" s="66" t="s">
        <v>184</v>
      </c>
      <c r="J73" s="62" t="s">
        <v>40</v>
      </c>
      <c r="K73" s="67" t="s">
        <v>185</v>
      </c>
      <c r="L73" s="70"/>
      <c r="M73" s="62"/>
      <c r="N73" s="62"/>
      <c r="O73" s="69"/>
      <c r="P73" s="59" t="s">
        <v>42</v>
      </c>
      <c r="Q73" s="73" t="s">
        <v>43</v>
      </c>
      <c r="R73" s="62"/>
    </row>
    <row r="74" ht="13.8" spans="1:18">
      <c r="A74" s="58">
        <v>51</v>
      </c>
      <c r="B74" s="59">
        <v>45663</v>
      </c>
      <c r="C74" s="64" t="s">
        <v>186</v>
      </c>
      <c r="D74" s="61" t="s">
        <v>35</v>
      </c>
      <c r="E74" s="62"/>
      <c r="F74" s="62" t="s">
        <v>36</v>
      </c>
      <c r="G74" s="62" t="s">
        <v>82</v>
      </c>
      <c r="H74" s="62" t="s">
        <v>56</v>
      </c>
      <c r="I74" s="66" t="s">
        <v>187</v>
      </c>
      <c r="J74" s="62" t="s">
        <v>40</v>
      </c>
      <c r="K74" s="67" t="s">
        <v>188</v>
      </c>
      <c r="L74" s="70"/>
      <c r="M74" s="62"/>
      <c r="N74" s="62"/>
      <c r="O74" s="69"/>
      <c r="P74" s="59" t="s">
        <v>42</v>
      </c>
      <c r="Q74" s="73" t="s">
        <v>43</v>
      </c>
      <c r="R74" s="62"/>
    </row>
    <row r="75" ht="27.6" spans="1:18">
      <c r="A75" s="58">
        <v>52</v>
      </c>
      <c r="B75" s="59">
        <v>45666</v>
      </c>
      <c r="C75" s="64" t="s">
        <v>34</v>
      </c>
      <c r="D75" s="61" t="s">
        <v>35</v>
      </c>
      <c r="E75" s="62"/>
      <c r="F75" s="62" t="s">
        <v>50</v>
      </c>
      <c r="G75" s="62" t="s">
        <v>74</v>
      </c>
      <c r="H75" s="62" t="s">
        <v>38</v>
      </c>
      <c r="I75" s="66" t="s">
        <v>189</v>
      </c>
      <c r="J75" s="62" t="s">
        <v>53</v>
      </c>
      <c r="K75" s="67" t="s">
        <v>190</v>
      </c>
      <c r="L75" s="70"/>
      <c r="M75" s="62"/>
      <c r="N75" s="62"/>
      <c r="O75" s="69"/>
      <c r="P75" s="59" t="s">
        <v>42</v>
      </c>
      <c r="Q75" s="73" t="s">
        <v>43</v>
      </c>
      <c r="R75" s="62"/>
    </row>
    <row r="76" ht="13.8" spans="1:18">
      <c r="A76" s="58">
        <v>53</v>
      </c>
      <c r="B76" s="59">
        <v>45663</v>
      </c>
      <c r="C76" s="60" t="s">
        <v>191</v>
      </c>
      <c r="D76" s="61" t="s">
        <v>35</v>
      </c>
      <c r="E76" s="62"/>
      <c r="F76" s="62" t="s">
        <v>192</v>
      </c>
      <c r="G76" s="62" t="s">
        <v>45</v>
      </c>
      <c r="H76" s="62" t="s">
        <v>132</v>
      </c>
      <c r="I76" s="66" t="s">
        <v>193</v>
      </c>
      <c r="J76" s="62" t="s">
        <v>137</v>
      </c>
      <c r="K76" s="67" t="s">
        <v>194</v>
      </c>
      <c r="L76" s="70"/>
      <c r="M76" s="62"/>
      <c r="N76" s="62"/>
      <c r="O76" s="69"/>
      <c r="P76" s="59" t="s">
        <v>42</v>
      </c>
      <c r="Q76" s="62" t="s">
        <v>8</v>
      </c>
      <c r="R76" s="62"/>
    </row>
    <row r="77" ht="13.8" spans="1:18">
      <c r="A77" s="58">
        <v>54</v>
      </c>
      <c r="B77" s="59">
        <v>45663</v>
      </c>
      <c r="C77" s="60" t="s">
        <v>195</v>
      </c>
      <c r="D77" s="61" t="s">
        <v>35</v>
      </c>
      <c r="E77" s="62"/>
      <c r="F77" s="62" t="s">
        <v>50</v>
      </c>
      <c r="G77" s="62" t="s">
        <v>74</v>
      </c>
      <c r="H77" s="62" t="s">
        <v>94</v>
      </c>
      <c r="I77" s="66" t="s">
        <v>196</v>
      </c>
      <c r="J77" s="62" t="s">
        <v>91</v>
      </c>
      <c r="K77" s="67" t="s">
        <v>197</v>
      </c>
      <c r="L77" s="70"/>
      <c r="M77" s="62"/>
      <c r="N77" s="62"/>
      <c r="O77" s="69"/>
      <c r="P77" s="59" t="s">
        <v>42</v>
      </c>
      <c r="Q77" s="73" t="s">
        <v>43</v>
      </c>
      <c r="R77" s="62"/>
    </row>
    <row r="78" ht="27.6" spans="1:18">
      <c r="A78" s="58">
        <v>55</v>
      </c>
      <c r="B78" s="59">
        <v>45664</v>
      </c>
      <c r="C78" s="60" t="s">
        <v>198</v>
      </c>
      <c r="D78" s="61" t="s">
        <v>35</v>
      </c>
      <c r="E78" s="62"/>
      <c r="F78" s="62" t="s">
        <v>50</v>
      </c>
      <c r="G78" s="62" t="s">
        <v>82</v>
      </c>
      <c r="H78" s="62" t="s">
        <v>51</v>
      </c>
      <c r="I78" s="66" t="s">
        <v>199</v>
      </c>
      <c r="J78" s="62" t="s">
        <v>53</v>
      </c>
      <c r="K78" s="67" t="s">
        <v>200</v>
      </c>
      <c r="L78" s="70"/>
      <c r="M78" s="62"/>
      <c r="N78" s="62"/>
      <c r="O78" s="69"/>
      <c r="P78" s="59" t="s">
        <v>42</v>
      </c>
      <c r="Q78" s="73" t="s">
        <v>43</v>
      </c>
      <c r="R78" s="62"/>
    </row>
    <row r="79" ht="27.6" spans="1:18">
      <c r="A79" s="58">
        <v>56</v>
      </c>
      <c r="B79" s="59">
        <v>45665</v>
      </c>
      <c r="C79" s="60" t="s">
        <v>201</v>
      </c>
      <c r="D79" s="61" t="s">
        <v>35</v>
      </c>
      <c r="E79" s="62"/>
      <c r="F79" s="62" t="s">
        <v>135</v>
      </c>
      <c r="G79" s="62" t="s">
        <v>74</v>
      </c>
      <c r="H79" s="62" t="s">
        <v>202</v>
      </c>
      <c r="I79" s="66" t="s">
        <v>203</v>
      </c>
      <c r="J79" s="62" t="s">
        <v>137</v>
      </c>
      <c r="K79" s="67" t="s">
        <v>204</v>
      </c>
      <c r="L79" s="70"/>
      <c r="M79" s="62"/>
      <c r="N79" s="62"/>
      <c r="O79" s="69"/>
      <c r="P79" s="59" t="s">
        <v>42</v>
      </c>
      <c r="Q79" s="62" t="s">
        <v>8</v>
      </c>
      <c r="R79" s="62"/>
    </row>
    <row r="80" ht="27.6" spans="1:18">
      <c r="A80" s="58">
        <v>57</v>
      </c>
      <c r="B80" s="59">
        <v>45667</v>
      </c>
      <c r="C80" s="60" t="s">
        <v>205</v>
      </c>
      <c r="D80" s="61" t="s">
        <v>35</v>
      </c>
      <c r="E80" s="62"/>
      <c r="F80" s="62" t="s">
        <v>36</v>
      </c>
      <c r="G80" s="62" t="s">
        <v>45</v>
      </c>
      <c r="H80" s="62" t="s">
        <v>56</v>
      </c>
      <c r="I80" s="66" t="s">
        <v>206</v>
      </c>
      <c r="J80" s="62" t="s">
        <v>53</v>
      </c>
      <c r="K80" s="67" t="s">
        <v>207</v>
      </c>
      <c r="L80" s="70"/>
      <c r="M80" s="62"/>
      <c r="N80" s="62"/>
      <c r="O80" s="69"/>
      <c r="P80" s="59" t="s">
        <v>42</v>
      </c>
      <c r="Q80" s="73" t="s">
        <v>43</v>
      </c>
      <c r="R80" s="62"/>
    </row>
    <row r="81" ht="27.6" spans="1:18">
      <c r="A81" s="58">
        <v>58</v>
      </c>
      <c r="B81" s="59">
        <v>45667</v>
      </c>
      <c r="C81" s="60" t="s">
        <v>208</v>
      </c>
      <c r="D81" s="61" t="s">
        <v>35</v>
      </c>
      <c r="E81" s="62"/>
      <c r="F81" s="62" t="s">
        <v>135</v>
      </c>
      <c r="G81" s="62" t="s">
        <v>74</v>
      </c>
      <c r="H81" s="62" t="s">
        <v>132</v>
      </c>
      <c r="I81" s="66" t="s">
        <v>209</v>
      </c>
      <c r="J81" s="62" t="s">
        <v>137</v>
      </c>
      <c r="K81" s="67" t="s">
        <v>210</v>
      </c>
      <c r="L81" s="70"/>
      <c r="M81" s="62"/>
      <c r="N81" s="62"/>
      <c r="O81" s="69"/>
      <c r="P81" s="59" t="s">
        <v>42</v>
      </c>
      <c r="Q81" s="62" t="s">
        <v>8</v>
      </c>
      <c r="R81" s="62"/>
    </row>
    <row r="82" ht="27.6" spans="1:18">
      <c r="A82" s="58">
        <v>59</v>
      </c>
      <c r="B82" s="59">
        <v>45663</v>
      </c>
      <c r="C82" s="60" t="s">
        <v>34</v>
      </c>
      <c r="D82" s="61" t="s">
        <v>35</v>
      </c>
      <c r="E82" s="62"/>
      <c r="F82" s="62" t="s">
        <v>36</v>
      </c>
      <c r="G82" s="62" t="s">
        <v>82</v>
      </c>
      <c r="H82" s="62" t="s">
        <v>56</v>
      </c>
      <c r="I82" s="66" t="s">
        <v>211</v>
      </c>
      <c r="J82" s="62" t="s">
        <v>40</v>
      </c>
      <c r="K82" s="67" t="s">
        <v>212</v>
      </c>
      <c r="L82" s="70"/>
      <c r="M82" s="62"/>
      <c r="N82" s="62"/>
      <c r="O82" s="69"/>
      <c r="P82" s="59" t="s">
        <v>42</v>
      </c>
      <c r="Q82" s="73" t="s">
        <v>43</v>
      </c>
      <c r="R82" s="62"/>
    </row>
    <row r="83" ht="69" spans="1:18">
      <c r="A83" s="58">
        <v>60</v>
      </c>
      <c r="B83" s="59">
        <v>45661</v>
      </c>
      <c r="C83" s="60" t="s">
        <v>49</v>
      </c>
      <c r="D83" s="61" t="s">
        <v>35</v>
      </c>
      <c r="E83" s="62"/>
      <c r="F83" s="62" t="s">
        <v>50</v>
      </c>
      <c r="G83" s="62" t="s">
        <v>74</v>
      </c>
      <c r="H83" s="62" t="s">
        <v>66</v>
      </c>
      <c r="I83" s="66" t="s">
        <v>213</v>
      </c>
      <c r="J83" s="62" t="s">
        <v>53</v>
      </c>
      <c r="K83" s="67" t="s">
        <v>214</v>
      </c>
      <c r="L83" s="70"/>
      <c r="M83" s="62"/>
      <c r="N83" s="62"/>
      <c r="O83" s="69"/>
      <c r="P83" s="59" t="s">
        <v>42</v>
      </c>
      <c r="Q83" s="73" t="s">
        <v>43</v>
      </c>
      <c r="R83" s="62"/>
    </row>
    <row r="84" ht="27.6" spans="1:18">
      <c r="A84" s="58">
        <v>61</v>
      </c>
      <c r="B84" s="74">
        <v>45665</v>
      </c>
      <c r="C84" s="60" t="s">
        <v>191</v>
      </c>
      <c r="D84" s="61" t="s">
        <v>35</v>
      </c>
      <c r="E84" s="62"/>
      <c r="F84" s="62" t="s">
        <v>36</v>
      </c>
      <c r="G84" s="62" t="s">
        <v>74</v>
      </c>
      <c r="H84" s="62" t="s">
        <v>56</v>
      </c>
      <c r="I84" s="66" t="s">
        <v>215</v>
      </c>
      <c r="J84" s="62" t="s">
        <v>91</v>
      </c>
      <c r="K84" s="67" t="s">
        <v>216</v>
      </c>
      <c r="L84" s="70"/>
      <c r="M84" s="62"/>
      <c r="N84" s="62"/>
      <c r="O84" s="69"/>
      <c r="P84" s="59" t="s">
        <v>42</v>
      </c>
      <c r="Q84" s="73" t="s">
        <v>43</v>
      </c>
      <c r="R84" s="62"/>
    </row>
    <row r="85" ht="27.6" spans="1:18">
      <c r="A85" s="58">
        <v>62</v>
      </c>
      <c r="B85" s="74">
        <v>45662</v>
      </c>
      <c r="C85" s="64" t="s">
        <v>34</v>
      </c>
      <c r="D85" s="61" t="s">
        <v>35</v>
      </c>
      <c r="E85" s="62"/>
      <c r="F85" s="62" t="s">
        <v>50</v>
      </c>
      <c r="G85" s="62" t="s">
        <v>74</v>
      </c>
      <c r="H85" s="62" t="s">
        <v>51</v>
      </c>
      <c r="I85" s="66" t="s">
        <v>217</v>
      </c>
      <c r="J85" s="62" t="s">
        <v>53</v>
      </c>
      <c r="K85" s="67" t="s">
        <v>218</v>
      </c>
      <c r="L85" s="70"/>
      <c r="M85" s="62"/>
      <c r="N85" s="62"/>
      <c r="O85" s="69"/>
      <c r="P85" s="59" t="s">
        <v>42</v>
      </c>
      <c r="Q85" s="73" t="s">
        <v>43</v>
      </c>
      <c r="R85" s="62"/>
    </row>
    <row r="86" ht="27.6" spans="1:18">
      <c r="A86" s="58">
        <v>63</v>
      </c>
      <c r="B86" s="74">
        <v>45664</v>
      </c>
      <c r="C86" s="60" t="s">
        <v>205</v>
      </c>
      <c r="D86" s="61" t="s">
        <v>35</v>
      </c>
      <c r="E86" s="62"/>
      <c r="F86" s="62" t="s">
        <v>36</v>
      </c>
      <c r="G86" s="62" t="s">
        <v>82</v>
      </c>
      <c r="H86" s="62" t="s">
        <v>38</v>
      </c>
      <c r="I86" s="66" t="s">
        <v>219</v>
      </c>
      <c r="J86" s="62" t="s">
        <v>91</v>
      </c>
      <c r="K86" s="67" t="s">
        <v>220</v>
      </c>
      <c r="L86" s="70"/>
      <c r="M86" s="62"/>
      <c r="N86" s="62"/>
      <c r="O86" s="69"/>
      <c r="P86" s="59" t="s">
        <v>42</v>
      </c>
      <c r="Q86" s="73" t="s">
        <v>43</v>
      </c>
      <c r="R86" s="62"/>
    </row>
    <row r="87" ht="13.8" spans="1:18">
      <c r="A87" s="58">
        <v>64</v>
      </c>
      <c r="B87" s="74">
        <v>45666</v>
      </c>
      <c r="C87" s="60" t="s">
        <v>198</v>
      </c>
      <c r="D87" s="61" t="s">
        <v>35</v>
      </c>
      <c r="E87" s="62"/>
      <c r="F87" s="62" t="s">
        <v>50</v>
      </c>
      <c r="G87" s="62" t="s">
        <v>61</v>
      </c>
      <c r="H87" s="62" t="s">
        <v>51</v>
      </c>
      <c r="I87" s="66" t="s">
        <v>221</v>
      </c>
      <c r="J87" s="62" t="s">
        <v>40</v>
      </c>
      <c r="K87" s="67" t="s">
        <v>222</v>
      </c>
      <c r="L87" s="70"/>
      <c r="M87" s="62"/>
      <c r="N87" s="62"/>
      <c r="O87" s="69"/>
      <c r="P87" s="59" t="s">
        <v>42</v>
      </c>
      <c r="Q87" s="73" t="s">
        <v>43</v>
      </c>
      <c r="R87" s="62"/>
    </row>
    <row r="88" ht="41.4" spans="1:18">
      <c r="A88" s="58">
        <v>65</v>
      </c>
      <c r="B88" s="74">
        <v>45673</v>
      </c>
      <c r="C88" s="60" t="s">
        <v>147</v>
      </c>
      <c r="D88" s="61" t="s">
        <v>72</v>
      </c>
      <c r="E88" s="62" t="s">
        <v>73</v>
      </c>
      <c r="F88" s="62" t="s">
        <v>36</v>
      </c>
      <c r="G88" s="62" t="s">
        <v>37</v>
      </c>
      <c r="H88" s="62" t="s">
        <v>132</v>
      </c>
      <c r="I88" s="66" t="s">
        <v>223</v>
      </c>
      <c r="J88" s="62" t="s">
        <v>40</v>
      </c>
      <c r="K88" s="67" t="s">
        <v>224</v>
      </c>
      <c r="L88" s="70"/>
      <c r="M88" s="62"/>
      <c r="N88" s="62"/>
      <c r="O88" s="69"/>
      <c r="P88" s="59" t="s">
        <v>42</v>
      </c>
      <c r="Q88" s="73" t="s">
        <v>43</v>
      </c>
      <c r="R88" s="62"/>
    </row>
    <row r="89" ht="82.8" spans="1:18">
      <c r="A89" s="58">
        <v>66</v>
      </c>
      <c r="B89" s="74">
        <v>45673</v>
      </c>
      <c r="C89" s="60" t="s">
        <v>147</v>
      </c>
      <c r="D89" s="61" t="s">
        <v>72</v>
      </c>
      <c r="E89" s="62" t="s">
        <v>73</v>
      </c>
      <c r="F89" s="62" t="s">
        <v>50</v>
      </c>
      <c r="G89" s="62" t="s">
        <v>82</v>
      </c>
      <c r="H89" s="62" t="s">
        <v>94</v>
      </c>
      <c r="I89" s="66" t="s">
        <v>225</v>
      </c>
      <c r="J89" s="62" t="s">
        <v>91</v>
      </c>
      <c r="K89" s="67" t="s">
        <v>226</v>
      </c>
      <c r="L89" s="70"/>
      <c r="M89" s="62"/>
      <c r="N89" s="62"/>
      <c r="O89" s="69"/>
      <c r="P89" s="59" t="s">
        <v>42</v>
      </c>
      <c r="Q89" s="73" t="s">
        <v>43</v>
      </c>
      <c r="R89" s="62"/>
    </row>
    <row r="90" ht="41.4" spans="1:18">
      <c r="A90" s="58">
        <v>67</v>
      </c>
      <c r="B90" s="74">
        <v>45670</v>
      </c>
      <c r="C90" s="60" t="s">
        <v>157</v>
      </c>
      <c r="D90" s="61" t="s">
        <v>72</v>
      </c>
      <c r="E90" s="62" t="s">
        <v>73</v>
      </c>
      <c r="F90" s="62" t="s">
        <v>36</v>
      </c>
      <c r="G90" s="62" t="s">
        <v>37</v>
      </c>
      <c r="H90" s="62" t="s">
        <v>132</v>
      </c>
      <c r="I90" s="66" t="s">
        <v>227</v>
      </c>
      <c r="J90" s="62" t="s">
        <v>40</v>
      </c>
      <c r="K90" s="67" t="s">
        <v>228</v>
      </c>
      <c r="L90" s="70"/>
      <c r="M90" s="62"/>
      <c r="N90" s="62"/>
      <c r="O90" s="69"/>
      <c r="P90" s="59" t="s">
        <v>42</v>
      </c>
      <c r="Q90" s="73" t="s">
        <v>43</v>
      </c>
      <c r="R90" s="62"/>
    </row>
    <row r="91" ht="13.8" spans="1:18">
      <c r="A91" s="58">
        <v>68</v>
      </c>
      <c r="B91" s="74">
        <v>45671</v>
      </c>
      <c r="C91" s="60" t="s">
        <v>157</v>
      </c>
      <c r="D91" s="61" t="s">
        <v>72</v>
      </c>
      <c r="E91" s="62" t="s">
        <v>73</v>
      </c>
      <c r="F91" s="62" t="s">
        <v>36</v>
      </c>
      <c r="G91" s="62" t="s">
        <v>37</v>
      </c>
      <c r="H91" s="62" t="s">
        <v>94</v>
      </c>
      <c r="I91" s="66" t="s">
        <v>229</v>
      </c>
      <c r="J91" s="62" t="s">
        <v>40</v>
      </c>
      <c r="K91" s="67" t="s">
        <v>230</v>
      </c>
      <c r="L91" s="70"/>
      <c r="M91" s="62"/>
      <c r="N91" s="62"/>
      <c r="O91" s="69"/>
      <c r="P91" s="59" t="s">
        <v>42</v>
      </c>
      <c r="Q91" s="73" t="s">
        <v>43</v>
      </c>
      <c r="R91" s="62"/>
    </row>
    <row r="92" ht="27.6" spans="1:18">
      <c r="A92" s="58">
        <v>69</v>
      </c>
      <c r="B92" s="74">
        <v>45672</v>
      </c>
      <c r="C92" s="60" t="s">
        <v>147</v>
      </c>
      <c r="D92" s="61" t="s">
        <v>72</v>
      </c>
      <c r="E92" s="62" t="s">
        <v>73</v>
      </c>
      <c r="F92" s="62" t="s">
        <v>36</v>
      </c>
      <c r="G92" s="62" t="s">
        <v>231</v>
      </c>
      <c r="H92" s="62" t="s">
        <v>150</v>
      </c>
      <c r="I92" s="66" t="s">
        <v>232</v>
      </c>
      <c r="J92" s="62" t="s">
        <v>40</v>
      </c>
      <c r="K92" s="67" t="s">
        <v>233</v>
      </c>
      <c r="L92" s="70"/>
      <c r="M92" s="62"/>
      <c r="N92" s="62"/>
      <c r="O92" s="69"/>
      <c r="P92" s="59" t="s">
        <v>42</v>
      </c>
      <c r="Q92" s="73" t="s">
        <v>43</v>
      </c>
      <c r="R92" s="62"/>
    </row>
    <row r="93" ht="27.6" spans="1:18">
      <c r="A93" s="58">
        <v>70</v>
      </c>
      <c r="B93" s="74">
        <v>45673</v>
      </c>
      <c r="C93" s="60" t="s">
        <v>147</v>
      </c>
      <c r="D93" s="61" t="s">
        <v>72</v>
      </c>
      <c r="E93" s="62" t="s">
        <v>73</v>
      </c>
      <c r="F93" s="62" t="s">
        <v>50</v>
      </c>
      <c r="G93" s="62" t="s">
        <v>37</v>
      </c>
      <c r="H93" s="62" t="s">
        <v>234</v>
      </c>
      <c r="I93" s="66" t="s">
        <v>235</v>
      </c>
      <c r="J93" s="62" t="s">
        <v>40</v>
      </c>
      <c r="K93" s="67" t="s">
        <v>236</v>
      </c>
      <c r="L93" s="70"/>
      <c r="M93" s="62"/>
      <c r="N93" s="62"/>
      <c r="O93" s="69"/>
      <c r="P93" s="59" t="s">
        <v>42</v>
      </c>
      <c r="Q93" s="73" t="s">
        <v>43</v>
      </c>
      <c r="R93" s="62"/>
    </row>
    <row r="94" ht="27.6" spans="1:18">
      <c r="A94" s="58">
        <v>71</v>
      </c>
      <c r="B94" s="74">
        <v>45674</v>
      </c>
      <c r="C94" s="64" t="s">
        <v>157</v>
      </c>
      <c r="D94" s="61" t="s">
        <v>72</v>
      </c>
      <c r="E94" s="62" t="s">
        <v>73</v>
      </c>
      <c r="F94" s="62" t="s">
        <v>36</v>
      </c>
      <c r="G94" s="62" t="s">
        <v>61</v>
      </c>
      <c r="H94" s="62" t="s">
        <v>38</v>
      </c>
      <c r="I94" s="66" t="s">
        <v>237</v>
      </c>
      <c r="J94" s="62" t="s">
        <v>40</v>
      </c>
      <c r="K94" s="67" t="s">
        <v>238</v>
      </c>
      <c r="L94" s="70"/>
      <c r="M94" s="62"/>
      <c r="N94" s="62"/>
      <c r="O94" s="69"/>
      <c r="P94" s="59" t="s">
        <v>42</v>
      </c>
      <c r="Q94" s="73" t="s">
        <v>43</v>
      </c>
      <c r="R94" s="62"/>
    </row>
    <row r="95" ht="27.6" spans="1:18">
      <c r="A95" s="58">
        <v>72</v>
      </c>
      <c r="B95" s="74">
        <v>45675</v>
      </c>
      <c r="C95" s="60" t="s">
        <v>157</v>
      </c>
      <c r="D95" s="61" t="s">
        <v>72</v>
      </c>
      <c r="E95" s="62" t="s">
        <v>73</v>
      </c>
      <c r="F95" s="63" t="s">
        <v>50</v>
      </c>
      <c r="G95" s="62" t="s">
        <v>55</v>
      </c>
      <c r="H95" s="62" t="s">
        <v>38</v>
      </c>
      <c r="I95" s="66" t="s">
        <v>239</v>
      </c>
      <c r="J95" s="62" t="s">
        <v>40</v>
      </c>
      <c r="K95" s="67" t="s">
        <v>240</v>
      </c>
      <c r="L95" s="70"/>
      <c r="M95" s="62"/>
      <c r="N95" s="62"/>
      <c r="O95" s="69"/>
      <c r="P95" s="59" t="s">
        <v>42</v>
      </c>
      <c r="Q95" s="73" t="s">
        <v>43</v>
      </c>
      <c r="R95" s="62"/>
    </row>
    <row r="96" ht="55.2" spans="1:18">
      <c r="A96" s="58">
        <v>73</v>
      </c>
      <c r="B96" s="74">
        <v>45676</v>
      </c>
      <c r="C96" s="60" t="s">
        <v>157</v>
      </c>
      <c r="D96" s="61" t="s">
        <v>72</v>
      </c>
      <c r="E96" s="62" t="s">
        <v>73</v>
      </c>
      <c r="F96" s="62" t="s">
        <v>36</v>
      </c>
      <c r="G96" s="62" t="s">
        <v>131</v>
      </c>
      <c r="H96" s="62" t="s">
        <v>66</v>
      </c>
      <c r="I96" s="66" t="s">
        <v>241</v>
      </c>
      <c r="J96" s="62" t="s">
        <v>40</v>
      </c>
      <c r="K96" s="67" t="s">
        <v>242</v>
      </c>
      <c r="L96" s="70"/>
      <c r="M96" s="62"/>
      <c r="N96" s="62"/>
      <c r="O96" s="69"/>
      <c r="P96" s="59" t="s">
        <v>42</v>
      </c>
      <c r="Q96" s="73" t="s">
        <v>43</v>
      </c>
      <c r="R96" s="62"/>
    </row>
    <row r="97" ht="27.6" spans="1:18">
      <c r="A97" s="58">
        <v>74</v>
      </c>
      <c r="B97" s="74">
        <v>45670</v>
      </c>
      <c r="C97" s="60" t="s">
        <v>157</v>
      </c>
      <c r="D97" s="61" t="s">
        <v>72</v>
      </c>
      <c r="E97" s="62" t="s">
        <v>73</v>
      </c>
      <c r="F97" s="62" t="s">
        <v>36</v>
      </c>
      <c r="G97" s="62" t="s">
        <v>82</v>
      </c>
      <c r="H97" s="62" t="s">
        <v>132</v>
      </c>
      <c r="I97" s="66" t="s">
        <v>243</v>
      </c>
      <c r="J97" s="62" t="s">
        <v>40</v>
      </c>
      <c r="K97" s="67" t="s">
        <v>244</v>
      </c>
      <c r="L97" s="70"/>
      <c r="M97" s="62"/>
      <c r="N97" s="62"/>
      <c r="O97" s="69"/>
      <c r="P97" s="59" t="s">
        <v>42</v>
      </c>
      <c r="Q97" s="73" t="s">
        <v>43</v>
      </c>
      <c r="R97" s="62"/>
    </row>
    <row r="98" ht="27.6" spans="1:18">
      <c r="A98" s="58">
        <v>75</v>
      </c>
      <c r="B98" s="74">
        <v>45671</v>
      </c>
      <c r="C98" s="64" t="s">
        <v>157</v>
      </c>
      <c r="D98" s="61" t="s">
        <v>72</v>
      </c>
      <c r="E98" s="62" t="s">
        <v>73</v>
      </c>
      <c r="F98" s="62" t="s">
        <v>36</v>
      </c>
      <c r="G98" s="62" t="s">
        <v>131</v>
      </c>
      <c r="H98" s="62" t="s">
        <v>66</v>
      </c>
      <c r="I98" s="66" t="s">
        <v>245</v>
      </c>
      <c r="J98" s="62" t="s">
        <v>88</v>
      </c>
      <c r="K98" s="67" t="s">
        <v>246</v>
      </c>
      <c r="L98" s="70"/>
      <c r="M98" s="62"/>
      <c r="N98" s="62"/>
      <c r="O98" s="69"/>
      <c r="P98" s="59" t="s">
        <v>42</v>
      </c>
      <c r="Q98" s="73" t="s">
        <v>43</v>
      </c>
      <c r="R98" s="62"/>
    </row>
    <row r="99" ht="55.2" spans="1:18">
      <c r="A99" s="58">
        <v>76</v>
      </c>
      <c r="B99" s="74">
        <v>45672</v>
      </c>
      <c r="C99" s="60" t="s">
        <v>147</v>
      </c>
      <c r="D99" s="61" t="s">
        <v>72</v>
      </c>
      <c r="E99" s="62" t="s">
        <v>73</v>
      </c>
      <c r="F99" s="62" t="s">
        <v>36</v>
      </c>
      <c r="G99" s="62" t="s">
        <v>82</v>
      </c>
      <c r="H99" s="62" t="s">
        <v>132</v>
      </c>
      <c r="I99" s="66" t="s">
        <v>247</v>
      </c>
      <c r="J99" s="62" t="s">
        <v>40</v>
      </c>
      <c r="K99" s="67" t="s">
        <v>248</v>
      </c>
      <c r="L99" s="70"/>
      <c r="M99" s="62"/>
      <c r="N99" s="62"/>
      <c r="O99" s="69"/>
      <c r="P99" s="59" t="s">
        <v>42</v>
      </c>
      <c r="Q99" s="73" t="s">
        <v>43</v>
      </c>
      <c r="R99" s="62"/>
    </row>
    <row r="100" ht="13.8" spans="1:18">
      <c r="A100" s="58">
        <v>77</v>
      </c>
      <c r="B100" s="74">
        <v>45673</v>
      </c>
      <c r="C100" s="60" t="s">
        <v>147</v>
      </c>
      <c r="D100" s="61" t="s">
        <v>72</v>
      </c>
      <c r="E100" s="62" t="s">
        <v>73</v>
      </c>
      <c r="F100" s="62" t="s">
        <v>36</v>
      </c>
      <c r="G100" s="62" t="s">
        <v>65</v>
      </c>
      <c r="H100" s="62" t="s">
        <v>132</v>
      </c>
      <c r="I100" s="66" t="s">
        <v>249</v>
      </c>
      <c r="J100" s="62" t="s">
        <v>40</v>
      </c>
      <c r="K100" s="67" t="s">
        <v>250</v>
      </c>
      <c r="L100" s="70"/>
      <c r="M100" s="62"/>
      <c r="N100" s="62"/>
      <c r="O100" s="69"/>
      <c r="P100" s="59" t="s">
        <v>42</v>
      </c>
      <c r="Q100" s="73" t="s">
        <v>43</v>
      </c>
      <c r="R100" s="62"/>
    </row>
    <row r="101" ht="13.8" spans="1:18">
      <c r="A101" s="58">
        <v>78</v>
      </c>
      <c r="B101" s="74">
        <v>45674</v>
      </c>
      <c r="C101" s="60" t="s">
        <v>157</v>
      </c>
      <c r="D101" s="61" t="s">
        <v>72</v>
      </c>
      <c r="E101" s="62" t="s">
        <v>73</v>
      </c>
      <c r="F101" s="62" t="s">
        <v>36</v>
      </c>
      <c r="G101" s="62" t="s">
        <v>93</v>
      </c>
      <c r="H101" s="62" t="s">
        <v>51</v>
      </c>
      <c r="I101" s="66" t="s">
        <v>251</v>
      </c>
      <c r="J101" s="62" t="s">
        <v>40</v>
      </c>
      <c r="K101" s="67" t="s">
        <v>252</v>
      </c>
      <c r="L101" s="70"/>
      <c r="M101" s="62"/>
      <c r="N101" s="62"/>
      <c r="O101" s="69"/>
      <c r="P101" s="59" t="s">
        <v>42</v>
      </c>
      <c r="Q101" s="73" t="s">
        <v>43</v>
      </c>
      <c r="R101" s="62"/>
    </row>
    <row r="102" ht="27.6" spans="1:18">
      <c r="A102" s="58">
        <v>79</v>
      </c>
      <c r="B102" s="74">
        <v>45675</v>
      </c>
      <c r="C102" s="60" t="s">
        <v>157</v>
      </c>
      <c r="D102" s="61" t="s">
        <v>72</v>
      </c>
      <c r="E102" s="62" t="s">
        <v>73</v>
      </c>
      <c r="F102" s="62" t="s">
        <v>36</v>
      </c>
      <c r="G102" s="62" t="s">
        <v>45</v>
      </c>
      <c r="H102" s="62" t="s">
        <v>46</v>
      </c>
      <c r="I102" s="66" t="s">
        <v>253</v>
      </c>
      <c r="J102" s="62" t="s">
        <v>40</v>
      </c>
      <c r="K102" s="67" t="s">
        <v>254</v>
      </c>
      <c r="L102" s="70"/>
      <c r="M102" s="62"/>
      <c r="N102" s="62"/>
      <c r="O102" s="69"/>
      <c r="P102" s="59" t="s">
        <v>42</v>
      </c>
      <c r="Q102" s="73" t="s">
        <v>43</v>
      </c>
      <c r="R102" s="62"/>
    </row>
    <row r="103" ht="27.6" spans="1:18">
      <c r="A103" s="58">
        <v>80</v>
      </c>
      <c r="B103" s="74">
        <v>45676</v>
      </c>
      <c r="C103" s="60" t="s">
        <v>157</v>
      </c>
      <c r="D103" s="61" t="s">
        <v>72</v>
      </c>
      <c r="E103" s="62" t="s">
        <v>73</v>
      </c>
      <c r="F103" s="62" t="s">
        <v>192</v>
      </c>
      <c r="G103" s="62" t="s">
        <v>74</v>
      </c>
      <c r="H103" s="62" t="s">
        <v>66</v>
      </c>
      <c r="I103" s="66" t="s">
        <v>255</v>
      </c>
      <c r="J103" s="62" t="s">
        <v>137</v>
      </c>
      <c r="K103" s="67" t="s">
        <v>256</v>
      </c>
      <c r="L103" s="70"/>
      <c r="M103" s="62"/>
      <c r="N103" s="62"/>
      <c r="O103" s="69"/>
      <c r="P103" s="59" t="s">
        <v>42</v>
      </c>
      <c r="Q103" s="62" t="s">
        <v>8</v>
      </c>
      <c r="R103" s="62"/>
    </row>
    <row r="104" ht="13.8" spans="1:18">
      <c r="A104" s="58">
        <v>81</v>
      </c>
      <c r="B104" s="74">
        <v>45670</v>
      </c>
      <c r="C104" s="60" t="s">
        <v>157</v>
      </c>
      <c r="D104" s="61" t="s">
        <v>72</v>
      </c>
      <c r="E104" s="62" t="s">
        <v>73</v>
      </c>
      <c r="F104" s="62" t="s">
        <v>36</v>
      </c>
      <c r="G104" s="62" t="s">
        <v>131</v>
      </c>
      <c r="H104" s="62" t="s">
        <v>132</v>
      </c>
      <c r="I104" s="66" t="s">
        <v>257</v>
      </c>
      <c r="J104" s="62" t="s">
        <v>40</v>
      </c>
      <c r="K104" s="67" t="s">
        <v>258</v>
      </c>
      <c r="L104" s="70"/>
      <c r="M104" s="62"/>
      <c r="N104" s="62"/>
      <c r="O104" s="69"/>
      <c r="P104" s="59" t="s">
        <v>42</v>
      </c>
      <c r="Q104" s="73" t="s">
        <v>43</v>
      </c>
      <c r="R104" s="62"/>
    </row>
    <row r="105" ht="27.6" spans="1:18">
      <c r="A105" s="58">
        <v>82</v>
      </c>
      <c r="B105" s="74">
        <v>45670</v>
      </c>
      <c r="C105" s="64" t="s">
        <v>157</v>
      </c>
      <c r="D105" s="61" t="s">
        <v>72</v>
      </c>
      <c r="E105" s="62" t="s">
        <v>73</v>
      </c>
      <c r="F105" s="62" t="s">
        <v>36</v>
      </c>
      <c r="G105" s="62" t="s">
        <v>259</v>
      </c>
      <c r="H105" s="62" t="s">
        <v>94</v>
      </c>
      <c r="I105" s="66" t="s">
        <v>260</v>
      </c>
      <c r="J105" s="62" t="s">
        <v>88</v>
      </c>
      <c r="K105" s="67" t="s">
        <v>261</v>
      </c>
      <c r="L105" s="70"/>
      <c r="M105" s="62"/>
      <c r="N105" s="62"/>
      <c r="O105" s="69"/>
      <c r="P105" s="59" t="s">
        <v>42</v>
      </c>
      <c r="Q105" s="73" t="s">
        <v>43</v>
      </c>
      <c r="R105" s="62"/>
    </row>
    <row r="106" ht="27.6" spans="1:18">
      <c r="A106" s="58">
        <v>83</v>
      </c>
      <c r="B106" s="74">
        <v>45672</v>
      </c>
      <c r="C106" s="60" t="s">
        <v>147</v>
      </c>
      <c r="D106" s="61" t="s">
        <v>72</v>
      </c>
      <c r="E106" s="62" t="s">
        <v>73</v>
      </c>
      <c r="F106" s="62" t="s">
        <v>36</v>
      </c>
      <c r="G106" s="62" t="s">
        <v>262</v>
      </c>
      <c r="H106" s="62" t="s">
        <v>56</v>
      </c>
      <c r="I106" s="66" t="s">
        <v>263</v>
      </c>
      <c r="J106" s="62" t="s">
        <v>40</v>
      </c>
      <c r="K106" s="67" t="s">
        <v>264</v>
      </c>
      <c r="L106" s="70"/>
      <c r="M106" s="62"/>
      <c r="N106" s="62"/>
      <c r="O106" s="69"/>
      <c r="P106" s="59" t="s">
        <v>42</v>
      </c>
      <c r="Q106" s="73" t="s">
        <v>43</v>
      </c>
      <c r="R106" s="62"/>
    </row>
    <row r="107" ht="13.8" spans="1:18">
      <c r="A107" s="58">
        <v>84</v>
      </c>
      <c r="B107" s="74">
        <v>45673</v>
      </c>
      <c r="C107" s="60" t="s">
        <v>157</v>
      </c>
      <c r="D107" s="61" t="s">
        <v>72</v>
      </c>
      <c r="E107" s="62" t="s">
        <v>73</v>
      </c>
      <c r="F107" s="62" t="s">
        <v>36</v>
      </c>
      <c r="G107" s="62" t="s">
        <v>55</v>
      </c>
      <c r="H107" s="62" t="s">
        <v>56</v>
      </c>
      <c r="I107" s="66" t="s">
        <v>265</v>
      </c>
      <c r="J107" s="62" t="s">
        <v>40</v>
      </c>
      <c r="K107" s="67" t="s">
        <v>266</v>
      </c>
      <c r="L107" s="70"/>
      <c r="M107" s="62"/>
      <c r="N107" s="62"/>
      <c r="O107" s="69"/>
      <c r="P107" s="59" t="s">
        <v>42</v>
      </c>
      <c r="Q107" s="73" t="s">
        <v>43</v>
      </c>
      <c r="R107" s="62"/>
    </row>
    <row r="108" ht="27.6" spans="1:18">
      <c r="A108" s="58">
        <v>85</v>
      </c>
      <c r="B108" s="74">
        <v>45674</v>
      </c>
      <c r="C108" s="60" t="s">
        <v>157</v>
      </c>
      <c r="D108" s="61" t="s">
        <v>72</v>
      </c>
      <c r="E108" s="62" t="s">
        <v>73</v>
      </c>
      <c r="F108" s="62" t="s">
        <v>50</v>
      </c>
      <c r="G108" s="62" t="s">
        <v>37</v>
      </c>
      <c r="H108" s="62" t="s">
        <v>51</v>
      </c>
      <c r="I108" s="66" t="s">
        <v>267</v>
      </c>
      <c r="J108" s="62" t="s">
        <v>53</v>
      </c>
      <c r="K108" s="67" t="s">
        <v>268</v>
      </c>
      <c r="L108" s="70"/>
      <c r="M108" s="62"/>
      <c r="N108" s="62"/>
      <c r="O108" s="69"/>
      <c r="P108" s="59" t="s">
        <v>42</v>
      </c>
      <c r="Q108" s="73" t="s">
        <v>43</v>
      </c>
      <c r="R108" s="62"/>
    </row>
    <row r="109" ht="27.6" spans="1:18">
      <c r="A109" s="58">
        <v>86</v>
      </c>
      <c r="B109" s="74">
        <v>45675</v>
      </c>
      <c r="C109" s="60" t="s">
        <v>157</v>
      </c>
      <c r="D109" s="61" t="s">
        <v>72</v>
      </c>
      <c r="E109" s="62" t="s">
        <v>73</v>
      </c>
      <c r="F109" s="62" t="s">
        <v>36</v>
      </c>
      <c r="G109" s="62" t="s">
        <v>37</v>
      </c>
      <c r="H109" s="62" t="s">
        <v>132</v>
      </c>
      <c r="I109" s="66" t="s">
        <v>269</v>
      </c>
      <c r="J109" s="62" t="s">
        <v>40</v>
      </c>
      <c r="K109" s="67" t="s">
        <v>270</v>
      </c>
      <c r="L109" s="70"/>
      <c r="M109" s="62"/>
      <c r="N109" s="62"/>
      <c r="O109" s="69"/>
      <c r="P109" s="59" t="s">
        <v>42</v>
      </c>
      <c r="Q109" s="73" t="s">
        <v>43</v>
      </c>
      <c r="R109" s="62"/>
    </row>
    <row r="110" ht="41.4" spans="1:18">
      <c r="A110" s="58">
        <v>87</v>
      </c>
      <c r="B110" s="74">
        <v>45676</v>
      </c>
      <c r="C110" s="60" t="s">
        <v>157</v>
      </c>
      <c r="D110" s="61" t="s">
        <v>72</v>
      </c>
      <c r="E110" s="62" t="s">
        <v>73</v>
      </c>
      <c r="F110" s="62" t="s">
        <v>36</v>
      </c>
      <c r="G110" s="62" t="s">
        <v>74</v>
      </c>
      <c r="H110" s="62" t="s">
        <v>271</v>
      </c>
      <c r="I110" s="66" t="s">
        <v>272</v>
      </c>
      <c r="J110" s="62" t="s">
        <v>88</v>
      </c>
      <c r="K110" s="67" t="s">
        <v>273</v>
      </c>
      <c r="L110" s="70"/>
      <c r="M110" s="62"/>
      <c r="N110" s="62"/>
      <c r="O110" s="69"/>
      <c r="P110" s="59" t="s">
        <v>42</v>
      </c>
      <c r="Q110" s="73" t="s">
        <v>43</v>
      </c>
      <c r="R110" s="62"/>
    </row>
    <row r="111" ht="13.8" spans="1:18">
      <c r="A111" s="58">
        <v>88</v>
      </c>
      <c r="B111" s="74">
        <v>45671</v>
      </c>
      <c r="C111" s="60" t="s">
        <v>157</v>
      </c>
      <c r="D111" s="61" t="s">
        <v>72</v>
      </c>
      <c r="E111" s="62" t="s">
        <v>73</v>
      </c>
      <c r="F111" s="62" t="s">
        <v>36</v>
      </c>
      <c r="G111" s="62" t="s">
        <v>61</v>
      </c>
      <c r="H111" s="62" t="s">
        <v>46</v>
      </c>
      <c r="I111" s="66" t="s">
        <v>274</v>
      </c>
      <c r="J111" s="62" t="s">
        <v>40</v>
      </c>
      <c r="K111" s="67" t="s">
        <v>275</v>
      </c>
      <c r="L111" s="70"/>
      <c r="M111" s="62"/>
      <c r="N111" s="62"/>
      <c r="O111" s="69"/>
      <c r="P111" s="59" t="s">
        <v>42</v>
      </c>
      <c r="Q111" s="73" t="s">
        <v>43</v>
      </c>
      <c r="R111" s="62"/>
    </row>
    <row r="112" ht="27.6" spans="1:18">
      <c r="A112" s="58">
        <v>89</v>
      </c>
      <c r="B112" s="74">
        <v>45670</v>
      </c>
      <c r="C112" s="60" t="s">
        <v>157</v>
      </c>
      <c r="D112" s="61" t="s">
        <v>72</v>
      </c>
      <c r="E112" s="62" t="s">
        <v>73</v>
      </c>
      <c r="F112" s="62" t="s">
        <v>36</v>
      </c>
      <c r="G112" s="62" t="s">
        <v>131</v>
      </c>
      <c r="H112" s="62" t="s">
        <v>56</v>
      </c>
      <c r="I112" s="66" t="s">
        <v>276</v>
      </c>
      <c r="J112" s="62" t="s">
        <v>40</v>
      </c>
      <c r="K112" s="67" t="s">
        <v>277</v>
      </c>
      <c r="L112" s="70"/>
      <c r="M112" s="62"/>
      <c r="N112" s="62"/>
      <c r="O112" s="69"/>
      <c r="P112" s="59" t="s">
        <v>42</v>
      </c>
      <c r="Q112" s="73" t="s">
        <v>43</v>
      </c>
      <c r="R112" s="62"/>
    </row>
    <row r="113" ht="27.6" spans="1:18">
      <c r="A113" s="58">
        <v>90</v>
      </c>
      <c r="B113" s="74">
        <v>45672</v>
      </c>
      <c r="C113" s="60" t="s">
        <v>147</v>
      </c>
      <c r="D113" s="61" t="s">
        <v>72</v>
      </c>
      <c r="E113" s="62" t="s">
        <v>73</v>
      </c>
      <c r="F113" s="62" t="s">
        <v>50</v>
      </c>
      <c r="G113" s="62" t="s">
        <v>61</v>
      </c>
      <c r="H113" s="62" t="s">
        <v>97</v>
      </c>
      <c r="I113" s="66" t="s">
        <v>278</v>
      </c>
      <c r="J113" s="62" t="s">
        <v>40</v>
      </c>
      <c r="K113" s="67" t="s">
        <v>279</v>
      </c>
      <c r="L113" s="70"/>
      <c r="M113" s="62"/>
      <c r="N113" s="62"/>
      <c r="O113" s="69"/>
      <c r="P113" s="59" t="s">
        <v>42</v>
      </c>
      <c r="Q113" s="73" t="s">
        <v>43</v>
      </c>
      <c r="R113" s="62"/>
    </row>
    <row r="114" ht="27.6" spans="1:18">
      <c r="A114" s="58">
        <v>91</v>
      </c>
      <c r="B114" s="74">
        <v>45673</v>
      </c>
      <c r="C114" s="60" t="s">
        <v>157</v>
      </c>
      <c r="D114" s="61" t="s">
        <v>72</v>
      </c>
      <c r="E114" s="62" t="s">
        <v>73</v>
      </c>
      <c r="F114" s="62" t="s">
        <v>36</v>
      </c>
      <c r="G114" s="62" t="s">
        <v>61</v>
      </c>
      <c r="H114" s="62" t="s">
        <v>38</v>
      </c>
      <c r="I114" s="66" t="s">
        <v>280</v>
      </c>
      <c r="J114" s="62" t="s">
        <v>40</v>
      </c>
      <c r="K114" s="67" t="s">
        <v>281</v>
      </c>
      <c r="L114" s="70"/>
      <c r="M114" s="62"/>
      <c r="N114" s="62"/>
      <c r="O114" s="69"/>
      <c r="P114" s="59" t="s">
        <v>42</v>
      </c>
      <c r="Q114" s="73" t="s">
        <v>43</v>
      </c>
      <c r="R114" s="62"/>
    </row>
    <row r="115" ht="27.6" spans="1:18">
      <c r="A115" s="58">
        <v>92</v>
      </c>
      <c r="B115" s="74">
        <v>45674</v>
      </c>
      <c r="C115" s="60" t="s">
        <v>157</v>
      </c>
      <c r="D115" s="61" t="s">
        <v>72</v>
      </c>
      <c r="E115" s="62" t="s">
        <v>73</v>
      </c>
      <c r="F115" s="62" t="s">
        <v>36</v>
      </c>
      <c r="G115" s="62" t="s">
        <v>82</v>
      </c>
      <c r="H115" s="62" t="s">
        <v>66</v>
      </c>
      <c r="I115" s="66" t="s">
        <v>282</v>
      </c>
      <c r="J115" s="62" t="s">
        <v>40</v>
      </c>
      <c r="K115" s="67" t="s">
        <v>283</v>
      </c>
      <c r="L115" s="70"/>
      <c r="M115" s="62"/>
      <c r="N115" s="62"/>
      <c r="O115" s="69"/>
      <c r="P115" s="59" t="s">
        <v>42</v>
      </c>
      <c r="Q115" s="73" t="s">
        <v>43</v>
      </c>
      <c r="R115" s="62"/>
    </row>
    <row r="116" ht="27.6" spans="1:18">
      <c r="A116" s="58">
        <v>93</v>
      </c>
      <c r="B116" s="74">
        <v>45675</v>
      </c>
      <c r="C116" s="60" t="s">
        <v>157</v>
      </c>
      <c r="D116" s="61" t="s">
        <v>72</v>
      </c>
      <c r="E116" s="62" t="s">
        <v>73</v>
      </c>
      <c r="F116" s="62" t="s">
        <v>36</v>
      </c>
      <c r="G116" s="62" t="s">
        <v>131</v>
      </c>
      <c r="H116" s="62" t="s">
        <v>38</v>
      </c>
      <c r="I116" s="66" t="s">
        <v>284</v>
      </c>
      <c r="J116" s="62" t="s">
        <v>40</v>
      </c>
      <c r="K116" s="67" t="s">
        <v>285</v>
      </c>
      <c r="L116" s="70"/>
      <c r="M116" s="62"/>
      <c r="N116" s="62"/>
      <c r="O116" s="69"/>
      <c r="P116" s="59" t="s">
        <v>42</v>
      </c>
      <c r="Q116" s="73" t="s">
        <v>43</v>
      </c>
      <c r="R116" s="62"/>
    </row>
    <row r="117" ht="27.6" spans="1:18">
      <c r="A117" s="58">
        <v>94</v>
      </c>
      <c r="B117" s="74">
        <v>45676</v>
      </c>
      <c r="C117" s="60" t="s">
        <v>157</v>
      </c>
      <c r="D117" s="61" t="s">
        <v>72</v>
      </c>
      <c r="E117" s="62" t="s">
        <v>73</v>
      </c>
      <c r="F117" s="62" t="s">
        <v>36</v>
      </c>
      <c r="G117" s="62" t="s">
        <v>74</v>
      </c>
      <c r="H117" s="62" t="s">
        <v>271</v>
      </c>
      <c r="I117" s="66" t="s">
        <v>286</v>
      </c>
      <c r="J117" s="62" t="s">
        <v>40</v>
      </c>
      <c r="K117" s="67" t="s">
        <v>287</v>
      </c>
      <c r="L117" s="70"/>
      <c r="M117" s="62"/>
      <c r="N117" s="62"/>
      <c r="O117" s="69"/>
      <c r="P117" s="59" t="s">
        <v>42</v>
      </c>
      <c r="Q117" s="73" t="s">
        <v>43</v>
      </c>
      <c r="R117" s="62"/>
    </row>
    <row r="118" ht="27.6" spans="1:18">
      <c r="A118" s="58">
        <v>95</v>
      </c>
      <c r="B118" s="74">
        <v>45672</v>
      </c>
      <c r="C118" s="60" t="s">
        <v>147</v>
      </c>
      <c r="D118" s="61" t="s">
        <v>72</v>
      </c>
      <c r="E118" s="62" t="s">
        <v>73</v>
      </c>
      <c r="F118" s="62" t="s">
        <v>36</v>
      </c>
      <c r="G118" s="62" t="s">
        <v>61</v>
      </c>
      <c r="H118" s="62" t="s">
        <v>132</v>
      </c>
      <c r="I118" s="66" t="s">
        <v>288</v>
      </c>
      <c r="J118" s="62" t="s">
        <v>40</v>
      </c>
      <c r="K118" s="67" t="s">
        <v>289</v>
      </c>
      <c r="L118" s="70"/>
      <c r="M118" s="62"/>
      <c r="N118" s="62"/>
      <c r="O118" s="69"/>
      <c r="P118" s="59" t="s">
        <v>42</v>
      </c>
      <c r="Q118" s="73" t="s">
        <v>43</v>
      </c>
      <c r="R118" s="62"/>
    </row>
    <row r="119" ht="27.6" spans="1:18">
      <c r="A119" s="58">
        <v>96</v>
      </c>
      <c r="B119" s="74">
        <v>45673</v>
      </c>
      <c r="C119" s="60" t="s">
        <v>157</v>
      </c>
      <c r="D119" s="61" t="s">
        <v>72</v>
      </c>
      <c r="E119" s="62" t="s">
        <v>73</v>
      </c>
      <c r="F119" s="62" t="s">
        <v>135</v>
      </c>
      <c r="G119" s="62" t="s">
        <v>55</v>
      </c>
      <c r="H119" s="62" t="s">
        <v>94</v>
      </c>
      <c r="I119" s="66" t="s">
        <v>290</v>
      </c>
      <c r="J119" s="62" t="s">
        <v>137</v>
      </c>
      <c r="K119" s="67" t="s">
        <v>291</v>
      </c>
      <c r="L119" s="70"/>
      <c r="M119" s="62"/>
      <c r="N119" s="62"/>
      <c r="O119" s="69"/>
      <c r="P119" s="59" t="s">
        <v>42</v>
      </c>
      <c r="Q119" s="62" t="s">
        <v>8</v>
      </c>
      <c r="R119" s="62"/>
    </row>
    <row r="120" ht="27.6" spans="1:18">
      <c r="A120" s="58">
        <v>97</v>
      </c>
      <c r="B120" s="74">
        <v>45676</v>
      </c>
      <c r="C120" s="60" t="s">
        <v>157</v>
      </c>
      <c r="D120" s="61" t="s">
        <v>72</v>
      </c>
      <c r="E120" s="62" t="s">
        <v>73</v>
      </c>
      <c r="F120" s="62" t="s">
        <v>36</v>
      </c>
      <c r="G120" s="62" t="s">
        <v>74</v>
      </c>
      <c r="H120" s="62" t="s">
        <v>38</v>
      </c>
      <c r="I120" s="66" t="s">
        <v>292</v>
      </c>
      <c r="J120" s="62" t="s">
        <v>40</v>
      </c>
      <c r="K120" s="67" t="s">
        <v>293</v>
      </c>
      <c r="L120" s="70"/>
      <c r="M120" s="62"/>
      <c r="N120" s="62"/>
      <c r="O120" s="69"/>
      <c r="P120" s="59" t="s">
        <v>42</v>
      </c>
      <c r="Q120" s="73" t="s">
        <v>43</v>
      </c>
      <c r="R120" s="62"/>
    </row>
    <row r="121" ht="27.6" spans="1:18">
      <c r="A121" s="58">
        <v>98</v>
      </c>
      <c r="B121" s="74">
        <v>45672</v>
      </c>
      <c r="C121" s="60" t="s">
        <v>147</v>
      </c>
      <c r="D121" s="61" t="s">
        <v>72</v>
      </c>
      <c r="E121" s="62" t="s">
        <v>73</v>
      </c>
      <c r="F121" s="62" t="s">
        <v>36</v>
      </c>
      <c r="G121" s="62" t="s">
        <v>61</v>
      </c>
      <c r="H121" s="62" t="s">
        <v>56</v>
      </c>
      <c r="I121" s="66" t="s">
        <v>294</v>
      </c>
      <c r="J121" s="62" t="s">
        <v>88</v>
      </c>
      <c r="K121" s="67" t="s">
        <v>295</v>
      </c>
      <c r="L121" s="70"/>
      <c r="M121" s="62"/>
      <c r="N121" s="62"/>
      <c r="O121" s="69"/>
      <c r="P121" s="59" t="s">
        <v>42</v>
      </c>
      <c r="Q121" s="73" t="s">
        <v>43</v>
      </c>
      <c r="R121" s="62"/>
    </row>
    <row r="122" ht="27.6" spans="1:18">
      <c r="A122" s="58">
        <v>99</v>
      </c>
      <c r="B122" s="74">
        <v>45669</v>
      </c>
      <c r="C122" s="60" t="s">
        <v>157</v>
      </c>
      <c r="D122" s="61" t="s">
        <v>72</v>
      </c>
      <c r="E122" s="62" t="s">
        <v>73</v>
      </c>
      <c r="F122" s="62" t="s">
        <v>36</v>
      </c>
      <c r="G122" s="62" t="s">
        <v>82</v>
      </c>
      <c r="H122" s="62" t="s">
        <v>132</v>
      </c>
      <c r="I122" s="66" t="s">
        <v>296</v>
      </c>
      <c r="J122" s="62" t="s">
        <v>88</v>
      </c>
      <c r="K122" s="67" t="s">
        <v>297</v>
      </c>
      <c r="L122" s="70"/>
      <c r="M122" s="62"/>
      <c r="N122" s="62"/>
      <c r="O122" s="69"/>
      <c r="P122" s="59" t="s">
        <v>42</v>
      </c>
      <c r="Q122" s="73" t="s">
        <v>43</v>
      </c>
      <c r="R122" s="62"/>
    </row>
    <row r="123" ht="27.6" spans="1:18">
      <c r="A123" s="58">
        <v>100</v>
      </c>
      <c r="B123" s="74">
        <v>45672</v>
      </c>
      <c r="C123" s="60" t="s">
        <v>157</v>
      </c>
      <c r="D123" s="61" t="s">
        <v>72</v>
      </c>
      <c r="E123" s="62" t="s">
        <v>73</v>
      </c>
      <c r="F123" s="62" t="s">
        <v>36</v>
      </c>
      <c r="G123" s="62" t="s">
        <v>74</v>
      </c>
      <c r="H123" s="62" t="s">
        <v>38</v>
      </c>
      <c r="I123" s="66" t="s">
        <v>298</v>
      </c>
      <c r="J123" s="62" t="s">
        <v>88</v>
      </c>
      <c r="K123" s="67" t="s">
        <v>299</v>
      </c>
      <c r="L123" s="70"/>
      <c r="M123" s="62"/>
      <c r="N123" s="62"/>
      <c r="O123" s="69"/>
      <c r="P123" s="59" t="s">
        <v>42</v>
      </c>
      <c r="Q123" s="73" t="s">
        <v>43</v>
      </c>
      <c r="R123" s="62"/>
    </row>
    <row r="124" ht="27.6" spans="1:18">
      <c r="A124" s="58">
        <v>101</v>
      </c>
      <c r="B124" s="74">
        <v>45672</v>
      </c>
      <c r="C124" s="60" t="s">
        <v>157</v>
      </c>
      <c r="D124" s="61" t="s">
        <v>72</v>
      </c>
      <c r="E124" s="62" t="s">
        <v>73</v>
      </c>
      <c r="F124" s="62" t="s">
        <v>135</v>
      </c>
      <c r="G124" s="62" t="s">
        <v>37</v>
      </c>
      <c r="H124" s="62" t="s">
        <v>94</v>
      </c>
      <c r="I124" s="66" t="s">
        <v>300</v>
      </c>
      <c r="J124" s="62" t="s">
        <v>137</v>
      </c>
      <c r="K124" s="67" t="s">
        <v>301</v>
      </c>
      <c r="L124" s="70"/>
      <c r="M124" s="62"/>
      <c r="N124" s="62"/>
      <c r="O124" s="69"/>
      <c r="P124" s="59" t="s">
        <v>42</v>
      </c>
      <c r="Q124" s="62" t="s">
        <v>8</v>
      </c>
      <c r="R124" s="62"/>
    </row>
    <row r="125" ht="55.2" spans="1:18">
      <c r="A125" s="58">
        <v>102</v>
      </c>
      <c r="B125" s="74">
        <v>45673</v>
      </c>
      <c r="C125" s="60" t="s">
        <v>147</v>
      </c>
      <c r="D125" s="61" t="s">
        <v>72</v>
      </c>
      <c r="E125" s="62" t="s">
        <v>73</v>
      </c>
      <c r="F125" s="62" t="s">
        <v>50</v>
      </c>
      <c r="G125" s="62" t="s">
        <v>74</v>
      </c>
      <c r="H125" s="62" t="s">
        <v>46</v>
      </c>
      <c r="I125" s="66" t="s">
        <v>302</v>
      </c>
      <c r="J125" s="62" t="s">
        <v>91</v>
      </c>
      <c r="K125" s="67" t="s">
        <v>303</v>
      </c>
      <c r="L125" s="70"/>
      <c r="M125" s="62"/>
      <c r="N125" s="62"/>
      <c r="O125" s="69"/>
      <c r="P125" s="59" t="s">
        <v>42</v>
      </c>
      <c r="Q125" s="73" t="s">
        <v>43</v>
      </c>
      <c r="R125" s="62"/>
    </row>
    <row r="126" ht="27.6" spans="1:18">
      <c r="A126" s="58">
        <v>103</v>
      </c>
      <c r="B126" s="74">
        <v>45673</v>
      </c>
      <c r="C126" s="60" t="s">
        <v>147</v>
      </c>
      <c r="D126" s="61" t="s">
        <v>72</v>
      </c>
      <c r="E126" s="62" t="s">
        <v>73</v>
      </c>
      <c r="F126" s="62" t="s">
        <v>50</v>
      </c>
      <c r="G126" s="62" t="s">
        <v>82</v>
      </c>
      <c r="H126" s="62" t="s">
        <v>46</v>
      </c>
      <c r="I126" s="66" t="s">
        <v>304</v>
      </c>
      <c r="J126" s="62" t="s">
        <v>53</v>
      </c>
      <c r="K126" s="67" t="s">
        <v>305</v>
      </c>
      <c r="L126" s="70"/>
      <c r="M126" s="62"/>
      <c r="N126" s="62"/>
      <c r="O126" s="69"/>
      <c r="P126" s="59" t="s">
        <v>42</v>
      </c>
      <c r="Q126" s="73" t="s">
        <v>43</v>
      </c>
      <c r="R126" s="62"/>
    </row>
    <row r="127" ht="55.2" spans="1:18">
      <c r="A127" s="58">
        <v>104</v>
      </c>
      <c r="B127" s="74">
        <v>45673</v>
      </c>
      <c r="C127" s="60" t="s">
        <v>147</v>
      </c>
      <c r="D127" s="61" t="s">
        <v>72</v>
      </c>
      <c r="E127" s="62" t="s">
        <v>73</v>
      </c>
      <c r="F127" s="62" t="s">
        <v>50</v>
      </c>
      <c r="G127" s="62" t="s">
        <v>61</v>
      </c>
      <c r="H127" s="62" t="s">
        <v>46</v>
      </c>
      <c r="I127" s="66" t="s">
        <v>306</v>
      </c>
      <c r="J127" s="62" t="s">
        <v>53</v>
      </c>
      <c r="K127" s="67" t="s">
        <v>307</v>
      </c>
      <c r="L127" s="70"/>
      <c r="M127" s="62"/>
      <c r="N127" s="62"/>
      <c r="O127" s="69"/>
      <c r="P127" s="59" t="s">
        <v>42</v>
      </c>
      <c r="Q127" s="73" t="s">
        <v>43</v>
      </c>
      <c r="R127" s="62"/>
    </row>
    <row r="128" ht="41.4" spans="1:18">
      <c r="A128" s="58">
        <v>105</v>
      </c>
      <c r="B128" s="74">
        <v>45662</v>
      </c>
      <c r="C128" s="60" t="s">
        <v>308</v>
      </c>
      <c r="D128" s="61" t="s">
        <v>72</v>
      </c>
      <c r="E128" s="62" t="s">
        <v>309</v>
      </c>
      <c r="F128" s="63" t="s">
        <v>36</v>
      </c>
      <c r="G128" s="62" t="s">
        <v>55</v>
      </c>
      <c r="H128" s="62" t="s">
        <v>38</v>
      </c>
      <c r="I128" s="66" t="s">
        <v>176</v>
      </c>
      <c r="J128" s="62" t="s">
        <v>40</v>
      </c>
      <c r="K128" s="67" t="s">
        <v>177</v>
      </c>
      <c r="L128" s="70"/>
      <c r="M128" s="62"/>
      <c r="N128" s="62"/>
      <c r="O128" s="69"/>
      <c r="P128" s="59" t="s">
        <v>42</v>
      </c>
      <c r="Q128" s="73" t="s">
        <v>43</v>
      </c>
      <c r="R128" s="62"/>
    </row>
    <row r="129" ht="27.6" spans="1:18">
      <c r="A129" s="58">
        <v>106</v>
      </c>
      <c r="B129" s="74">
        <v>45673</v>
      </c>
      <c r="C129" s="60" t="s">
        <v>147</v>
      </c>
      <c r="D129" s="61" t="s">
        <v>72</v>
      </c>
      <c r="E129" s="62" t="s">
        <v>73</v>
      </c>
      <c r="F129" s="62" t="s">
        <v>36</v>
      </c>
      <c r="G129" s="62" t="s">
        <v>82</v>
      </c>
      <c r="H129" s="62" t="s">
        <v>128</v>
      </c>
      <c r="I129" s="66" t="s">
        <v>310</v>
      </c>
      <c r="J129" s="62" t="s">
        <v>40</v>
      </c>
      <c r="K129" s="67" t="s">
        <v>311</v>
      </c>
      <c r="L129" s="68"/>
      <c r="M129" s="62"/>
      <c r="N129" s="62"/>
      <c r="O129" s="69"/>
      <c r="P129" s="59" t="s">
        <v>42</v>
      </c>
      <c r="Q129" s="73" t="s">
        <v>43</v>
      </c>
      <c r="R129" s="62"/>
    </row>
    <row r="130" ht="13.8" spans="1:18">
      <c r="A130" s="58">
        <v>107</v>
      </c>
      <c r="B130" s="74">
        <v>45673</v>
      </c>
      <c r="C130" s="60" t="s">
        <v>312</v>
      </c>
      <c r="D130" s="61" t="s">
        <v>35</v>
      </c>
      <c r="E130" s="62"/>
      <c r="F130" s="62" t="s">
        <v>135</v>
      </c>
      <c r="G130" s="62" t="s">
        <v>82</v>
      </c>
      <c r="H130" s="62" t="s">
        <v>94</v>
      </c>
      <c r="I130" s="66" t="s">
        <v>313</v>
      </c>
      <c r="J130" s="62" t="s">
        <v>137</v>
      </c>
      <c r="K130" s="67" t="s">
        <v>210</v>
      </c>
      <c r="L130" s="70"/>
      <c r="M130" s="62"/>
      <c r="N130" s="62"/>
      <c r="O130" s="69"/>
      <c r="P130" s="59" t="s">
        <v>42</v>
      </c>
      <c r="Q130" s="62" t="s">
        <v>8</v>
      </c>
      <c r="R130" s="62"/>
    </row>
    <row r="131" ht="13.8" spans="1:18">
      <c r="A131" s="58">
        <v>108</v>
      </c>
      <c r="B131" s="74">
        <v>45670</v>
      </c>
      <c r="C131" s="64" t="s">
        <v>314</v>
      </c>
      <c r="D131" s="61" t="s">
        <v>35</v>
      </c>
      <c r="E131" s="62"/>
      <c r="F131" s="62" t="s">
        <v>135</v>
      </c>
      <c r="G131" s="62" t="s">
        <v>37</v>
      </c>
      <c r="H131" s="62" t="s">
        <v>38</v>
      </c>
      <c r="I131" s="66" t="s">
        <v>315</v>
      </c>
      <c r="J131" s="62" t="s">
        <v>137</v>
      </c>
      <c r="K131" s="67" t="s">
        <v>210</v>
      </c>
      <c r="L131" s="70"/>
      <c r="M131" s="62"/>
      <c r="N131" s="62"/>
      <c r="O131" s="69"/>
      <c r="P131" s="59" t="s">
        <v>42</v>
      </c>
      <c r="Q131" s="62" t="s">
        <v>8</v>
      </c>
      <c r="R131" s="62"/>
    </row>
    <row r="132" ht="13.8" spans="1:18">
      <c r="A132" s="58">
        <v>109</v>
      </c>
      <c r="B132" s="74">
        <v>45670</v>
      </c>
      <c r="C132" s="69" t="s">
        <v>316</v>
      </c>
      <c r="D132" s="61" t="s">
        <v>35</v>
      </c>
      <c r="E132" s="63"/>
      <c r="F132" s="62" t="s">
        <v>135</v>
      </c>
      <c r="G132" s="62" t="s">
        <v>45</v>
      </c>
      <c r="H132" s="62" t="s">
        <v>150</v>
      </c>
      <c r="I132" s="66" t="s">
        <v>317</v>
      </c>
      <c r="J132" s="62" t="s">
        <v>137</v>
      </c>
      <c r="K132" s="67" t="s">
        <v>210</v>
      </c>
      <c r="L132" s="70"/>
      <c r="M132" s="62"/>
      <c r="N132" s="62"/>
      <c r="O132" s="69"/>
      <c r="P132" s="59" t="s">
        <v>42</v>
      </c>
      <c r="Q132" s="62" t="s">
        <v>8</v>
      </c>
      <c r="R132" s="62"/>
    </row>
    <row r="133" ht="27.6" spans="1:18">
      <c r="A133" s="58">
        <v>110</v>
      </c>
      <c r="B133" s="74">
        <v>45664</v>
      </c>
      <c r="C133" s="69" t="s">
        <v>318</v>
      </c>
      <c r="D133" s="61" t="s">
        <v>35</v>
      </c>
      <c r="E133" s="63"/>
      <c r="F133" s="62" t="s">
        <v>135</v>
      </c>
      <c r="G133" s="62" t="s">
        <v>82</v>
      </c>
      <c r="H133" s="62" t="s">
        <v>132</v>
      </c>
      <c r="I133" s="66" t="s">
        <v>319</v>
      </c>
      <c r="J133" s="62" t="s">
        <v>137</v>
      </c>
      <c r="K133" s="67" t="s">
        <v>204</v>
      </c>
      <c r="L133" s="70"/>
      <c r="M133" s="62"/>
      <c r="N133" s="62"/>
      <c r="O133" s="69"/>
      <c r="P133" s="59" t="s">
        <v>42</v>
      </c>
      <c r="Q133" s="62" t="s">
        <v>8</v>
      </c>
      <c r="R133" s="62"/>
    </row>
    <row r="134" ht="27.6" spans="1:18">
      <c r="A134" s="58">
        <v>111</v>
      </c>
      <c r="B134" s="74">
        <v>45674</v>
      </c>
      <c r="C134" s="69" t="s">
        <v>320</v>
      </c>
      <c r="D134" s="61" t="s">
        <v>35</v>
      </c>
      <c r="E134" s="63"/>
      <c r="F134" s="62" t="s">
        <v>135</v>
      </c>
      <c r="G134" s="62" t="s">
        <v>74</v>
      </c>
      <c r="H134" s="62" t="s">
        <v>51</v>
      </c>
      <c r="I134" s="66" t="s">
        <v>321</v>
      </c>
      <c r="J134" s="62" t="s">
        <v>137</v>
      </c>
      <c r="K134" s="67" t="s">
        <v>322</v>
      </c>
      <c r="L134" s="70"/>
      <c r="M134" s="62"/>
      <c r="N134" s="62"/>
      <c r="O134" s="69"/>
      <c r="P134" s="59" t="s">
        <v>42</v>
      </c>
      <c r="Q134" s="62" t="s">
        <v>8</v>
      </c>
      <c r="R134" s="62"/>
    </row>
    <row r="135" ht="13.8" spans="1:18">
      <c r="A135" s="58">
        <v>112</v>
      </c>
      <c r="B135" s="74">
        <v>45674</v>
      </c>
      <c r="C135" s="60" t="s">
        <v>323</v>
      </c>
      <c r="D135" s="61" t="s">
        <v>35</v>
      </c>
      <c r="E135" s="62"/>
      <c r="F135" s="62" t="s">
        <v>135</v>
      </c>
      <c r="G135" s="62" t="s">
        <v>74</v>
      </c>
      <c r="H135" s="62" t="s">
        <v>56</v>
      </c>
      <c r="I135" s="66" t="s">
        <v>324</v>
      </c>
      <c r="J135" s="62" t="s">
        <v>137</v>
      </c>
      <c r="K135" s="67" t="s">
        <v>325</v>
      </c>
      <c r="L135" s="70"/>
      <c r="M135" s="62"/>
      <c r="N135" s="62"/>
      <c r="O135" s="69"/>
      <c r="P135" s="59" t="s">
        <v>42</v>
      </c>
      <c r="Q135" s="62" t="s">
        <v>8</v>
      </c>
      <c r="R135" s="62"/>
    </row>
    <row r="136" ht="13.8" spans="1:18">
      <c r="A136" s="58">
        <v>113</v>
      </c>
      <c r="B136" s="74">
        <v>45673</v>
      </c>
      <c r="C136" s="60" t="s">
        <v>326</v>
      </c>
      <c r="D136" s="61" t="s">
        <v>35</v>
      </c>
      <c r="E136" s="62"/>
      <c r="F136" s="62" t="s">
        <v>50</v>
      </c>
      <c r="G136" s="62" t="s">
        <v>45</v>
      </c>
      <c r="H136" s="62" t="s">
        <v>51</v>
      </c>
      <c r="I136" s="76" t="s">
        <v>327</v>
      </c>
      <c r="J136" s="62" t="s">
        <v>53</v>
      </c>
      <c r="K136" s="67" t="s">
        <v>328</v>
      </c>
      <c r="L136" s="68"/>
      <c r="M136" s="62"/>
      <c r="N136" s="62"/>
      <c r="O136" s="69"/>
      <c r="P136" s="59" t="s">
        <v>42</v>
      </c>
      <c r="Q136" s="73" t="s">
        <v>43</v>
      </c>
      <c r="R136" s="62"/>
    </row>
    <row r="137" ht="13.8" spans="1:18">
      <c r="A137" s="58">
        <v>114</v>
      </c>
      <c r="B137" s="74">
        <v>45673</v>
      </c>
      <c r="C137" s="64" t="s">
        <v>329</v>
      </c>
      <c r="D137" s="61" t="s">
        <v>35</v>
      </c>
      <c r="E137" s="62"/>
      <c r="F137" s="62" t="s">
        <v>36</v>
      </c>
      <c r="G137" s="62" t="s">
        <v>93</v>
      </c>
      <c r="H137" s="62" t="s">
        <v>38</v>
      </c>
      <c r="I137" s="66" t="s">
        <v>330</v>
      </c>
      <c r="J137" s="62" t="s">
        <v>40</v>
      </c>
      <c r="K137" s="67" t="s">
        <v>331</v>
      </c>
      <c r="L137" s="68"/>
      <c r="M137" s="62"/>
      <c r="N137" s="62"/>
      <c r="O137" s="69"/>
      <c r="P137" s="59" t="s">
        <v>42</v>
      </c>
      <c r="Q137" s="73" t="s">
        <v>43</v>
      </c>
      <c r="R137" s="62"/>
    </row>
    <row r="138" ht="13.8" spans="1:18">
      <c r="A138" s="58">
        <v>115</v>
      </c>
      <c r="B138" s="74">
        <v>45674</v>
      </c>
      <c r="C138" s="64" t="s">
        <v>332</v>
      </c>
      <c r="D138" s="61" t="s">
        <v>35</v>
      </c>
      <c r="E138" s="62"/>
      <c r="F138" s="62" t="s">
        <v>36</v>
      </c>
      <c r="G138" s="62" t="s">
        <v>82</v>
      </c>
      <c r="H138" s="62" t="s">
        <v>56</v>
      </c>
      <c r="I138" s="66" t="s">
        <v>333</v>
      </c>
      <c r="J138" s="62" t="s">
        <v>40</v>
      </c>
      <c r="K138" s="67" t="s">
        <v>334</v>
      </c>
      <c r="L138" s="70"/>
      <c r="M138" s="62"/>
      <c r="N138" s="62"/>
      <c r="O138" s="69"/>
      <c r="P138" s="59" t="s">
        <v>42</v>
      </c>
      <c r="Q138" s="73" t="s">
        <v>43</v>
      </c>
      <c r="R138" s="62"/>
    </row>
    <row r="139" ht="27.6" spans="1:18">
      <c r="A139" s="58">
        <v>116</v>
      </c>
      <c r="B139" s="74">
        <v>45674</v>
      </c>
      <c r="C139" s="64" t="s">
        <v>335</v>
      </c>
      <c r="D139" s="61" t="s">
        <v>35</v>
      </c>
      <c r="E139" s="62"/>
      <c r="F139" s="62" t="s">
        <v>36</v>
      </c>
      <c r="G139" s="62" t="s">
        <v>82</v>
      </c>
      <c r="H139" s="62" t="s">
        <v>66</v>
      </c>
      <c r="I139" s="66" t="s">
        <v>336</v>
      </c>
      <c r="J139" s="62" t="s">
        <v>40</v>
      </c>
      <c r="K139" s="67" t="s">
        <v>337</v>
      </c>
      <c r="L139" s="70"/>
      <c r="M139" s="62"/>
      <c r="N139" s="62"/>
      <c r="O139" s="69"/>
      <c r="P139" s="59" t="s">
        <v>42</v>
      </c>
      <c r="Q139" s="73" t="s">
        <v>43</v>
      </c>
      <c r="R139" s="62"/>
    </row>
    <row r="140" ht="27.6" spans="1:18">
      <c r="A140" s="58">
        <v>117</v>
      </c>
      <c r="B140" s="74">
        <v>45675</v>
      </c>
      <c r="C140" s="64" t="s">
        <v>338</v>
      </c>
      <c r="D140" s="61" t="s">
        <v>35</v>
      </c>
      <c r="E140" s="62"/>
      <c r="F140" s="62" t="s">
        <v>50</v>
      </c>
      <c r="G140" s="62" t="s">
        <v>45</v>
      </c>
      <c r="H140" s="62" t="s">
        <v>38</v>
      </c>
      <c r="I140" s="66" t="s">
        <v>339</v>
      </c>
      <c r="J140" s="62" t="s">
        <v>40</v>
      </c>
      <c r="K140" s="67" t="s">
        <v>340</v>
      </c>
      <c r="L140" s="70"/>
      <c r="M140" s="62"/>
      <c r="N140" s="62"/>
      <c r="O140" s="69"/>
      <c r="P140" s="59" t="s">
        <v>42</v>
      </c>
      <c r="Q140" s="73" t="s">
        <v>43</v>
      </c>
      <c r="R140" s="62"/>
    </row>
    <row r="141" ht="13.8" spans="1:18">
      <c r="A141" s="58">
        <v>118</v>
      </c>
      <c r="B141" s="74">
        <v>45675</v>
      </c>
      <c r="C141" s="64" t="s">
        <v>326</v>
      </c>
      <c r="D141" s="61" t="s">
        <v>35</v>
      </c>
      <c r="E141" s="62"/>
      <c r="F141" s="62" t="s">
        <v>36</v>
      </c>
      <c r="G141" s="62" t="s">
        <v>82</v>
      </c>
      <c r="H141" s="62" t="s">
        <v>46</v>
      </c>
      <c r="I141" s="66" t="s">
        <v>341</v>
      </c>
      <c r="J141" s="63" t="s">
        <v>40</v>
      </c>
      <c r="K141" s="67" t="s">
        <v>342</v>
      </c>
      <c r="L141" s="70"/>
      <c r="M141" s="62"/>
      <c r="N141" s="62"/>
      <c r="O141" s="69"/>
      <c r="P141" s="59" t="s">
        <v>42</v>
      </c>
      <c r="Q141" s="73" t="s">
        <v>43</v>
      </c>
      <c r="R141" s="62"/>
    </row>
    <row r="142" ht="13.8" spans="1:18">
      <c r="A142" s="58">
        <v>119</v>
      </c>
      <c r="B142" s="74">
        <v>45675</v>
      </c>
      <c r="C142" s="64" t="s">
        <v>320</v>
      </c>
      <c r="D142" s="61" t="s">
        <v>35</v>
      </c>
      <c r="E142" s="62"/>
      <c r="F142" s="62" t="s">
        <v>36</v>
      </c>
      <c r="G142" s="62" t="s">
        <v>45</v>
      </c>
      <c r="H142" s="62" t="s">
        <v>94</v>
      </c>
      <c r="I142" s="66" t="s">
        <v>343</v>
      </c>
      <c r="J142" s="62" t="s">
        <v>40</v>
      </c>
      <c r="K142" s="67" t="s">
        <v>344</v>
      </c>
      <c r="L142" s="70"/>
      <c r="M142" s="62"/>
      <c r="N142" s="62"/>
      <c r="O142" s="69"/>
      <c r="P142" s="59" t="s">
        <v>42</v>
      </c>
      <c r="Q142" s="73" t="s">
        <v>43</v>
      </c>
      <c r="R142" s="62"/>
    </row>
    <row r="143" ht="27.6" spans="1:18">
      <c r="A143" s="58">
        <v>120</v>
      </c>
      <c r="B143" s="74">
        <v>45675</v>
      </c>
      <c r="C143" s="64" t="s">
        <v>345</v>
      </c>
      <c r="D143" s="61" t="s">
        <v>35</v>
      </c>
      <c r="E143" s="62"/>
      <c r="F143" s="62" t="s">
        <v>36</v>
      </c>
      <c r="G143" s="62" t="s">
        <v>82</v>
      </c>
      <c r="H143" s="62" t="s">
        <v>56</v>
      </c>
      <c r="I143" s="66" t="s">
        <v>346</v>
      </c>
      <c r="J143" s="62" t="s">
        <v>88</v>
      </c>
      <c r="K143" s="67" t="s">
        <v>347</v>
      </c>
      <c r="L143" s="70"/>
      <c r="M143" s="62"/>
      <c r="N143" s="62"/>
      <c r="O143" s="69"/>
      <c r="P143" s="59" t="s">
        <v>42</v>
      </c>
      <c r="Q143" s="73" t="s">
        <v>43</v>
      </c>
      <c r="R143" s="62"/>
    </row>
    <row r="144" ht="27.6" spans="1:18">
      <c r="A144" s="58">
        <v>121</v>
      </c>
      <c r="B144" s="74">
        <v>45672</v>
      </c>
      <c r="C144" s="60" t="s">
        <v>348</v>
      </c>
      <c r="D144" s="61" t="s">
        <v>35</v>
      </c>
      <c r="E144" s="62"/>
      <c r="F144" s="62" t="s">
        <v>36</v>
      </c>
      <c r="G144" s="62" t="s">
        <v>93</v>
      </c>
      <c r="H144" s="62" t="s">
        <v>38</v>
      </c>
      <c r="I144" s="66" t="s">
        <v>349</v>
      </c>
      <c r="J144" s="62" t="s">
        <v>40</v>
      </c>
      <c r="K144" s="67" t="s">
        <v>350</v>
      </c>
      <c r="L144" s="70"/>
      <c r="M144" s="62"/>
      <c r="N144" s="62"/>
      <c r="O144" s="69"/>
      <c r="P144" s="59" t="s">
        <v>42</v>
      </c>
      <c r="Q144" s="73" t="s">
        <v>43</v>
      </c>
      <c r="R144" s="62"/>
    </row>
    <row r="145" ht="13.8" spans="1:18">
      <c r="A145" s="58">
        <v>122</v>
      </c>
      <c r="B145" s="74">
        <v>45671</v>
      </c>
      <c r="C145" s="60" t="s">
        <v>351</v>
      </c>
      <c r="D145" s="61" t="s">
        <v>35</v>
      </c>
      <c r="E145" s="62"/>
      <c r="F145" s="62" t="s">
        <v>50</v>
      </c>
      <c r="G145" s="62" t="s">
        <v>55</v>
      </c>
      <c r="H145" s="62" t="s">
        <v>51</v>
      </c>
      <c r="I145" s="66" t="s">
        <v>352</v>
      </c>
      <c r="J145" s="62" t="s">
        <v>53</v>
      </c>
      <c r="K145" s="67" t="s">
        <v>353</v>
      </c>
      <c r="L145" s="70"/>
      <c r="M145" s="62"/>
      <c r="N145" s="62"/>
      <c r="O145" s="69"/>
      <c r="P145" s="59" t="s">
        <v>42</v>
      </c>
      <c r="Q145" s="73" t="s">
        <v>43</v>
      </c>
      <c r="R145" s="62"/>
    </row>
    <row r="146" ht="27.6" spans="1:18">
      <c r="A146" s="58">
        <v>123</v>
      </c>
      <c r="B146" s="74">
        <v>45670</v>
      </c>
      <c r="C146" s="60" t="s">
        <v>354</v>
      </c>
      <c r="D146" s="61" t="s">
        <v>35</v>
      </c>
      <c r="E146" s="62"/>
      <c r="F146" s="62" t="s">
        <v>36</v>
      </c>
      <c r="G146" s="62" t="s">
        <v>82</v>
      </c>
      <c r="H146" s="62" t="s">
        <v>56</v>
      </c>
      <c r="I146" s="66" t="s">
        <v>355</v>
      </c>
      <c r="J146" s="62" t="s">
        <v>40</v>
      </c>
      <c r="K146" s="67" t="s">
        <v>356</v>
      </c>
      <c r="L146" s="70"/>
      <c r="M146" s="62"/>
      <c r="N146" s="62"/>
      <c r="O146" s="69"/>
      <c r="P146" s="59" t="s">
        <v>42</v>
      </c>
      <c r="Q146" s="73" t="s">
        <v>43</v>
      </c>
      <c r="R146" s="62"/>
    </row>
    <row r="147" ht="55.2" spans="1:18">
      <c r="A147" s="58">
        <v>124</v>
      </c>
      <c r="B147" s="74">
        <v>45671</v>
      </c>
      <c r="C147" s="60" t="s">
        <v>357</v>
      </c>
      <c r="D147" s="61" t="s">
        <v>35</v>
      </c>
      <c r="E147" s="62"/>
      <c r="F147" s="62" t="s">
        <v>36</v>
      </c>
      <c r="G147" s="62" t="s">
        <v>55</v>
      </c>
      <c r="H147" s="62" t="s">
        <v>56</v>
      </c>
      <c r="I147" s="66" t="s">
        <v>358</v>
      </c>
      <c r="J147" s="62" t="s">
        <v>40</v>
      </c>
      <c r="K147" s="67" t="s">
        <v>359</v>
      </c>
      <c r="L147" s="70"/>
      <c r="M147" s="62"/>
      <c r="N147" s="62"/>
      <c r="O147" s="69"/>
      <c r="P147" s="59" t="s">
        <v>42</v>
      </c>
      <c r="Q147" s="73" t="s">
        <v>43</v>
      </c>
      <c r="R147" s="62"/>
    </row>
    <row r="148" ht="27.6" spans="1:18">
      <c r="A148" s="58">
        <v>125</v>
      </c>
      <c r="B148" s="74">
        <v>45672</v>
      </c>
      <c r="C148" s="60" t="s">
        <v>348</v>
      </c>
      <c r="D148" s="61" t="s">
        <v>35</v>
      </c>
      <c r="E148" s="62"/>
      <c r="F148" s="62" t="s">
        <v>50</v>
      </c>
      <c r="G148" s="62" t="s">
        <v>82</v>
      </c>
      <c r="H148" s="62" t="s">
        <v>360</v>
      </c>
      <c r="I148" s="66" t="s">
        <v>361</v>
      </c>
      <c r="J148" s="62" t="s">
        <v>91</v>
      </c>
      <c r="K148" s="67" t="s">
        <v>362</v>
      </c>
      <c r="L148" s="68"/>
      <c r="M148" s="62"/>
      <c r="N148" s="62"/>
      <c r="O148" s="69"/>
      <c r="P148" s="59" t="s">
        <v>42</v>
      </c>
      <c r="Q148" s="73" t="s">
        <v>43</v>
      </c>
      <c r="R148" s="62"/>
    </row>
    <row r="149" ht="13.8" spans="1:18">
      <c r="A149" s="58">
        <v>126</v>
      </c>
      <c r="B149" s="74">
        <v>45673</v>
      </c>
      <c r="C149" s="60" t="s">
        <v>363</v>
      </c>
      <c r="D149" s="61" t="s">
        <v>35</v>
      </c>
      <c r="E149" s="62"/>
      <c r="F149" s="62" t="s">
        <v>36</v>
      </c>
      <c r="G149" s="62" t="s">
        <v>45</v>
      </c>
      <c r="H149" s="62" t="s">
        <v>38</v>
      </c>
      <c r="I149" s="66" t="s">
        <v>364</v>
      </c>
      <c r="J149" s="62" t="s">
        <v>40</v>
      </c>
      <c r="K149" s="67" t="s">
        <v>365</v>
      </c>
      <c r="L149" s="70"/>
      <c r="M149" s="62"/>
      <c r="N149" s="62"/>
      <c r="O149" s="69"/>
      <c r="P149" s="59" t="s">
        <v>42</v>
      </c>
      <c r="Q149" s="73" t="s">
        <v>43</v>
      </c>
      <c r="R149" s="62"/>
    </row>
    <row r="150" ht="13.8" spans="1:18">
      <c r="A150" s="58">
        <v>127</v>
      </c>
      <c r="B150" s="74">
        <v>45673</v>
      </c>
      <c r="C150" s="60" t="s">
        <v>366</v>
      </c>
      <c r="D150" s="61" t="s">
        <v>35</v>
      </c>
      <c r="E150" s="62"/>
      <c r="F150" s="62" t="s">
        <v>50</v>
      </c>
      <c r="G150" s="62" t="s">
        <v>65</v>
      </c>
      <c r="H150" s="62" t="s">
        <v>51</v>
      </c>
      <c r="I150" s="66" t="s">
        <v>367</v>
      </c>
      <c r="J150" s="62" t="s">
        <v>53</v>
      </c>
      <c r="K150" s="67" t="s">
        <v>368</v>
      </c>
      <c r="L150" s="70"/>
      <c r="M150" s="62"/>
      <c r="N150" s="62"/>
      <c r="O150" s="69"/>
      <c r="P150" s="59" t="s">
        <v>42</v>
      </c>
      <c r="Q150" s="73" t="s">
        <v>43</v>
      </c>
      <c r="R150" s="62"/>
    </row>
    <row r="151" ht="13.8" spans="1:18">
      <c r="A151" s="58">
        <v>128</v>
      </c>
      <c r="B151" s="74">
        <v>45671</v>
      </c>
      <c r="C151" s="60" t="s">
        <v>369</v>
      </c>
      <c r="D151" s="61" t="s">
        <v>35</v>
      </c>
      <c r="E151" s="62"/>
      <c r="F151" s="62" t="s">
        <v>50</v>
      </c>
      <c r="G151" s="62" t="s">
        <v>37</v>
      </c>
      <c r="H151" s="62" t="s">
        <v>51</v>
      </c>
      <c r="I151" s="66" t="s">
        <v>370</v>
      </c>
      <c r="J151" s="62" t="s">
        <v>53</v>
      </c>
      <c r="K151" s="67" t="s">
        <v>371</v>
      </c>
      <c r="L151" s="70"/>
      <c r="M151" s="62"/>
      <c r="N151" s="62"/>
      <c r="O151" s="69"/>
      <c r="P151" s="59" t="s">
        <v>42</v>
      </c>
      <c r="Q151" s="73" t="s">
        <v>43</v>
      </c>
      <c r="R151" s="62"/>
    </row>
    <row r="152" ht="27.6" spans="1:18">
      <c r="A152" s="58">
        <v>129</v>
      </c>
      <c r="B152" s="74">
        <v>45671</v>
      </c>
      <c r="C152" s="60" t="s">
        <v>372</v>
      </c>
      <c r="D152" s="61" t="s">
        <v>35</v>
      </c>
      <c r="E152" s="62"/>
      <c r="F152" s="62" t="s">
        <v>36</v>
      </c>
      <c r="G152" s="62" t="s">
        <v>82</v>
      </c>
      <c r="H152" s="62" t="s">
        <v>56</v>
      </c>
      <c r="I152" s="66" t="s">
        <v>373</v>
      </c>
      <c r="J152" s="62" t="s">
        <v>40</v>
      </c>
      <c r="K152" s="67" t="s">
        <v>374</v>
      </c>
      <c r="L152" s="70"/>
      <c r="M152" s="62"/>
      <c r="N152" s="62"/>
      <c r="O152" s="69"/>
      <c r="P152" s="59" t="s">
        <v>42</v>
      </c>
      <c r="Q152" s="73" t="s">
        <v>43</v>
      </c>
      <c r="R152" s="62"/>
    </row>
    <row r="153" ht="13.8" spans="1:18">
      <c r="A153" s="58">
        <v>130</v>
      </c>
      <c r="B153" s="74">
        <v>45675</v>
      </c>
      <c r="C153" s="60" t="s">
        <v>375</v>
      </c>
      <c r="D153" s="61" t="s">
        <v>35</v>
      </c>
      <c r="E153" s="62"/>
      <c r="F153" s="62" t="s">
        <v>36</v>
      </c>
      <c r="G153" s="62" t="s">
        <v>82</v>
      </c>
      <c r="H153" s="62" t="s">
        <v>376</v>
      </c>
      <c r="I153" s="66" t="s">
        <v>377</v>
      </c>
      <c r="J153" s="62" t="s">
        <v>40</v>
      </c>
      <c r="K153" s="67" t="s">
        <v>378</v>
      </c>
      <c r="L153" s="70"/>
      <c r="M153" s="62"/>
      <c r="N153" s="62"/>
      <c r="O153" s="69"/>
      <c r="P153" s="59" t="s">
        <v>42</v>
      </c>
      <c r="Q153" s="73" t="s">
        <v>43</v>
      </c>
      <c r="R153" s="62"/>
    </row>
    <row r="154" ht="13.8" spans="1:18">
      <c r="A154" s="58">
        <v>131</v>
      </c>
      <c r="B154" s="74">
        <v>45671</v>
      </c>
      <c r="C154" s="60" t="s">
        <v>379</v>
      </c>
      <c r="D154" s="61" t="s">
        <v>35</v>
      </c>
      <c r="E154" s="62"/>
      <c r="F154" s="62" t="s">
        <v>36</v>
      </c>
      <c r="G154" s="62" t="s">
        <v>82</v>
      </c>
      <c r="H154" s="62" t="s">
        <v>56</v>
      </c>
      <c r="I154" s="77" t="s">
        <v>380</v>
      </c>
      <c r="J154" s="62" t="s">
        <v>40</v>
      </c>
      <c r="K154" s="67" t="s">
        <v>381</v>
      </c>
      <c r="L154" s="70"/>
      <c r="M154" s="62"/>
      <c r="N154" s="62"/>
      <c r="O154" s="69"/>
      <c r="P154" s="59" t="s">
        <v>42</v>
      </c>
      <c r="Q154" s="73" t="s">
        <v>43</v>
      </c>
      <c r="R154" s="62"/>
    </row>
    <row r="155" ht="34.9" customHeight="1" spans="1:18">
      <c r="A155" s="58">
        <v>132</v>
      </c>
      <c r="B155" s="74">
        <v>45673</v>
      </c>
      <c r="C155" s="60" t="s">
        <v>382</v>
      </c>
      <c r="D155" s="61" t="s">
        <v>35</v>
      </c>
      <c r="E155" s="62"/>
      <c r="F155" s="62" t="s">
        <v>36</v>
      </c>
      <c r="G155" s="62" t="s">
        <v>45</v>
      </c>
      <c r="H155" s="62" t="s">
        <v>46</v>
      </c>
      <c r="I155" s="66" t="s">
        <v>383</v>
      </c>
      <c r="J155" s="62" t="s">
        <v>40</v>
      </c>
      <c r="K155" s="67" t="s">
        <v>384</v>
      </c>
      <c r="L155" s="70"/>
      <c r="M155" s="62"/>
      <c r="N155" s="62"/>
      <c r="O155" s="69"/>
      <c r="P155" s="59" t="s">
        <v>42</v>
      </c>
      <c r="Q155" s="73" t="s">
        <v>43</v>
      </c>
      <c r="R155" s="62"/>
    </row>
    <row r="156" ht="13.8" spans="1:18">
      <c r="A156" s="58">
        <v>133</v>
      </c>
      <c r="B156" s="74">
        <v>45671</v>
      </c>
      <c r="C156" s="60" t="s">
        <v>385</v>
      </c>
      <c r="D156" s="61" t="s">
        <v>35</v>
      </c>
      <c r="E156" s="62"/>
      <c r="F156" s="62" t="s">
        <v>36</v>
      </c>
      <c r="G156" s="62" t="s">
        <v>45</v>
      </c>
      <c r="H156" s="62" t="s">
        <v>46</v>
      </c>
      <c r="I156" s="66" t="s">
        <v>386</v>
      </c>
      <c r="J156" s="62" t="s">
        <v>40</v>
      </c>
      <c r="K156" s="67" t="s">
        <v>387</v>
      </c>
      <c r="L156" s="70"/>
      <c r="M156" s="62"/>
      <c r="N156" s="62"/>
      <c r="O156" s="69"/>
      <c r="P156" s="59" t="s">
        <v>42</v>
      </c>
      <c r="Q156" s="73" t="s">
        <v>43</v>
      </c>
      <c r="R156" s="62"/>
    </row>
    <row r="157" ht="13.8" spans="1:18">
      <c r="A157" s="58">
        <v>134</v>
      </c>
      <c r="B157" s="74">
        <v>45670</v>
      </c>
      <c r="C157" s="60" t="s">
        <v>388</v>
      </c>
      <c r="D157" s="61" t="s">
        <v>35</v>
      </c>
      <c r="E157" s="62"/>
      <c r="F157" s="62" t="s">
        <v>36</v>
      </c>
      <c r="G157" s="62" t="s">
        <v>65</v>
      </c>
      <c r="H157" s="62" t="s">
        <v>202</v>
      </c>
      <c r="I157" s="66" t="s">
        <v>377</v>
      </c>
      <c r="J157" s="62" t="s">
        <v>40</v>
      </c>
      <c r="K157" s="67" t="s">
        <v>378</v>
      </c>
      <c r="L157" s="70"/>
      <c r="M157" s="62"/>
      <c r="N157" s="62"/>
      <c r="O157" s="69"/>
      <c r="P157" s="59" t="s">
        <v>42</v>
      </c>
      <c r="Q157" s="73" t="s">
        <v>43</v>
      </c>
      <c r="R157" s="62"/>
    </row>
    <row r="158" ht="13.8" spans="1:18">
      <c r="A158" s="58">
        <v>135</v>
      </c>
      <c r="B158" s="74">
        <v>45671</v>
      </c>
      <c r="C158" s="60" t="s">
        <v>389</v>
      </c>
      <c r="D158" s="61" t="s">
        <v>35</v>
      </c>
      <c r="E158" s="62"/>
      <c r="F158" s="62" t="s">
        <v>36</v>
      </c>
      <c r="G158" s="62" t="s">
        <v>93</v>
      </c>
      <c r="H158" s="62" t="s">
        <v>56</v>
      </c>
      <c r="I158" s="66" t="s">
        <v>390</v>
      </c>
      <c r="J158" s="62" t="s">
        <v>40</v>
      </c>
      <c r="K158" s="67" t="s">
        <v>356</v>
      </c>
      <c r="L158" s="70"/>
      <c r="M158" s="62"/>
      <c r="N158" s="62"/>
      <c r="O158" s="69"/>
      <c r="P158" s="59" t="s">
        <v>42</v>
      </c>
      <c r="Q158" s="73" t="s">
        <v>43</v>
      </c>
      <c r="R158" s="62"/>
    </row>
    <row r="159" ht="27.6" spans="1:18">
      <c r="A159" s="58">
        <v>136</v>
      </c>
      <c r="B159" s="74">
        <v>45671</v>
      </c>
      <c r="C159" s="60" t="s">
        <v>391</v>
      </c>
      <c r="D159" s="61" t="s">
        <v>35</v>
      </c>
      <c r="E159" s="62"/>
      <c r="F159" s="62" t="s">
        <v>50</v>
      </c>
      <c r="G159" s="62" t="s">
        <v>82</v>
      </c>
      <c r="H159" s="62" t="s">
        <v>132</v>
      </c>
      <c r="I159" s="66" t="s">
        <v>392</v>
      </c>
      <c r="J159" s="62" t="s">
        <v>91</v>
      </c>
      <c r="K159" s="67" t="s">
        <v>393</v>
      </c>
      <c r="L159" s="70"/>
      <c r="M159" s="62"/>
      <c r="N159" s="62"/>
      <c r="O159" s="69"/>
      <c r="P159" s="59" t="s">
        <v>42</v>
      </c>
      <c r="Q159" s="73" t="s">
        <v>43</v>
      </c>
      <c r="R159" s="62"/>
    </row>
    <row r="160" ht="27.6" spans="1:18">
      <c r="A160" s="58">
        <v>137</v>
      </c>
      <c r="B160" s="74">
        <v>45671</v>
      </c>
      <c r="C160" s="60" t="s">
        <v>394</v>
      </c>
      <c r="D160" s="61" t="s">
        <v>35</v>
      </c>
      <c r="E160" s="62"/>
      <c r="F160" s="62" t="s">
        <v>50</v>
      </c>
      <c r="G160" s="62" t="s">
        <v>37</v>
      </c>
      <c r="H160" s="62" t="s">
        <v>132</v>
      </c>
      <c r="I160" s="66" t="s">
        <v>395</v>
      </c>
      <c r="J160" s="62" t="s">
        <v>91</v>
      </c>
      <c r="K160" s="67" t="s">
        <v>396</v>
      </c>
      <c r="L160" s="70"/>
      <c r="M160" s="62"/>
      <c r="N160" s="62"/>
      <c r="O160" s="69"/>
      <c r="P160" s="59" t="s">
        <v>42</v>
      </c>
      <c r="Q160" s="73" t="s">
        <v>43</v>
      </c>
      <c r="R160" s="62"/>
    </row>
    <row r="161" ht="27.6" spans="1:18">
      <c r="A161" s="58">
        <v>138</v>
      </c>
      <c r="B161" s="74">
        <v>45671</v>
      </c>
      <c r="C161" s="60" t="s">
        <v>397</v>
      </c>
      <c r="D161" s="61" t="s">
        <v>35</v>
      </c>
      <c r="E161" s="62"/>
      <c r="F161" s="62" t="s">
        <v>36</v>
      </c>
      <c r="G161" s="62" t="s">
        <v>45</v>
      </c>
      <c r="H161" s="62" t="s">
        <v>46</v>
      </c>
      <c r="I161" s="66" t="s">
        <v>398</v>
      </c>
      <c r="J161" s="62" t="s">
        <v>40</v>
      </c>
      <c r="K161" s="67" t="s">
        <v>399</v>
      </c>
      <c r="L161" s="70"/>
      <c r="M161" s="62"/>
      <c r="N161" s="62"/>
      <c r="O161" s="69"/>
      <c r="P161" s="59" t="s">
        <v>42</v>
      </c>
      <c r="Q161" s="73" t="s">
        <v>43</v>
      </c>
      <c r="R161" s="62"/>
    </row>
    <row r="162" ht="13.8" spans="1:18">
      <c r="A162" s="58">
        <v>139</v>
      </c>
      <c r="B162" s="74">
        <v>45672</v>
      </c>
      <c r="C162" s="60" t="s">
        <v>397</v>
      </c>
      <c r="D162" s="61" t="s">
        <v>35</v>
      </c>
      <c r="E162" s="62"/>
      <c r="F162" s="62" t="s">
        <v>36</v>
      </c>
      <c r="G162" s="62" t="s">
        <v>82</v>
      </c>
      <c r="H162" s="62" t="s">
        <v>38</v>
      </c>
      <c r="I162" s="66" t="s">
        <v>400</v>
      </c>
      <c r="J162" s="62" t="s">
        <v>40</v>
      </c>
      <c r="K162" s="67" t="s">
        <v>401</v>
      </c>
      <c r="L162" s="70"/>
      <c r="M162" s="62"/>
      <c r="N162" s="62"/>
      <c r="O162" s="69"/>
      <c r="P162" s="59" t="s">
        <v>42</v>
      </c>
      <c r="Q162" s="73" t="s">
        <v>43</v>
      </c>
      <c r="R162" s="62"/>
    </row>
    <row r="163" ht="13.8" spans="1:18">
      <c r="A163" s="58">
        <v>140</v>
      </c>
      <c r="B163" s="74">
        <v>45673</v>
      </c>
      <c r="C163" s="60" t="s">
        <v>351</v>
      </c>
      <c r="D163" s="61" t="s">
        <v>35</v>
      </c>
      <c r="E163" s="62"/>
      <c r="F163" s="62" t="s">
        <v>50</v>
      </c>
      <c r="G163" s="62" t="s">
        <v>65</v>
      </c>
      <c r="H163" s="62" t="s">
        <v>51</v>
      </c>
      <c r="I163" s="66" t="s">
        <v>402</v>
      </c>
      <c r="J163" s="62" t="s">
        <v>53</v>
      </c>
      <c r="K163" s="67" t="s">
        <v>403</v>
      </c>
      <c r="L163" s="70"/>
      <c r="M163" s="62"/>
      <c r="N163" s="62"/>
      <c r="O163" s="69"/>
      <c r="P163" s="59" t="s">
        <v>42</v>
      </c>
      <c r="Q163" s="73" t="s">
        <v>43</v>
      </c>
      <c r="R163" s="62"/>
    </row>
    <row r="164" ht="13.8" spans="1:18">
      <c r="A164" s="58">
        <v>141</v>
      </c>
      <c r="B164" s="74">
        <v>45672</v>
      </c>
      <c r="C164" s="60" t="s">
        <v>404</v>
      </c>
      <c r="D164" s="61" t="s">
        <v>35</v>
      </c>
      <c r="E164" s="62"/>
      <c r="F164" s="62" t="s">
        <v>36</v>
      </c>
      <c r="G164" s="62" t="s">
        <v>37</v>
      </c>
      <c r="H164" s="62" t="s">
        <v>94</v>
      </c>
      <c r="I164" s="78" t="s">
        <v>405</v>
      </c>
      <c r="J164" s="62" t="s">
        <v>40</v>
      </c>
      <c r="K164" s="67" t="s">
        <v>406</v>
      </c>
      <c r="L164" s="70"/>
      <c r="M164" s="62"/>
      <c r="N164" s="62"/>
      <c r="O164" s="69"/>
      <c r="P164" s="79" t="s">
        <v>42</v>
      </c>
      <c r="Q164" s="73" t="s">
        <v>43</v>
      </c>
      <c r="R164" s="62"/>
    </row>
    <row r="165" ht="27.6" spans="1:18">
      <c r="A165" s="58">
        <v>142</v>
      </c>
      <c r="B165" s="74">
        <v>45673</v>
      </c>
      <c r="C165" s="60" t="s">
        <v>407</v>
      </c>
      <c r="D165" s="61" t="s">
        <v>35</v>
      </c>
      <c r="E165" s="62"/>
      <c r="F165" s="62" t="s">
        <v>50</v>
      </c>
      <c r="G165" s="62" t="s">
        <v>55</v>
      </c>
      <c r="H165" s="62" t="s">
        <v>51</v>
      </c>
      <c r="I165" s="78" t="s">
        <v>199</v>
      </c>
      <c r="J165" s="62" t="s">
        <v>53</v>
      </c>
      <c r="K165" s="67" t="s">
        <v>200</v>
      </c>
      <c r="L165" s="70"/>
      <c r="M165" s="62"/>
      <c r="N165" s="62"/>
      <c r="O165" s="64"/>
      <c r="P165" s="79" t="s">
        <v>42</v>
      </c>
      <c r="Q165" s="73" t="s">
        <v>43</v>
      </c>
      <c r="R165" s="62"/>
    </row>
    <row r="166" ht="13.8" spans="1:18">
      <c r="A166" s="58">
        <v>143</v>
      </c>
      <c r="B166" s="74">
        <v>45675</v>
      </c>
      <c r="C166" s="60" t="s">
        <v>408</v>
      </c>
      <c r="D166" s="61" t="s">
        <v>35</v>
      </c>
      <c r="E166" s="62"/>
      <c r="F166" s="62" t="s">
        <v>50</v>
      </c>
      <c r="G166" s="62" t="s">
        <v>45</v>
      </c>
      <c r="H166" s="62" t="s">
        <v>94</v>
      </c>
      <c r="I166" s="78" t="s">
        <v>196</v>
      </c>
      <c r="J166" s="62" t="s">
        <v>53</v>
      </c>
      <c r="K166" s="67" t="s">
        <v>197</v>
      </c>
      <c r="L166" s="70"/>
      <c r="M166" s="62"/>
      <c r="N166" s="62"/>
      <c r="O166" s="64"/>
      <c r="P166" s="79" t="s">
        <v>42</v>
      </c>
      <c r="Q166" s="73" t="s">
        <v>43</v>
      </c>
      <c r="R166" s="62"/>
    </row>
    <row r="167" ht="27.6" spans="1:18">
      <c r="A167" s="58">
        <v>144</v>
      </c>
      <c r="B167" s="74">
        <v>45671</v>
      </c>
      <c r="C167" s="60" t="s">
        <v>409</v>
      </c>
      <c r="D167" s="61" t="s">
        <v>35</v>
      </c>
      <c r="E167" s="62"/>
      <c r="F167" s="62" t="s">
        <v>50</v>
      </c>
      <c r="G167" s="62" t="s">
        <v>65</v>
      </c>
      <c r="H167" s="62" t="s">
        <v>38</v>
      </c>
      <c r="I167" s="78" t="s">
        <v>189</v>
      </c>
      <c r="J167" s="62" t="s">
        <v>91</v>
      </c>
      <c r="K167" s="67" t="s">
        <v>190</v>
      </c>
      <c r="L167" s="70"/>
      <c r="M167" s="62"/>
      <c r="N167" s="62"/>
      <c r="O167" s="69"/>
      <c r="P167" s="79" t="s">
        <v>42</v>
      </c>
      <c r="Q167" s="73" t="s">
        <v>43</v>
      </c>
      <c r="R167" s="62"/>
    </row>
    <row r="168" ht="13.8" spans="1:18">
      <c r="A168" s="58">
        <v>145</v>
      </c>
      <c r="B168" s="74">
        <v>45671</v>
      </c>
      <c r="C168" s="60" t="s">
        <v>410</v>
      </c>
      <c r="D168" s="61" t="s">
        <v>35</v>
      </c>
      <c r="E168" s="62"/>
      <c r="F168" s="62" t="s">
        <v>36</v>
      </c>
      <c r="G168" s="62" t="s">
        <v>93</v>
      </c>
      <c r="H168" s="62" t="s">
        <v>38</v>
      </c>
      <c r="I168" s="78" t="s">
        <v>184</v>
      </c>
      <c r="J168" s="62" t="s">
        <v>40</v>
      </c>
      <c r="K168" s="67" t="s">
        <v>185</v>
      </c>
      <c r="L168" s="70"/>
      <c r="M168" s="62"/>
      <c r="N168" s="62"/>
      <c r="O168" s="69"/>
      <c r="P168" s="79" t="s">
        <v>42</v>
      </c>
      <c r="Q168" s="73" t="s">
        <v>43</v>
      </c>
      <c r="R168" s="62"/>
    </row>
    <row r="169" ht="27.6" spans="1:18">
      <c r="A169" s="58">
        <v>146</v>
      </c>
      <c r="B169" s="74">
        <v>45671</v>
      </c>
      <c r="C169" s="60" t="s">
        <v>411</v>
      </c>
      <c r="D169" s="61" t="s">
        <v>35</v>
      </c>
      <c r="E169" s="62"/>
      <c r="F169" s="62" t="s">
        <v>36</v>
      </c>
      <c r="G169" s="62" t="s">
        <v>45</v>
      </c>
      <c r="H169" s="62" t="s">
        <v>46</v>
      </c>
      <c r="I169" s="78" t="s">
        <v>412</v>
      </c>
      <c r="J169" s="62" t="s">
        <v>40</v>
      </c>
      <c r="K169" s="67" t="s">
        <v>413</v>
      </c>
      <c r="L169" s="70"/>
      <c r="M169" s="62"/>
      <c r="N169" s="62"/>
      <c r="O169" s="64"/>
      <c r="P169" s="79" t="s">
        <v>42</v>
      </c>
      <c r="Q169" s="73" t="s">
        <v>43</v>
      </c>
      <c r="R169" s="62"/>
    </row>
    <row r="170" ht="27.6" spans="1:18">
      <c r="A170" s="58">
        <v>147</v>
      </c>
      <c r="B170" s="74">
        <v>45671</v>
      </c>
      <c r="C170" s="60" t="s">
        <v>414</v>
      </c>
      <c r="D170" s="61" t="s">
        <v>35</v>
      </c>
      <c r="E170" s="62"/>
      <c r="F170" s="62" t="s">
        <v>50</v>
      </c>
      <c r="G170" s="62" t="s">
        <v>82</v>
      </c>
      <c r="H170" s="62" t="s">
        <v>94</v>
      </c>
      <c r="I170" s="78" t="s">
        <v>415</v>
      </c>
      <c r="J170" s="62" t="s">
        <v>91</v>
      </c>
      <c r="K170" s="67" t="s">
        <v>416</v>
      </c>
      <c r="L170" s="70"/>
      <c r="M170" s="62"/>
      <c r="N170" s="62"/>
      <c r="O170" s="64"/>
      <c r="P170" s="79" t="s">
        <v>42</v>
      </c>
      <c r="Q170" s="73" t="s">
        <v>43</v>
      </c>
      <c r="R170" s="62"/>
    </row>
    <row r="171" ht="13.8" spans="1:18">
      <c r="A171" s="58">
        <v>148</v>
      </c>
      <c r="B171" s="74">
        <v>45671</v>
      </c>
      <c r="C171" s="64" t="s">
        <v>417</v>
      </c>
      <c r="D171" s="62" t="s">
        <v>35</v>
      </c>
      <c r="E171" s="62"/>
      <c r="F171" s="62" t="s">
        <v>50</v>
      </c>
      <c r="G171" s="62" t="s">
        <v>55</v>
      </c>
      <c r="H171" s="62" t="s">
        <v>51</v>
      </c>
      <c r="I171" s="78" t="s">
        <v>370</v>
      </c>
      <c r="J171" s="62" t="s">
        <v>53</v>
      </c>
      <c r="K171" s="67" t="s">
        <v>371</v>
      </c>
      <c r="L171" s="70"/>
      <c r="M171" s="62"/>
      <c r="N171" s="62"/>
      <c r="O171" s="64"/>
      <c r="P171" s="79" t="s">
        <v>42</v>
      </c>
      <c r="Q171" s="73" t="s">
        <v>43</v>
      </c>
      <c r="R171" s="62"/>
    </row>
    <row r="172" ht="27.6" spans="1:18">
      <c r="A172" s="58">
        <v>149</v>
      </c>
      <c r="B172" s="74">
        <v>45672</v>
      </c>
      <c r="C172" s="60" t="s">
        <v>418</v>
      </c>
      <c r="D172" s="61" t="s">
        <v>35</v>
      </c>
      <c r="E172" s="62"/>
      <c r="F172" s="65" t="s">
        <v>36</v>
      </c>
      <c r="G172" s="65" t="s">
        <v>37</v>
      </c>
      <c r="H172" s="65" t="s">
        <v>38</v>
      </c>
      <c r="I172" s="80" t="s">
        <v>419</v>
      </c>
      <c r="J172" s="65" t="s">
        <v>40</v>
      </c>
      <c r="K172" s="67" t="s">
        <v>420</v>
      </c>
      <c r="L172" s="70"/>
      <c r="M172" s="62"/>
      <c r="N172" s="62"/>
      <c r="O172" s="81"/>
      <c r="P172" s="82" t="s">
        <v>42</v>
      </c>
      <c r="Q172" s="73" t="s">
        <v>43</v>
      </c>
      <c r="R172" s="65"/>
    </row>
    <row r="173" ht="27.6" spans="1:18">
      <c r="A173" s="58">
        <v>150</v>
      </c>
      <c r="B173" s="74">
        <v>45672</v>
      </c>
      <c r="C173" s="60" t="s">
        <v>421</v>
      </c>
      <c r="D173" s="61" t="s">
        <v>35</v>
      </c>
      <c r="E173" s="62"/>
      <c r="F173" s="62" t="s">
        <v>36</v>
      </c>
      <c r="G173" s="62" t="s">
        <v>93</v>
      </c>
      <c r="H173" s="62" t="s">
        <v>94</v>
      </c>
      <c r="I173" s="78" t="s">
        <v>422</v>
      </c>
      <c r="J173" s="62" t="s">
        <v>40</v>
      </c>
      <c r="K173" s="67" t="s">
        <v>423</v>
      </c>
      <c r="L173" s="70"/>
      <c r="M173" s="62"/>
      <c r="N173" s="62"/>
      <c r="O173" s="64"/>
      <c r="P173" s="79" t="s">
        <v>42</v>
      </c>
      <c r="Q173" s="73" t="s">
        <v>43</v>
      </c>
      <c r="R173" s="62"/>
    </row>
    <row r="174" ht="13.8" spans="1:18">
      <c r="A174" s="58">
        <v>151</v>
      </c>
      <c r="B174" s="74">
        <v>45672</v>
      </c>
      <c r="C174" s="60" t="s">
        <v>424</v>
      </c>
      <c r="D174" s="61" t="s">
        <v>35</v>
      </c>
      <c r="E174" s="62"/>
      <c r="F174" s="62" t="s">
        <v>36</v>
      </c>
      <c r="G174" s="62" t="s">
        <v>82</v>
      </c>
      <c r="H174" s="62" t="s">
        <v>38</v>
      </c>
      <c r="I174" s="78" t="s">
        <v>425</v>
      </c>
      <c r="J174" s="62" t="s">
        <v>40</v>
      </c>
      <c r="K174" s="67" t="s">
        <v>426</v>
      </c>
      <c r="L174" s="70"/>
      <c r="M174" s="62"/>
      <c r="N174" s="62"/>
      <c r="O174" s="64"/>
      <c r="P174" s="79" t="s">
        <v>42</v>
      </c>
      <c r="Q174" s="73" t="s">
        <v>43</v>
      </c>
      <c r="R174" s="62"/>
    </row>
    <row r="175" ht="13.8" spans="1:18">
      <c r="A175" s="58">
        <v>152</v>
      </c>
      <c r="B175" s="74">
        <v>45672</v>
      </c>
      <c r="C175" s="60" t="s">
        <v>427</v>
      </c>
      <c r="D175" s="61" t="s">
        <v>35</v>
      </c>
      <c r="E175" s="62"/>
      <c r="F175" s="62" t="s">
        <v>50</v>
      </c>
      <c r="G175" s="62" t="s">
        <v>45</v>
      </c>
      <c r="H175" s="62" t="s">
        <v>51</v>
      </c>
      <c r="I175" s="78" t="s">
        <v>221</v>
      </c>
      <c r="J175" s="62" t="s">
        <v>40</v>
      </c>
      <c r="K175" s="67" t="s">
        <v>222</v>
      </c>
      <c r="L175" s="70"/>
      <c r="M175" s="62"/>
      <c r="N175" s="62"/>
      <c r="O175" s="64"/>
      <c r="P175" s="79" t="s">
        <v>42</v>
      </c>
      <c r="Q175" s="73" t="s">
        <v>43</v>
      </c>
      <c r="R175" s="62"/>
    </row>
    <row r="176" ht="13.8" spans="1:18">
      <c r="A176" s="58">
        <v>153</v>
      </c>
      <c r="B176" s="74">
        <v>45672</v>
      </c>
      <c r="C176" s="60" t="s">
        <v>335</v>
      </c>
      <c r="D176" s="61" t="s">
        <v>35</v>
      </c>
      <c r="E176" s="62"/>
      <c r="F176" s="62" t="s">
        <v>50</v>
      </c>
      <c r="G176" s="62" t="s">
        <v>82</v>
      </c>
      <c r="H176" s="62" t="s">
        <v>51</v>
      </c>
      <c r="I176" s="78" t="s">
        <v>221</v>
      </c>
      <c r="J176" s="62" t="s">
        <v>40</v>
      </c>
      <c r="K176" s="67" t="s">
        <v>222</v>
      </c>
      <c r="L176" s="70"/>
      <c r="M176" s="62"/>
      <c r="N176" s="62"/>
      <c r="O176" s="64"/>
      <c r="P176" s="79" t="s">
        <v>42</v>
      </c>
      <c r="Q176" s="73" t="s">
        <v>43</v>
      </c>
      <c r="R176" s="62"/>
    </row>
    <row r="177" ht="13.8" spans="1:18">
      <c r="A177" s="58">
        <v>154</v>
      </c>
      <c r="B177" s="74">
        <v>45672</v>
      </c>
      <c r="C177" s="60" t="s">
        <v>428</v>
      </c>
      <c r="D177" s="61" t="s">
        <v>35</v>
      </c>
      <c r="E177" s="62"/>
      <c r="F177" s="62" t="s">
        <v>36</v>
      </c>
      <c r="G177" s="62" t="s">
        <v>93</v>
      </c>
      <c r="H177" s="62" t="s">
        <v>56</v>
      </c>
      <c r="I177" s="78" t="s">
        <v>429</v>
      </c>
      <c r="J177" s="62" t="s">
        <v>40</v>
      </c>
      <c r="K177" s="67" t="s">
        <v>430</v>
      </c>
      <c r="L177" s="70"/>
      <c r="M177" s="62"/>
      <c r="N177" s="62"/>
      <c r="O177" s="64"/>
      <c r="P177" s="79" t="s">
        <v>42</v>
      </c>
      <c r="Q177" s="73" t="s">
        <v>43</v>
      </c>
      <c r="R177" s="62"/>
    </row>
    <row r="178" ht="13.8" spans="1:18">
      <c r="A178" s="58">
        <v>155</v>
      </c>
      <c r="B178" s="74">
        <v>45672</v>
      </c>
      <c r="C178" s="60" t="s">
        <v>320</v>
      </c>
      <c r="D178" s="61" t="s">
        <v>35</v>
      </c>
      <c r="E178" s="62"/>
      <c r="F178" s="62" t="s">
        <v>36</v>
      </c>
      <c r="G178" s="62" t="s">
        <v>45</v>
      </c>
      <c r="H178" s="62" t="s">
        <v>56</v>
      </c>
      <c r="I178" s="78" t="s">
        <v>431</v>
      </c>
      <c r="J178" s="62" t="s">
        <v>40</v>
      </c>
      <c r="K178" s="67" t="s">
        <v>430</v>
      </c>
      <c r="L178" s="70"/>
      <c r="M178" s="62"/>
      <c r="N178" s="62"/>
      <c r="O178" s="64"/>
      <c r="P178" s="79" t="s">
        <v>42</v>
      </c>
      <c r="Q178" s="73" t="s">
        <v>43</v>
      </c>
      <c r="R178" s="62"/>
    </row>
    <row r="179" ht="13.8" spans="1:18">
      <c r="A179" s="58">
        <v>156</v>
      </c>
      <c r="B179" s="74">
        <v>45673</v>
      </c>
      <c r="C179" s="60" t="s">
        <v>409</v>
      </c>
      <c r="D179" s="61" t="s">
        <v>35</v>
      </c>
      <c r="E179" s="62"/>
      <c r="F179" s="62" t="s">
        <v>50</v>
      </c>
      <c r="G179" s="62" t="s">
        <v>74</v>
      </c>
      <c r="H179" s="62" t="s">
        <v>51</v>
      </c>
      <c r="I179" s="78" t="s">
        <v>432</v>
      </c>
      <c r="J179" s="62" t="s">
        <v>40</v>
      </c>
      <c r="K179" s="67" t="s">
        <v>433</v>
      </c>
      <c r="L179" s="70"/>
      <c r="M179" s="62"/>
      <c r="N179" s="62"/>
      <c r="O179" s="64"/>
      <c r="P179" s="79" t="s">
        <v>42</v>
      </c>
      <c r="Q179" s="73" t="s">
        <v>43</v>
      </c>
      <c r="R179" s="62"/>
    </row>
    <row r="180" ht="13.8" spans="1:18">
      <c r="A180" s="58">
        <v>157</v>
      </c>
      <c r="B180" s="74">
        <v>45672</v>
      </c>
      <c r="C180" s="60" t="s">
        <v>49</v>
      </c>
      <c r="D180" s="61" t="s">
        <v>35</v>
      </c>
      <c r="E180" s="62"/>
      <c r="F180" s="62" t="s">
        <v>36</v>
      </c>
      <c r="G180" s="62" t="s">
        <v>82</v>
      </c>
      <c r="H180" s="62" t="s">
        <v>128</v>
      </c>
      <c r="I180" s="78" t="s">
        <v>434</v>
      </c>
      <c r="J180" s="62" t="s">
        <v>40</v>
      </c>
      <c r="K180" s="67" t="s">
        <v>435</v>
      </c>
      <c r="L180" s="70"/>
      <c r="M180" s="62"/>
      <c r="N180" s="62"/>
      <c r="O180" s="64"/>
      <c r="P180" s="79" t="s">
        <v>42</v>
      </c>
      <c r="Q180" s="73" t="s">
        <v>43</v>
      </c>
      <c r="R180" s="62"/>
    </row>
    <row r="181" ht="13.8" spans="1:18">
      <c r="A181" s="58">
        <v>158</v>
      </c>
      <c r="B181" s="74">
        <v>45673</v>
      </c>
      <c r="C181" s="60" t="s">
        <v>436</v>
      </c>
      <c r="D181" s="61" t="s">
        <v>35</v>
      </c>
      <c r="E181" s="62"/>
      <c r="F181" s="62" t="s">
        <v>36</v>
      </c>
      <c r="G181" s="62" t="s">
        <v>45</v>
      </c>
      <c r="H181" s="62" t="s">
        <v>56</v>
      </c>
      <c r="I181" s="78" t="s">
        <v>437</v>
      </c>
      <c r="J181" s="62" t="s">
        <v>40</v>
      </c>
      <c r="K181" s="67" t="s">
        <v>438</v>
      </c>
      <c r="L181" s="70"/>
      <c r="M181" s="62"/>
      <c r="N181" s="62"/>
      <c r="O181" s="64"/>
      <c r="P181" s="79" t="s">
        <v>42</v>
      </c>
      <c r="Q181" s="73" t="s">
        <v>43</v>
      </c>
      <c r="R181" s="62"/>
    </row>
    <row r="182" ht="13.8" spans="1:18">
      <c r="A182" s="58">
        <v>159</v>
      </c>
      <c r="B182" s="75">
        <v>45673</v>
      </c>
      <c r="C182" s="64" t="s">
        <v>439</v>
      </c>
      <c r="D182" s="62" t="s">
        <v>35</v>
      </c>
      <c r="E182" s="62"/>
      <c r="F182" s="62" t="s">
        <v>36</v>
      </c>
      <c r="G182" s="62" t="s">
        <v>45</v>
      </c>
      <c r="H182" s="62" t="s">
        <v>66</v>
      </c>
      <c r="I182" s="78" t="s">
        <v>440</v>
      </c>
      <c r="J182" s="62" t="s">
        <v>40</v>
      </c>
      <c r="K182" s="67" t="s">
        <v>441</v>
      </c>
      <c r="L182" s="70"/>
      <c r="M182" s="62"/>
      <c r="N182" s="62"/>
      <c r="O182" s="64"/>
      <c r="P182" s="79" t="s">
        <v>42</v>
      </c>
      <c r="Q182" s="73" t="s">
        <v>43</v>
      </c>
      <c r="R182" s="62"/>
    </row>
    <row r="183" ht="13.8" spans="1:18">
      <c r="A183" s="58">
        <v>160</v>
      </c>
      <c r="B183" s="75">
        <v>45673</v>
      </c>
      <c r="C183" s="64" t="s">
        <v>442</v>
      </c>
      <c r="D183" s="62" t="s">
        <v>35</v>
      </c>
      <c r="E183" s="62"/>
      <c r="F183" s="62" t="s">
        <v>50</v>
      </c>
      <c r="G183" s="62" t="s">
        <v>93</v>
      </c>
      <c r="H183" s="62" t="s">
        <v>51</v>
      </c>
      <c r="I183" s="83" t="s">
        <v>370</v>
      </c>
      <c r="J183" s="62" t="s">
        <v>53</v>
      </c>
      <c r="K183" s="67" t="s">
        <v>371</v>
      </c>
      <c r="L183" s="68"/>
      <c r="M183" s="62"/>
      <c r="N183" s="62"/>
      <c r="O183" s="64"/>
      <c r="P183" s="79" t="s">
        <v>42</v>
      </c>
      <c r="Q183" s="73" t="s">
        <v>43</v>
      </c>
      <c r="R183" s="62"/>
    </row>
    <row r="184" ht="13.8" spans="1:18">
      <c r="A184" s="58">
        <v>161</v>
      </c>
      <c r="B184" s="75">
        <v>45673</v>
      </c>
      <c r="C184" s="69" t="s">
        <v>443</v>
      </c>
      <c r="D184" s="62" t="s">
        <v>35</v>
      </c>
      <c r="E184" s="63"/>
      <c r="F184" s="62" t="s">
        <v>36</v>
      </c>
      <c r="G184" s="62" t="s">
        <v>61</v>
      </c>
      <c r="H184" s="62" t="s">
        <v>46</v>
      </c>
      <c r="I184" s="83" t="s">
        <v>444</v>
      </c>
      <c r="J184" s="62" t="s">
        <v>40</v>
      </c>
      <c r="K184" s="67" t="s">
        <v>445</v>
      </c>
      <c r="L184" s="70"/>
      <c r="M184" s="62"/>
      <c r="N184" s="62"/>
      <c r="O184" s="64"/>
      <c r="P184" s="79" t="s">
        <v>42</v>
      </c>
      <c r="Q184" s="73" t="s">
        <v>43</v>
      </c>
      <c r="R184" s="62"/>
    </row>
    <row r="185" ht="26.4" spans="1:18">
      <c r="A185" s="58">
        <v>162</v>
      </c>
      <c r="B185" s="75">
        <v>45673</v>
      </c>
      <c r="C185" s="69" t="s">
        <v>335</v>
      </c>
      <c r="D185" s="62" t="s">
        <v>35</v>
      </c>
      <c r="E185" s="63"/>
      <c r="F185" s="63" t="s">
        <v>36</v>
      </c>
      <c r="G185" s="62" t="s">
        <v>45</v>
      </c>
      <c r="H185" s="62" t="s">
        <v>56</v>
      </c>
      <c r="I185" s="83" t="s">
        <v>446</v>
      </c>
      <c r="J185" s="62" t="s">
        <v>40</v>
      </c>
      <c r="K185" s="67" t="s">
        <v>447</v>
      </c>
      <c r="L185" s="70"/>
      <c r="M185" s="62"/>
      <c r="N185" s="62"/>
      <c r="O185" s="64"/>
      <c r="P185" s="79" t="s">
        <v>42</v>
      </c>
      <c r="Q185" s="73" t="s">
        <v>43</v>
      </c>
      <c r="R185" s="62"/>
    </row>
    <row r="186" ht="13.8" spans="1:18">
      <c r="A186" s="58">
        <v>163</v>
      </c>
      <c r="B186" s="75">
        <v>45673</v>
      </c>
      <c r="C186" s="69" t="s">
        <v>338</v>
      </c>
      <c r="D186" s="62" t="s">
        <v>35</v>
      </c>
      <c r="E186" s="63"/>
      <c r="F186" s="63" t="s">
        <v>36</v>
      </c>
      <c r="G186" s="62" t="s">
        <v>82</v>
      </c>
      <c r="H186" s="62" t="s">
        <v>38</v>
      </c>
      <c r="I186" s="83" t="s">
        <v>448</v>
      </c>
      <c r="J186" s="62" t="s">
        <v>40</v>
      </c>
      <c r="K186" s="67" t="s">
        <v>449</v>
      </c>
      <c r="L186" s="70"/>
      <c r="M186" s="62"/>
      <c r="N186" s="62"/>
      <c r="O186" s="64"/>
      <c r="P186" s="79" t="s">
        <v>42</v>
      </c>
      <c r="Q186" s="73" t="s">
        <v>43</v>
      </c>
      <c r="R186" s="62"/>
    </row>
    <row r="187" ht="13.8" spans="1:18">
      <c r="A187" s="58">
        <v>164</v>
      </c>
      <c r="B187" s="75">
        <v>45673</v>
      </c>
      <c r="C187" s="69" t="s">
        <v>450</v>
      </c>
      <c r="D187" s="62" t="s">
        <v>35</v>
      </c>
      <c r="E187" s="63"/>
      <c r="F187" s="63" t="s">
        <v>36</v>
      </c>
      <c r="G187" s="62" t="s">
        <v>37</v>
      </c>
      <c r="H187" s="62" t="s">
        <v>38</v>
      </c>
      <c r="I187" s="83" t="s">
        <v>451</v>
      </c>
      <c r="J187" s="63" t="s">
        <v>40</v>
      </c>
      <c r="K187" s="67" t="s">
        <v>452</v>
      </c>
      <c r="L187" s="70"/>
      <c r="M187" s="62"/>
      <c r="N187" s="62"/>
      <c r="O187" s="64"/>
      <c r="P187" s="79" t="s">
        <v>42</v>
      </c>
      <c r="Q187" s="73" t="s">
        <v>43</v>
      </c>
      <c r="R187" s="62"/>
    </row>
    <row r="188" ht="27.6" spans="1:18">
      <c r="A188" s="58">
        <v>165</v>
      </c>
      <c r="B188" s="75">
        <v>45673</v>
      </c>
      <c r="C188" s="64" t="s">
        <v>453</v>
      </c>
      <c r="D188" s="62" t="s">
        <v>35</v>
      </c>
      <c r="E188" s="62"/>
      <c r="F188" s="63" t="s">
        <v>50</v>
      </c>
      <c r="G188" s="62" t="s">
        <v>55</v>
      </c>
      <c r="H188" s="62" t="s">
        <v>94</v>
      </c>
      <c r="I188" s="83" t="s">
        <v>415</v>
      </c>
      <c r="J188" s="62" t="s">
        <v>53</v>
      </c>
      <c r="K188" s="67" t="s">
        <v>416</v>
      </c>
      <c r="L188" s="68"/>
      <c r="M188" s="63"/>
      <c r="N188" s="63"/>
      <c r="O188" s="69"/>
      <c r="P188" s="79" t="s">
        <v>42</v>
      </c>
      <c r="Q188" s="73" t="s">
        <v>43</v>
      </c>
      <c r="R188" s="62"/>
    </row>
    <row r="189" ht="13.8" spans="1:18">
      <c r="A189" s="58">
        <v>166</v>
      </c>
      <c r="B189" s="75">
        <v>45673</v>
      </c>
      <c r="C189" s="64" t="s">
        <v>454</v>
      </c>
      <c r="D189" s="62" t="s">
        <v>35</v>
      </c>
      <c r="E189" s="62"/>
      <c r="F189" s="63" t="s">
        <v>36</v>
      </c>
      <c r="G189" s="62" t="s">
        <v>93</v>
      </c>
      <c r="H189" s="62" t="s">
        <v>56</v>
      </c>
      <c r="I189" s="83" t="s">
        <v>455</v>
      </c>
      <c r="J189" s="62" t="s">
        <v>40</v>
      </c>
      <c r="K189" s="67" t="s">
        <v>456</v>
      </c>
      <c r="L189" s="68"/>
      <c r="M189" s="63"/>
      <c r="N189" s="63"/>
      <c r="O189" s="69"/>
      <c r="P189" s="79" t="s">
        <v>42</v>
      </c>
      <c r="Q189" s="73" t="s">
        <v>43</v>
      </c>
      <c r="R189" s="62"/>
    </row>
    <row r="190" ht="27.6" spans="1:18">
      <c r="A190" s="58">
        <v>167</v>
      </c>
      <c r="B190" s="75">
        <v>45673</v>
      </c>
      <c r="C190" s="69" t="s">
        <v>335</v>
      </c>
      <c r="D190" s="62" t="s">
        <v>35</v>
      </c>
      <c r="E190" s="63"/>
      <c r="F190" s="63" t="s">
        <v>36</v>
      </c>
      <c r="G190" s="62" t="s">
        <v>82</v>
      </c>
      <c r="H190" s="62" t="s">
        <v>66</v>
      </c>
      <c r="I190" s="83" t="s">
        <v>457</v>
      </c>
      <c r="J190" s="62" t="s">
        <v>40</v>
      </c>
      <c r="K190" s="67" t="s">
        <v>458</v>
      </c>
      <c r="L190" s="70"/>
      <c r="M190" s="62"/>
      <c r="N190" s="62"/>
      <c r="O190" s="64"/>
      <c r="P190" s="79" t="s">
        <v>42</v>
      </c>
      <c r="Q190" s="73" t="s">
        <v>43</v>
      </c>
      <c r="R190" s="62"/>
    </row>
    <row r="191" ht="27.6" spans="1:18">
      <c r="A191" s="58">
        <v>168</v>
      </c>
      <c r="B191" s="75">
        <v>45673</v>
      </c>
      <c r="C191" s="69" t="s">
        <v>459</v>
      </c>
      <c r="D191" s="62" t="s">
        <v>35</v>
      </c>
      <c r="E191" s="62"/>
      <c r="F191" s="62" t="s">
        <v>36</v>
      </c>
      <c r="G191" s="62" t="s">
        <v>45</v>
      </c>
      <c r="H191" s="62" t="s">
        <v>56</v>
      </c>
      <c r="I191" s="83" t="s">
        <v>178</v>
      </c>
      <c r="J191" s="62" t="s">
        <v>40</v>
      </c>
      <c r="K191" s="67" t="s">
        <v>179</v>
      </c>
      <c r="L191" s="70"/>
      <c r="M191" s="62"/>
      <c r="N191" s="62"/>
      <c r="O191" s="64"/>
      <c r="P191" s="79" t="s">
        <v>42</v>
      </c>
      <c r="Q191" s="73" t="s">
        <v>43</v>
      </c>
      <c r="R191" s="62"/>
    </row>
    <row r="192" ht="27.6" spans="1:18">
      <c r="A192" s="58">
        <v>169</v>
      </c>
      <c r="B192" s="75">
        <v>45676</v>
      </c>
      <c r="C192" s="69" t="s">
        <v>397</v>
      </c>
      <c r="D192" s="62" t="s">
        <v>35</v>
      </c>
      <c r="E192" s="62"/>
      <c r="F192" s="62" t="s">
        <v>36</v>
      </c>
      <c r="G192" s="62" t="s">
        <v>45</v>
      </c>
      <c r="H192" s="62" t="s">
        <v>38</v>
      </c>
      <c r="I192" s="83" t="s">
        <v>181</v>
      </c>
      <c r="J192" s="62" t="s">
        <v>40</v>
      </c>
      <c r="K192" s="67" t="s">
        <v>182</v>
      </c>
      <c r="L192" s="68"/>
      <c r="M192" s="62"/>
      <c r="N192" s="62"/>
      <c r="O192" s="64"/>
      <c r="P192" s="79" t="s">
        <v>42</v>
      </c>
      <c r="Q192" s="73" t="s">
        <v>43</v>
      </c>
      <c r="R192" s="62"/>
    </row>
    <row r="193" ht="13.8" spans="1:18">
      <c r="A193" s="58">
        <v>170</v>
      </c>
      <c r="B193" s="75">
        <v>45671</v>
      </c>
      <c r="C193" s="84" t="s">
        <v>460</v>
      </c>
      <c r="D193" s="85" t="s">
        <v>35</v>
      </c>
      <c r="E193" s="85"/>
      <c r="F193" s="65" t="s">
        <v>36</v>
      </c>
      <c r="G193" s="65" t="s">
        <v>61</v>
      </c>
      <c r="H193" s="62" t="s">
        <v>38</v>
      </c>
      <c r="I193" s="86" t="s">
        <v>184</v>
      </c>
      <c r="J193" s="65" t="s">
        <v>40</v>
      </c>
      <c r="K193" s="67" t="s">
        <v>185</v>
      </c>
      <c r="L193" s="87"/>
      <c r="M193" s="62"/>
      <c r="N193" s="62"/>
      <c r="O193" s="64"/>
      <c r="P193" s="79" t="s">
        <v>42</v>
      </c>
      <c r="Q193" s="73" t="s">
        <v>43</v>
      </c>
      <c r="R193" s="62"/>
    </row>
    <row r="194" ht="41.4" spans="1:18">
      <c r="A194" s="58">
        <v>171</v>
      </c>
      <c r="B194" s="75">
        <v>45679</v>
      </c>
      <c r="C194" s="81" t="s">
        <v>147</v>
      </c>
      <c r="D194" s="61" t="s">
        <v>72</v>
      </c>
      <c r="E194" s="62" t="s">
        <v>73</v>
      </c>
      <c r="F194" s="65" t="s">
        <v>36</v>
      </c>
      <c r="G194" s="65" t="s">
        <v>45</v>
      </c>
      <c r="H194" s="62" t="s">
        <v>56</v>
      </c>
      <c r="I194" s="86" t="s">
        <v>461</v>
      </c>
      <c r="J194" s="65" t="s">
        <v>40</v>
      </c>
      <c r="K194" s="67" t="s">
        <v>462</v>
      </c>
      <c r="L194" s="88"/>
      <c r="M194" s="62"/>
      <c r="N194" s="62"/>
      <c r="O194" s="64"/>
      <c r="P194" s="79" t="s">
        <v>42</v>
      </c>
      <c r="Q194" s="73" t="s">
        <v>43</v>
      </c>
      <c r="R194" s="62"/>
    </row>
    <row r="195" ht="55.2" spans="1:18">
      <c r="A195" s="58">
        <v>172</v>
      </c>
      <c r="B195" s="75">
        <v>45683</v>
      </c>
      <c r="C195" s="81" t="s">
        <v>147</v>
      </c>
      <c r="D195" s="61" t="s">
        <v>72</v>
      </c>
      <c r="E195" s="62" t="s">
        <v>73</v>
      </c>
      <c r="F195" s="65" t="s">
        <v>36</v>
      </c>
      <c r="G195" s="65" t="s">
        <v>55</v>
      </c>
      <c r="H195" s="62" t="s">
        <v>38</v>
      </c>
      <c r="I195" s="86" t="s">
        <v>463</v>
      </c>
      <c r="J195" s="65" t="s">
        <v>40</v>
      </c>
      <c r="K195" s="67" t="s">
        <v>464</v>
      </c>
      <c r="L195" s="87"/>
      <c r="M195" s="62"/>
      <c r="N195" s="62"/>
      <c r="O195" s="64"/>
      <c r="P195" s="79" t="s">
        <v>42</v>
      </c>
      <c r="Q195" s="73" t="s">
        <v>43</v>
      </c>
      <c r="R195" s="62"/>
    </row>
    <row r="196" ht="27.6" spans="1:18">
      <c r="A196" s="58">
        <v>173</v>
      </c>
      <c r="B196" s="75">
        <v>45683</v>
      </c>
      <c r="C196" s="64" t="s">
        <v>147</v>
      </c>
      <c r="D196" s="61" t="s">
        <v>72</v>
      </c>
      <c r="E196" s="62" t="s">
        <v>73</v>
      </c>
      <c r="F196" s="62" t="s">
        <v>50</v>
      </c>
      <c r="G196" s="62" t="s">
        <v>65</v>
      </c>
      <c r="H196" s="62" t="s">
        <v>94</v>
      </c>
      <c r="I196" s="83" t="s">
        <v>465</v>
      </c>
      <c r="J196" s="62" t="s">
        <v>53</v>
      </c>
      <c r="K196" s="67" t="s">
        <v>466</v>
      </c>
      <c r="L196" s="68"/>
      <c r="M196" s="62"/>
      <c r="N196" s="62"/>
      <c r="O196" s="64"/>
      <c r="P196" s="79" t="s">
        <v>42</v>
      </c>
      <c r="Q196" s="73" t="s">
        <v>43</v>
      </c>
      <c r="R196" s="62"/>
    </row>
    <row r="197" ht="41.4" spans="1:18">
      <c r="A197" s="58">
        <v>174</v>
      </c>
      <c r="B197" s="75">
        <v>45681</v>
      </c>
      <c r="C197" s="64" t="s">
        <v>147</v>
      </c>
      <c r="D197" s="61" t="s">
        <v>72</v>
      </c>
      <c r="E197" s="62" t="s">
        <v>73</v>
      </c>
      <c r="F197" s="65" t="s">
        <v>36</v>
      </c>
      <c r="G197" s="65" t="s">
        <v>45</v>
      </c>
      <c r="H197" s="62" t="s">
        <v>94</v>
      </c>
      <c r="I197" s="86" t="s">
        <v>467</v>
      </c>
      <c r="J197" s="65" t="s">
        <v>40</v>
      </c>
      <c r="K197" s="67" t="s">
        <v>468</v>
      </c>
      <c r="L197" s="88"/>
      <c r="M197" s="62"/>
      <c r="N197" s="62"/>
      <c r="O197" s="64"/>
      <c r="P197" s="79" t="s">
        <v>42</v>
      </c>
      <c r="Q197" s="73" t="s">
        <v>43</v>
      </c>
      <c r="R197" s="62"/>
    </row>
    <row r="198" ht="41.4" spans="1:18">
      <c r="A198" s="58">
        <v>175</v>
      </c>
      <c r="B198" s="75">
        <v>45681</v>
      </c>
      <c r="C198" s="64" t="s">
        <v>147</v>
      </c>
      <c r="D198" s="61" t="s">
        <v>72</v>
      </c>
      <c r="E198" s="62" t="s">
        <v>73</v>
      </c>
      <c r="F198" s="65" t="s">
        <v>36</v>
      </c>
      <c r="G198" s="65" t="s">
        <v>45</v>
      </c>
      <c r="H198" s="62" t="s">
        <v>46</v>
      </c>
      <c r="I198" s="86" t="s">
        <v>469</v>
      </c>
      <c r="J198" s="65" t="s">
        <v>91</v>
      </c>
      <c r="K198" s="67" t="s">
        <v>470</v>
      </c>
      <c r="L198" s="88"/>
      <c r="M198" s="62"/>
      <c r="N198" s="62"/>
      <c r="O198" s="64"/>
      <c r="P198" s="79" t="s">
        <v>42</v>
      </c>
      <c r="Q198" s="73" t="s">
        <v>43</v>
      </c>
      <c r="R198" s="62"/>
    </row>
    <row r="199" ht="41.4" spans="1:18">
      <c r="A199" s="58">
        <v>176</v>
      </c>
      <c r="B199" s="75">
        <v>45683</v>
      </c>
      <c r="C199" s="64" t="s">
        <v>147</v>
      </c>
      <c r="D199" s="61" t="s">
        <v>72</v>
      </c>
      <c r="E199" s="62" t="s">
        <v>73</v>
      </c>
      <c r="F199" s="85" t="s">
        <v>50</v>
      </c>
      <c r="G199" s="65" t="s">
        <v>65</v>
      </c>
      <c r="H199" s="62" t="s">
        <v>46</v>
      </c>
      <c r="I199" s="86" t="s">
        <v>471</v>
      </c>
      <c r="J199" s="65" t="s">
        <v>91</v>
      </c>
      <c r="K199" s="67" t="s">
        <v>472</v>
      </c>
      <c r="L199" s="88"/>
      <c r="M199" s="62"/>
      <c r="N199" s="62"/>
      <c r="O199" s="64"/>
      <c r="P199" s="79" t="s">
        <v>42</v>
      </c>
      <c r="Q199" s="73" t="s">
        <v>43</v>
      </c>
      <c r="R199" s="62"/>
    </row>
    <row r="200" ht="27.6" spans="1:18">
      <c r="A200" s="58">
        <v>177</v>
      </c>
      <c r="B200" s="75">
        <v>45679</v>
      </c>
      <c r="C200" s="64" t="s">
        <v>147</v>
      </c>
      <c r="D200" s="61" t="s">
        <v>72</v>
      </c>
      <c r="E200" s="62" t="s">
        <v>73</v>
      </c>
      <c r="F200" s="85" t="s">
        <v>36</v>
      </c>
      <c r="G200" s="65" t="s">
        <v>37</v>
      </c>
      <c r="H200" s="62" t="s">
        <v>56</v>
      </c>
      <c r="I200" s="86" t="s">
        <v>473</v>
      </c>
      <c r="J200" s="65" t="s">
        <v>91</v>
      </c>
      <c r="K200" s="67" t="s">
        <v>474</v>
      </c>
      <c r="L200" s="88"/>
      <c r="M200" s="62"/>
      <c r="N200" s="62"/>
      <c r="O200" s="64"/>
      <c r="P200" s="79" t="s">
        <v>42</v>
      </c>
      <c r="Q200" s="73" t="s">
        <v>43</v>
      </c>
      <c r="R200" s="62"/>
    </row>
    <row r="201" ht="26.4" spans="1:18">
      <c r="A201" s="58">
        <v>178</v>
      </c>
      <c r="B201" s="75">
        <v>45683</v>
      </c>
      <c r="C201" s="64" t="s">
        <v>147</v>
      </c>
      <c r="D201" s="61" t="s">
        <v>72</v>
      </c>
      <c r="E201" s="62" t="s">
        <v>73</v>
      </c>
      <c r="F201" s="62" t="s">
        <v>36</v>
      </c>
      <c r="G201" s="62" t="s">
        <v>259</v>
      </c>
      <c r="H201" s="62" t="s">
        <v>56</v>
      </c>
      <c r="I201" s="78" t="s">
        <v>475</v>
      </c>
      <c r="J201" s="62" t="s">
        <v>40</v>
      </c>
      <c r="K201" s="67" t="s">
        <v>476</v>
      </c>
      <c r="L201" s="70"/>
      <c r="M201" s="62"/>
      <c r="N201" s="62"/>
      <c r="O201" s="64"/>
      <c r="P201" s="79" t="s">
        <v>42</v>
      </c>
      <c r="Q201" s="73" t="s">
        <v>43</v>
      </c>
      <c r="R201" s="62"/>
    </row>
    <row r="202" ht="66" spans="1:18">
      <c r="A202" s="58">
        <v>179</v>
      </c>
      <c r="B202" s="75">
        <v>45682</v>
      </c>
      <c r="C202" s="81" t="s">
        <v>147</v>
      </c>
      <c r="D202" s="61" t="s">
        <v>72</v>
      </c>
      <c r="E202" s="62" t="s">
        <v>73</v>
      </c>
      <c r="F202" s="65" t="s">
        <v>36</v>
      </c>
      <c r="G202" s="65" t="s">
        <v>61</v>
      </c>
      <c r="H202" s="65" t="s">
        <v>56</v>
      </c>
      <c r="I202" s="80" t="s">
        <v>477</v>
      </c>
      <c r="J202" s="65" t="s">
        <v>91</v>
      </c>
      <c r="K202" s="67" t="s">
        <v>478</v>
      </c>
      <c r="L202" s="87"/>
      <c r="M202" s="62"/>
      <c r="N202" s="62"/>
      <c r="O202" s="81"/>
      <c r="P202" s="82" t="s">
        <v>42</v>
      </c>
      <c r="Q202" s="73" t="s">
        <v>43</v>
      </c>
      <c r="R202" s="65"/>
    </row>
    <row r="203" ht="27.6" spans="1:18">
      <c r="A203" s="58">
        <v>180</v>
      </c>
      <c r="B203" s="75">
        <v>45683</v>
      </c>
      <c r="C203" s="64" t="s">
        <v>147</v>
      </c>
      <c r="D203" s="61" t="s">
        <v>72</v>
      </c>
      <c r="E203" s="62" t="s">
        <v>73</v>
      </c>
      <c r="F203" s="62" t="s">
        <v>36</v>
      </c>
      <c r="G203" s="62" t="s">
        <v>55</v>
      </c>
      <c r="H203" s="62" t="s">
        <v>66</v>
      </c>
      <c r="I203" s="78" t="s">
        <v>479</v>
      </c>
      <c r="J203" s="62" t="s">
        <v>88</v>
      </c>
      <c r="K203" s="67" t="s">
        <v>480</v>
      </c>
      <c r="L203" s="70"/>
      <c r="M203" s="62"/>
      <c r="N203" s="62"/>
      <c r="O203" s="64"/>
      <c r="P203" s="79" t="s">
        <v>42</v>
      </c>
      <c r="Q203" s="73" t="s">
        <v>43</v>
      </c>
      <c r="R203" s="62"/>
    </row>
    <row r="204" ht="27.6" spans="1:18">
      <c r="A204" s="58">
        <v>181</v>
      </c>
      <c r="B204" s="75">
        <v>45683</v>
      </c>
      <c r="C204" s="64" t="s">
        <v>147</v>
      </c>
      <c r="D204" s="61" t="s">
        <v>72</v>
      </c>
      <c r="E204" s="62" t="s">
        <v>73</v>
      </c>
      <c r="F204" s="62" t="s">
        <v>36</v>
      </c>
      <c r="G204" s="62" t="s">
        <v>93</v>
      </c>
      <c r="H204" s="62" t="s">
        <v>56</v>
      </c>
      <c r="I204" s="78" t="s">
        <v>481</v>
      </c>
      <c r="J204" s="62" t="s">
        <v>40</v>
      </c>
      <c r="K204" s="67" t="s">
        <v>482</v>
      </c>
      <c r="L204" s="70"/>
      <c r="M204" s="62"/>
      <c r="N204" s="62"/>
      <c r="O204" s="64"/>
      <c r="P204" s="79" t="s">
        <v>42</v>
      </c>
      <c r="Q204" s="73" t="s">
        <v>43</v>
      </c>
      <c r="R204" s="62"/>
    </row>
    <row r="205" ht="27.6" spans="1:18">
      <c r="A205" s="58">
        <v>182</v>
      </c>
      <c r="B205" s="75">
        <v>45683</v>
      </c>
      <c r="C205" s="64" t="s">
        <v>147</v>
      </c>
      <c r="D205" s="61" t="s">
        <v>72</v>
      </c>
      <c r="E205" s="62" t="s">
        <v>73</v>
      </c>
      <c r="F205" s="62" t="s">
        <v>36</v>
      </c>
      <c r="G205" s="62" t="s">
        <v>65</v>
      </c>
      <c r="H205" s="62" t="s">
        <v>38</v>
      </c>
      <c r="I205" s="78" t="s">
        <v>483</v>
      </c>
      <c r="J205" s="62" t="s">
        <v>40</v>
      </c>
      <c r="K205" s="67" t="s">
        <v>484</v>
      </c>
      <c r="L205" s="70"/>
      <c r="M205" s="62"/>
      <c r="N205" s="62"/>
      <c r="O205" s="64"/>
      <c r="P205" s="79" t="s">
        <v>42</v>
      </c>
      <c r="Q205" s="73" t="s">
        <v>43</v>
      </c>
      <c r="R205" s="62"/>
    </row>
    <row r="206" ht="27.6" spans="1:18">
      <c r="A206" s="58">
        <v>183</v>
      </c>
      <c r="B206" s="75">
        <v>45681</v>
      </c>
      <c r="C206" s="64" t="s">
        <v>147</v>
      </c>
      <c r="D206" s="61" t="s">
        <v>72</v>
      </c>
      <c r="E206" s="62" t="s">
        <v>73</v>
      </c>
      <c r="F206" s="62" t="s">
        <v>50</v>
      </c>
      <c r="G206" s="62" t="s">
        <v>45</v>
      </c>
      <c r="H206" s="62" t="s">
        <v>51</v>
      </c>
      <c r="I206" s="78" t="s">
        <v>485</v>
      </c>
      <c r="J206" s="62" t="s">
        <v>53</v>
      </c>
      <c r="K206" s="67" t="s">
        <v>486</v>
      </c>
      <c r="L206" s="70"/>
      <c r="M206" s="62"/>
      <c r="N206" s="62"/>
      <c r="O206" s="64"/>
      <c r="P206" s="79" t="s">
        <v>42</v>
      </c>
      <c r="Q206" s="73" t="s">
        <v>43</v>
      </c>
      <c r="R206" s="62"/>
    </row>
    <row r="207" ht="27.6" spans="1:18">
      <c r="A207" s="58">
        <v>184</v>
      </c>
      <c r="B207" s="75">
        <v>45679</v>
      </c>
      <c r="C207" s="64" t="s">
        <v>147</v>
      </c>
      <c r="D207" s="61" t="s">
        <v>72</v>
      </c>
      <c r="E207" s="62" t="s">
        <v>73</v>
      </c>
      <c r="F207" s="62" t="s">
        <v>50</v>
      </c>
      <c r="G207" s="62" t="s">
        <v>37</v>
      </c>
      <c r="H207" s="62" t="s">
        <v>46</v>
      </c>
      <c r="I207" s="78" t="s">
        <v>487</v>
      </c>
      <c r="J207" s="62" t="s">
        <v>53</v>
      </c>
      <c r="K207" s="67" t="s">
        <v>488</v>
      </c>
      <c r="L207" s="70"/>
      <c r="M207" s="62"/>
      <c r="N207" s="62"/>
      <c r="O207" s="64"/>
      <c r="P207" s="79" t="s">
        <v>42</v>
      </c>
      <c r="Q207" s="73" t="s">
        <v>43</v>
      </c>
      <c r="R207" s="62"/>
    </row>
    <row r="208" ht="26.4" spans="1:18">
      <c r="A208" s="58">
        <v>185</v>
      </c>
      <c r="B208" s="75">
        <v>45683</v>
      </c>
      <c r="C208" s="64" t="s">
        <v>71</v>
      </c>
      <c r="D208" s="61" t="s">
        <v>72</v>
      </c>
      <c r="E208" s="62" t="s">
        <v>73</v>
      </c>
      <c r="F208" s="62" t="s">
        <v>50</v>
      </c>
      <c r="G208" s="62" t="s">
        <v>37</v>
      </c>
      <c r="H208" s="62" t="s">
        <v>94</v>
      </c>
      <c r="I208" s="78" t="s">
        <v>489</v>
      </c>
      <c r="J208" s="62" t="s">
        <v>53</v>
      </c>
      <c r="K208" s="67"/>
      <c r="L208" s="70"/>
      <c r="M208" s="62"/>
      <c r="N208" s="62"/>
      <c r="O208" s="64"/>
      <c r="P208" s="79" t="s">
        <v>42</v>
      </c>
      <c r="Q208" s="73" t="s">
        <v>43</v>
      </c>
      <c r="R208" s="62"/>
    </row>
    <row r="209" ht="13.8" spans="1:18">
      <c r="A209" s="58">
        <v>186</v>
      </c>
      <c r="B209" s="75">
        <v>45683</v>
      </c>
      <c r="C209" s="64" t="s">
        <v>71</v>
      </c>
      <c r="D209" s="61" t="s">
        <v>72</v>
      </c>
      <c r="E209" s="62" t="s">
        <v>73</v>
      </c>
      <c r="F209" s="62" t="s">
        <v>36</v>
      </c>
      <c r="G209" s="62" t="s">
        <v>55</v>
      </c>
      <c r="H209" s="62" t="s">
        <v>56</v>
      </c>
      <c r="I209" s="78" t="s">
        <v>490</v>
      </c>
      <c r="J209" s="62" t="s">
        <v>40</v>
      </c>
      <c r="K209" s="67"/>
      <c r="L209" s="70"/>
      <c r="M209" s="62"/>
      <c r="N209" s="62"/>
      <c r="O209" s="64"/>
      <c r="P209" s="79" t="s">
        <v>42</v>
      </c>
      <c r="Q209" s="73" t="s">
        <v>43</v>
      </c>
      <c r="R209" s="62"/>
    </row>
    <row r="210" ht="26.4" spans="1:18">
      <c r="A210" s="58">
        <v>187</v>
      </c>
      <c r="B210" s="75">
        <v>45684</v>
      </c>
      <c r="C210" s="64" t="s">
        <v>71</v>
      </c>
      <c r="D210" s="61" t="s">
        <v>72</v>
      </c>
      <c r="E210" s="62" t="s">
        <v>73</v>
      </c>
      <c r="F210" s="62" t="s">
        <v>36</v>
      </c>
      <c r="G210" s="62" t="s">
        <v>37</v>
      </c>
      <c r="H210" s="62" t="s">
        <v>66</v>
      </c>
      <c r="I210" s="78" t="s">
        <v>491</v>
      </c>
      <c r="J210" s="62" t="s">
        <v>40</v>
      </c>
      <c r="K210" s="67"/>
      <c r="L210" s="70"/>
      <c r="M210" s="62"/>
      <c r="N210" s="62"/>
      <c r="O210" s="64"/>
      <c r="P210" s="79" t="s">
        <v>42</v>
      </c>
      <c r="Q210" s="73" t="s">
        <v>43</v>
      </c>
      <c r="R210" s="62"/>
    </row>
    <row r="211" ht="26.4" spans="1:18">
      <c r="A211" s="58">
        <v>188</v>
      </c>
      <c r="B211" s="75">
        <v>45684</v>
      </c>
      <c r="C211" s="64" t="s">
        <v>71</v>
      </c>
      <c r="D211" s="61" t="s">
        <v>72</v>
      </c>
      <c r="E211" s="62" t="s">
        <v>73</v>
      </c>
      <c r="F211" s="62" t="s">
        <v>50</v>
      </c>
      <c r="G211" s="62" t="s">
        <v>45</v>
      </c>
      <c r="H211" s="62" t="s">
        <v>51</v>
      </c>
      <c r="I211" s="78" t="s">
        <v>492</v>
      </c>
      <c r="J211" s="62" t="s">
        <v>53</v>
      </c>
      <c r="K211" s="67"/>
      <c r="L211" s="70"/>
      <c r="M211" s="62"/>
      <c r="N211" s="62"/>
      <c r="O211" s="64"/>
      <c r="P211" s="79" t="s">
        <v>42</v>
      </c>
      <c r="Q211" s="73" t="s">
        <v>43</v>
      </c>
      <c r="R211" s="62"/>
    </row>
    <row r="212" ht="13.8" spans="1:18">
      <c r="A212" s="58">
        <v>189</v>
      </c>
      <c r="B212" s="75">
        <v>45684</v>
      </c>
      <c r="C212" s="64" t="s">
        <v>71</v>
      </c>
      <c r="D212" s="61" t="s">
        <v>72</v>
      </c>
      <c r="E212" s="62" t="s">
        <v>73</v>
      </c>
      <c r="F212" s="62" t="s">
        <v>36</v>
      </c>
      <c r="G212" s="62" t="s">
        <v>82</v>
      </c>
      <c r="H212" s="62" t="s">
        <v>38</v>
      </c>
      <c r="I212" s="78" t="s">
        <v>493</v>
      </c>
      <c r="J212" s="62" t="s">
        <v>40</v>
      </c>
      <c r="K212" s="67"/>
      <c r="L212" s="70"/>
      <c r="M212" s="62"/>
      <c r="N212" s="62"/>
      <c r="O212" s="64"/>
      <c r="P212" s="79" t="s">
        <v>42</v>
      </c>
      <c r="Q212" s="73" t="s">
        <v>43</v>
      </c>
      <c r="R212" s="62"/>
    </row>
    <row r="213" ht="26.4" spans="1:18">
      <c r="A213" s="58">
        <v>190</v>
      </c>
      <c r="B213" s="75">
        <v>45684</v>
      </c>
      <c r="C213" s="64" t="s">
        <v>71</v>
      </c>
      <c r="D213" s="61" t="s">
        <v>72</v>
      </c>
      <c r="E213" s="62" t="s">
        <v>73</v>
      </c>
      <c r="F213" s="62" t="s">
        <v>36</v>
      </c>
      <c r="G213" s="62" t="s">
        <v>61</v>
      </c>
      <c r="H213" s="62" t="s">
        <v>56</v>
      </c>
      <c r="I213" s="78" t="s">
        <v>494</v>
      </c>
      <c r="J213" s="62" t="s">
        <v>40</v>
      </c>
      <c r="K213" s="67"/>
      <c r="L213" s="70"/>
      <c r="M213" s="62"/>
      <c r="N213" s="62"/>
      <c r="O213" s="64"/>
      <c r="P213" s="79" t="s">
        <v>42</v>
      </c>
      <c r="Q213" s="73" t="s">
        <v>43</v>
      </c>
      <c r="R213" s="62"/>
    </row>
    <row r="214" ht="26.4" spans="1:18">
      <c r="A214" s="58">
        <v>191</v>
      </c>
      <c r="B214" s="75">
        <v>45677</v>
      </c>
      <c r="C214" s="64" t="s">
        <v>157</v>
      </c>
      <c r="D214" s="61" t="s">
        <v>72</v>
      </c>
      <c r="E214" s="62" t="s">
        <v>73</v>
      </c>
      <c r="F214" s="62" t="s">
        <v>36</v>
      </c>
      <c r="G214" s="62" t="s">
        <v>45</v>
      </c>
      <c r="H214" s="62" t="s">
        <v>38</v>
      </c>
      <c r="I214" s="78" t="s">
        <v>495</v>
      </c>
      <c r="J214" s="62" t="s">
        <v>40</v>
      </c>
      <c r="K214" s="67" t="s">
        <v>496</v>
      </c>
      <c r="L214" s="70"/>
      <c r="M214" s="62"/>
      <c r="N214" s="62"/>
      <c r="O214" s="64"/>
      <c r="P214" s="79" t="s">
        <v>42</v>
      </c>
      <c r="Q214" s="73" t="s">
        <v>43</v>
      </c>
      <c r="R214" s="62"/>
    </row>
    <row r="215" ht="27.6" spans="1:18">
      <c r="A215" s="58">
        <v>192</v>
      </c>
      <c r="B215" s="75">
        <v>45677</v>
      </c>
      <c r="C215" s="64" t="s">
        <v>157</v>
      </c>
      <c r="D215" s="61" t="s">
        <v>72</v>
      </c>
      <c r="E215" s="62" t="s">
        <v>73</v>
      </c>
      <c r="F215" s="62" t="s">
        <v>36</v>
      </c>
      <c r="G215" s="62" t="s">
        <v>37</v>
      </c>
      <c r="H215" s="62" t="s">
        <v>38</v>
      </c>
      <c r="I215" s="78" t="s">
        <v>497</v>
      </c>
      <c r="J215" s="62" t="s">
        <v>91</v>
      </c>
      <c r="K215" s="67" t="s">
        <v>498</v>
      </c>
      <c r="L215" s="70"/>
      <c r="M215" s="62"/>
      <c r="N215" s="62"/>
      <c r="O215" s="64"/>
      <c r="P215" s="79" t="s">
        <v>42</v>
      </c>
      <c r="Q215" s="73" t="s">
        <v>43</v>
      </c>
      <c r="R215" s="62"/>
    </row>
    <row r="216" ht="26.4" spans="1:18">
      <c r="A216" s="58">
        <v>193</v>
      </c>
      <c r="B216" s="75">
        <v>45684</v>
      </c>
      <c r="C216" s="64" t="s">
        <v>71</v>
      </c>
      <c r="D216" s="61" t="s">
        <v>72</v>
      </c>
      <c r="E216" s="62" t="s">
        <v>73</v>
      </c>
      <c r="F216" s="62" t="s">
        <v>36</v>
      </c>
      <c r="G216" s="62" t="s">
        <v>45</v>
      </c>
      <c r="H216" s="62" t="s">
        <v>38</v>
      </c>
      <c r="I216" s="78" t="s">
        <v>499</v>
      </c>
      <c r="J216" s="62" t="s">
        <v>40</v>
      </c>
      <c r="K216" s="67"/>
      <c r="L216" s="70"/>
      <c r="M216" s="62"/>
      <c r="N216" s="62"/>
      <c r="O216" s="64"/>
      <c r="P216" s="79" t="s">
        <v>42</v>
      </c>
      <c r="Q216" s="73" t="s">
        <v>43</v>
      </c>
      <c r="R216" s="62"/>
    </row>
    <row r="217" ht="66" spans="1:18">
      <c r="A217" s="58">
        <v>194</v>
      </c>
      <c r="B217" s="75">
        <v>45682</v>
      </c>
      <c r="C217" s="64" t="s">
        <v>147</v>
      </c>
      <c r="D217" s="61" t="s">
        <v>72</v>
      </c>
      <c r="E217" s="62" t="s">
        <v>73</v>
      </c>
      <c r="F217" s="62" t="s">
        <v>36</v>
      </c>
      <c r="G217" s="62" t="s">
        <v>61</v>
      </c>
      <c r="H217" s="62" t="s">
        <v>56</v>
      </c>
      <c r="I217" s="78" t="s">
        <v>500</v>
      </c>
      <c r="J217" s="62" t="s">
        <v>91</v>
      </c>
      <c r="K217" s="67" t="s">
        <v>501</v>
      </c>
      <c r="L217" s="70"/>
      <c r="M217" s="62"/>
      <c r="N217" s="62"/>
      <c r="O217" s="64"/>
      <c r="P217" s="79" t="s">
        <v>42</v>
      </c>
      <c r="Q217" s="73" t="s">
        <v>43</v>
      </c>
      <c r="R217" s="62"/>
    </row>
    <row r="218" ht="41.4" spans="1:18">
      <c r="A218" s="58">
        <v>195</v>
      </c>
      <c r="B218" s="75">
        <v>45677</v>
      </c>
      <c r="C218" s="64" t="s">
        <v>157</v>
      </c>
      <c r="D218" s="61" t="s">
        <v>72</v>
      </c>
      <c r="E218" s="62" t="s">
        <v>73</v>
      </c>
      <c r="F218" s="62" t="s">
        <v>50</v>
      </c>
      <c r="G218" s="62" t="s">
        <v>45</v>
      </c>
      <c r="H218" s="62" t="s">
        <v>46</v>
      </c>
      <c r="I218" s="78" t="s">
        <v>502</v>
      </c>
      <c r="J218" s="62" t="s">
        <v>53</v>
      </c>
      <c r="K218" s="67" t="s">
        <v>503</v>
      </c>
      <c r="L218" s="70"/>
      <c r="M218" s="62"/>
      <c r="N218" s="62"/>
      <c r="O218" s="64"/>
      <c r="P218" s="79" t="s">
        <v>42</v>
      </c>
      <c r="Q218" s="73" t="s">
        <v>43</v>
      </c>
      <c r="R218" s="62"/>
    </row>
    <row r="219" ht="13.8" spans="1:18">
      <c r="A219" s="58">
        <v>196</v>
      </c>
      <c r="B219" s="75">
        <v>45682</v>
      </c>
      <c r="C219" s="64" t="s">
        <v>363</v>
      </c>
      <c r="D219" s="62" t="s">
        <v>35</v>
      </c>
      <c r="E219" s="62"/>
      <c r="F219" s="62" t="s">
        <v>36</v>
      </c>
      <c r="G219" s="62" t="s">
        <v>45</v>
      </c>
      <c r="H219" s="62" t="s">
        <v>56</v>
      </c>
      <c r="I219" s="78" t="s">
        <v>437</v>
      </c>
      <c r="J219" s="62" t="s">
        <v>40</v>
      </c>
      <c r="K219" s="67" t="s">
        <v>438</v>
      </c>
      <c r="L219" s="70"/>
      <c r="M219" s="62"/>
      <c r="N219" s="62"/>
      <c r="O219" s="64"/>
      <c r="P219" s="79" t="s">
        <v>42</v>
      </c>
      <c r="Q219" s="73" t="s">
        <v>43</v>
      </c>
      <c r="R219" s="62"/>
    </row>
    <row r="220" ht="13.8" spans="1:18">
      <c r="A220" s="58">
        <v>197</v>
      </c>
      <c r="B220" s="75">
        <v>45682</v>
      </c>
      <c r="C220" s="64" t="s">
        <v>366</v>
      </c>
      <c r="D220" s="62" t="s">
        <v>35</v>
      </c>
      <c r="E220" s="62"/>
      <c r="F220" s="62" t="s">
        <v>36</v>
      </c>
      <c r="G220" s="62" t="s">
        <v>65</v>
      </c>
      <c r="H220" s="62" t="s">
        <v>66</v>
      </c>
      <c r="I220" s="78" t="s">
        <v>440</v>
      </c>
      <c r="J220" s="62" t="s">
        <v>40</v>
      </c>
      <c r="K220" s="67" t="s">
        <v>504</v>
      </c>
      <c r="L220" s="70"/>
      <c r="M220" s="62"/>
      <c r="N220" s="62"/>
      <c r="O220" s="64"/>
      <c r="P220" s="79" t="s">
        <v>42</v>
      </c>
      <c r="Q220" s="73" t="s">
        <v>43</v>
      </c>
      <c r="R220" s="62"/>
    </row>
    <row r="221" ht="27.6" spans="1:18">
      <c r="A221" s="58">
        <v>198</v>
      </c>
      <c r="B221" s="75">
        <v>45683</v>
      </c>
      <c r="C221" s="64" t="s">
        <v>369</v>
      </c>
      <c r="D221" s="62" t="s">
        <v>35</v>
      </c>
      <c r="E221" s="62"/>
      <c r="F221" s="62" t="s">
        <v>36</v>
      </c>
      <c r="G221" s="62" t="s">
        <v>37</v>
      </c>
      <c r="H221" s="62" t="s">
        <v>56</v>
      </c>
      <c r="I221" s="78" t="s">
        <v>505</v>
      </c>
      <c r="J221" s="62" t="s">
        <v>40</v>
      </c>
      <c r="K221" s="67" t="s">
        <v>506</v>
      </c>
      <c r="L221" s="70"/>
      <c r="M221" s="62"/>
      <c r="N221" s="62"/>
      <c r="O221" s="64"/>
      <c r="P221" s="79" t="s">
        <v>42</v>
      </c>
      <c r="Q221" s="73" t="s">
        <v>43</v>
      </c>
      <c r="R221" s="62"/>
    </row>
    <row r="222" ht="13.8" spans="1:18">
      <c r="A222" s="58">
        <v>199</v>
      </c>
      <c r="B222" s="75">
        <v>45684</v>
      </c>
      <c r="C222" s="64" t="s">
        <v>372</v>
      </c>
      <c r="D222" s="62" t="s">
        <v>35</v>
      </c>
      <c r="E222" s="62"/>
      <c r="F222" s="62" t="s">
        <v>50</v>
      </c>
      <c r="G222" s="62" t="s">
        <v>82</v>
      </c>
      <c r="H222" s="62" t="s">
        <v>51</v>
      </c>
      <c r="I222" s="78" t="s">
        <v>507</v>
      </c>
      <c r="J222" s="62" t="s">
        <v>53</v>
      </c>
      <c r="K222" s="67" t="s">
        <v>508</v>
      </c>
      <c r="L222" s="70"/>
      <c r="M222" s="62"/>
      <c r="N222" s="62"/>
      <c r="O222" s="64"/>
      <c r="P222" s="79" t="s">
        <v>42</v>
      </c>
      <c r="Q222" s="73" t="s">
        <v>43</v>
      </c>
      <c r="R222" s="62"/>
    </row>
    <row r="223" ht="13.8" spans="1:18">
      <c r="A223" s="58">
        <v>200</v>
      </c>
      <c r="B223" s="75">
        <v>45685</v>
      </c>
      <c r="C223" s="64" t="s">
        <v>375</v>
      </c>
      <c r="D223" s="62" t="s">
        <v>35</v>
      </c>
      <c r="E223" s="62"/>
      <c r="F223" s="62" t="s">
        <v>36</v>
      </c>
      <c r="G223" s="62" t="s">
        <v>82</v>
      </c>
      <c r="H223" s="62" t="s">
        <v>38</v>
      </c>
      <c r="I223" s="78" t="s">
        <v>509</v>
      </c>
      <c r="J223" s="62" t="s">
        <v>40</v>
      </c>
      <c r="K223" s="67" t="s">
        <v>510</v>
      </c>
      <c r="L223" s="70"/>
      <c r="M223" s="62"/>
      <c r="N223" s="62"/>
      <c r="O223" s="64"/>
      <c r="P223" s="79" t="s">
        <v>42</v>
      </c>
      <c r="Q223" s="73" t="s">
        <v>43</v>
      </c>
      <c r="R223" s="62"/>
    </row>
    <row r="224" ht="27.6" spans="1:18">
      <c r="A224" s="58">
        <v>201</v>
      </c>
      <c r="B224" s="75">
        <v>45685</v>
      </c>
      <c r="C224" s="64" t="s">
        <v>379</v>
      </c>
      <c r="D224" s="62" t="s">
        <v>35</v>
      </c>
      <c r="E224" s="62"/>
      <c r="F224" s="62" t="s">
        <v>36</v>
      </c>
      <c r="G224" s="62" t="s">
        <v>82</v>
      </c>
      <c r="H224" s="62" t="s">
        <v>66</v>
      </c>
      <c r="I224" s="78" t="s">
        <v>511</v>
      </c>
      <c r="J224" s="62" t="s">
        <v>40</v>
      </c>
      <c r="K224" s="67" t="s">
        <v>512</v>
      </c>
      <c r="L224" s="70"/>
      <c r="M224" s="62"/>
      <c r="N224" s="62"/>
      <c r="O224" s="64"/>
      <c r="P224" s="79" t="s">
        <v>42</v>
      </c>
      <c r="Q224" s="73" t="s">
        <v>43</v>
      </c>
      <c r="R224" s="62"/>
    </row>
    <row r="225" ht="13.8" spans="1:18">
      <c r="A225" s="58">
        <v>202</v>
      </c>
      <c r="B225" s="75">
        <v>45685</v>
      </c>
      <c r="C225" s="64" t="s">
        <v>382</v>
      </c>
      <c r="D225" s="62" t="s">
        <v>35</v>
      </c>
      <c r="E225" s="62"/>
      <c r="F225" s="62" t="s">
        <v>36</v>
      </c>
      <c r="G225" s="62" t="s">
        <v>45</v>
      </c>
      <c r="H225" s="62" t="s">
        <v>38</v>
      </c>
      <c r="I225" s="78" t="s">
        <v>513</v>
      </c>
      <c r="J225" s="62" t="s">
        <v>40</v>
      </c>
      <c r="K225" s="67" t="s">
        <v>514</v>
      </c>
      <c r="L225" s="70"/>
      <c r="M225" s="62"/>
      <c r="N225" s="62"/>
      <c r="O225" s="64"/>
      <c r="P225" s="79" t="s">
        <v>42</v>
      </c>
      <c r="Q225" s="73" t="s">
        <v>43</v>
      </c>
      <c r="R225" s="62"/>
    </row>
    <row r="226" ht="13.8" spans="1:18">
      <c r="A226" s="58">
        <v>203</v>
      </c>
      <c r="B226" s="75">
        <v>45685</v>
      </c>
      <c r="C226" s="64" t="s">
        <v>385</v>
      </c>
      <c r="D226" s="62" t="s">
        <v>35</v>
      </c>
      <c r="E226" s="62"/>
      <c r="F226" s="62" t="s">
        <v>36</v>
      </c>
      <c r="G226" s="62" t="s">
        <v>45</v>
      </c>
      <c r="H226" s="62" t="s">
        <v>132</v>
      </c>
      <c r="I226" s="78" t="s">
        <v>515</v>
      </c>
      <c r="J226" s="62" t="s">
        <v>40</v>
      </c>
      <c r="K226" s="67" t="s">
        <v>516</v>
      </c>
      <c r="L226" s="70"/>
      <c r="M226" s="62"/>
      <c r="N226" s="62"/>
      <c r="O226" s="64"/>
      <c r="P226" s="79" t="s">
        <v>42</v>
      </c>
      <c r="Q226" s="73" t="s">
        <v>43</v>
      </c>
      <c r="R226" s="62"/>
    </row>
    <row r="227" ht="13.8" spans="1:18">
      <c r="A227" s="58">
        <v>204</v>
      </c>
      <c r="B227" s="75">
        <v>45683</v>
      </c>
      <c r="C227" s="64" t="s">
        <v>388</v>
      </c>
      <c r="D227" s="62" t="s">
        <v>35</v>
      </c>
      <c r="E227" s="62"/>
      <c r="F227" s="62" t="s">
        <v>36</v>
      </c>
      <c r="G227" s="62" t="s">
        <v>65</v>
      </c>
      <c r="H227" s="62" t="s">
        <v>132</v>
      </c>
      <c r="I227" s="78" t="s">
        <v>517</v>
      </c>
      <c r="J227" s="62" t="s">
        <v>40</v>
      </c>
      <c r="K227" s="67" t="s">
        <v>518</v>
      </c>
      <c r="L227" s="70"/>
      <c r="M227" s="62"/>
      <c r="N227" s="62"/>
      <c r="O227" s="64"/>
      <c r="P227" s="79" t="s">
        <v>42</v>
      </c>
      <c r="Q227" s="73" t="s">
        <v>43</v>
      </c>
      <c r="R227" s="62"/>
    </row>
    <row r="228" ht="27.6" spans="1:18">
      <c r="A228" s="58">
        <v>205</v>
      </c>
      <c r="B228" s="75">
        <v>45673</v>
      </c>
      <c r="C228" s="64" t="s">
        <v>389</v>
      </c>
      <c r="D228" s="62" t="s">
        <v>35</v>
      </c>
      <c r="E228" s="62"/>
      <c r="F228" s="62" t="s">
        <v>50</v>
      </c>
      <c r="G228" s="62" t="s">
        <v>93</v>
      </c>
      <c r="H228" s="62" t="s">
        <v>51</v>
      </c>
      <c r="I228" s="78" t="s">
        <v>519</v>
      </c>
      <c r="J228" s="62" t="s">
        <v>53</v>
      </c>
      <c r="K228" s="67" t="s">
        <v>520</v>
      </c>
      <c r="L228" s="70"/>
      <c r="M228" s="62"/>
      <c r="N228" s="62"/>
      <c r="O228" s="64"/>
      <c r="P228" s="79" t="s">
        <v>42</v>
      </c>
      <c r="Q228" s="73" t="s">
        <v>43</v>
      </c>
      <c r="R228" s="62"/>
    </row>
    <row r="229" ht="27.6" spans="1:18">
      <c r="A229" s="58">
        <v>206</v>
      </c>
      <c r="B229" s="75">
        <v>45673</v>
      </c>
      <c r="C229" s="64" t="s">
        <v>391</v>
      </c>
      <c r="D229" s="62" t="s">
        <v>35</v>
      </c>
      <c r="E229" s="62"/>
      <c r="F229" s="62" t="s">
        <v>36</v>
      </c>
      <c r="G229" s="62" t="s">
        <v>82</v>
      </c>
      <c r="H229" s="62" t="s">
        <v>132</v>
      </c>
      <c r="I229" s="78" t="s">
        <v>521</v>
      </c>
      <c r="J229" s="62" t="s">
        <v>40</v>
      </c>
      <c r="K229" s="67" t="s">
        <v>522</v>
      </c>
      <c r="L229" s="70"/>
      <c r="M229" s="62"/>
      <c r="N229" s="62"/>
      <c r="O229" s="64"/>
      <c r="P229" s="79" t="s">
        <v>42</v>
      </c>
      <c r="Q229" s="73" t="s">
        <v>43</v>
      </c>
      <c r="R229" s="62"/>
    </row>
    <row r="230" ht="13.8" spans="1:18">
      <c r="A230" s="58">
        <v>207</v>
      </c>
      <c r="B230" s="75">
        <v>45673</v>
      </c>
      <c r="C230" s="64" t="s">
        <v>394</v>
      </c>
      <c r="D230" s="62" t="s">
        <v>35</v>
      </c>
      <c r="E230" s="62"/>
      <c r="F230" s="62" t="s">
        <v>36</v>
      </c>
      <c r="G230" s="62" t="s">
        <v>37</v>
      </c>
      <c r="H230" s="62" t="s">
        <v>56</v>
      </c>
      <c r="I230" s="78" t="s">
        <v>523</v>
      </c>
      <c r="J230" s="62" t="s">
        <v>40</v>
      </c>
      <c r="K230" s="67" t="s">
        <v>524</v>
      </c>
      <c r="L230" s="70"/>
      <c r="M230" s="62"/>
      <c r="N230" s="62"/>
      <c r="O230" s="64"/>
      <c r="P230" s="79" t="s">
        <v>42</v>
      </c>
      <c r="Q230" s="73" t="s">
        <v>43</v>
      </c>
      <c r="R230" s="62"/>
    </row>
    <row r="231" ht="27.6" spans="1:18">
      <c r="A231" s="58">
        <v>208</v>
      </c>
      <c r="B231" s="75">
        <v>45684</v>
      </c>
      <c r="C231" s="64" t="s">
        <v>397</v>
      </c>
      <c r="D231" s="62" t="s">
        <v>35</v>
      </c>
      <c r="E231" s="62"/>
      <c r="F231" s="62" t="s">
        <v>36</v>
      </c>
      <c r="G231" s="62" t="s">
        <v>45</v>
      </c>
      <c r="H231" s="62" t="s">
        <v>46</v>
      </c>
      <c r="I231" s="78" t="s">
        <v>525</v>
      </c>
      <c r="J231" s="62" t="s">
        <v>40</v>
      </c>
      <c r="K231" s="67" t="s">
        <v>526</v>
      </c>
      <c r="L231" s="70"/>
      <c r="M231" s="62"/>
      <c r="N231" s="62"/>
      <c r="O231" s="64"/>
      <c r="P231" s="79" t="s">
        <v>42</v>
      </c>
      <c r="Q231" s="73" t="s">
        <v>43</v>
      </c>
      <c r="R231" s="62"/>
    </row>
    <row r="232" ht="13.8" spans="1:18">
      <c r="A232" s="58">
        <v>209</v>
      </c>
      <c r="B232" s="75">
        <v>45685</v>
      </c>
      <c r="C232" s="64" t="s">
        <v>397</v>
      </c>
      <c r="D232" s="62" t="s">
        <v>35</v>
      </c>
      <c r="E232" s="62"/>
      <c r="F232" s="62" t="s">
        <v>36</v>
      </c>
      <c r="G232" s="62" t="s">
        <v>82</v>
      </c>
      <c r="H232" s="62" t="s">
        <v>271</v>
      </c>
      <c r="I232" s="78" t="s">
        <v>527</v>
      </c>
      <c r="J232" s="62" t="s">
        <v>40</v>
      </c>
      <c r="K232" s="67" t="s">
        <v>528</v>
      </c>
      <c r="L232" s="70"/>
      <c r="M232" s="62"/>
      <c r="N232" s="62"/>
      <c r="O232" s="64"/>
      <c r="P232" s="79" t="s">
        <v>42</v>
      </c>
      <c r="Q232" s="73" t="s">
        <v>43</v>
      </c>
      <c r="R232" s="62"/>
    </row>
    <row r="233" ht="27.6" spans="1:18">
      <c r="A233" s="58">
        <v>210</v>
      </c>
      <c r="B233" s="75">
        <v>45684</v>
      </c>
      <c r="C233" s="64" t="s">
        <v>351</v>
      </c>
      <c r="D233" s="62" t="s">
        <v>35</v>
      </c>
      <c r="E233" s="62"/>
      <c r="F233" s="62" t="s">
        <v>50</v>
      </c>
      <c r="G233" s="62" t="s">
        <v>65</v>
      </c>
      <c r="H233" s="62" t="s">
        <v>360</v>
      </c>
      <c r="I233" s="78" t="s">
        <v>361</v>
      </c>
      <c r="J233" s="62" t="s">
        <v>91</v>
      </c>
      <c r="K233" s="67" t="s">
        <v>362</v>
      </c>
      <c r="L233" s="70"/>
      <c r="M233" s="62"/>
      <c r="N233" s="62"/>
      <c r="O233" s="64"/>
      <c r="P233" s="79" t="s">
        <v>42</v>
      </c>
      <c r="Q233" s="73" t="s">
        <v>43</v>
      </c>
      <c r="R233" s="62"/>
    </row>
    <row r="234" ht="13.8" spans="1:18">
      <c r="A234" s="58">
        <v>211</v>
      </c>
      <c r="B234" s="75">
        <v>45685</v>
      </c>
      <c r="C234" s="64" t="s">
        <v>404</v>
      </c>
      <c r="D234" s="62" t="s">
        <v>35</v>
      </c>
      <c r="E234" s="62"/>
      <c r="F234" s="62" t="s">
        <v>36</v>
      </c>
      <c r="G234" s="62" t="s">
        <v>37</v>
      </c>
      <c r="H234" s="62" t="s">
        <v>56</v>
      </c>
      <c r="I234" s="78" t="s">
        <v>529</v>
      </c>
      <c r="J234" s="62" t="s">
        <v>40</v>
      </c>
      <c r="K234" s="67" t="s">
        <v>530</v>
      </c>
      <c r="L234" s="70"/>
      <c r="M234" s="62"/>
      <c r="N234" s="62"/>
      <c r="O234" s="64"/>
      <c r="P234" s="79" t="s">
        <v>42</v>
      </c>
      <c r="Q234" s="73" t="s">
        <v>43</v>
      </c>
      <c r="R234" s="62"/>
    </row>
    <row r="235" ht="13.8" spans="1:18">
      <c r="A235" s="58">
        <v>212</v>
      </c>
      <c r="B235" s="75">
        <v>45686</v>
      </c>
      <c r="C235" s="64" t="s">
        <v>407</v>
      </c>
      <c r="D235" s="62" t="s">
        <v>35</v>
      </c>
      <c r="E235" s="62"/>
      <c r="F235" s="62" t="s">
        <v>36</v>
      </c>
      <c r="G235" s="62" t="s">
        <v>55</v>
      </c>
      <c r="H235" s="62" t="s">
        <v>38</v>
      </c>
      <c r="I235" s="78" t="s">
        <v>531</v>
      </c>
      <c r="J235" s="62" t="s">
        <v>40</v>
      </c>
      <c r="K235" s="67" t="s">
        <v>532</v>
      </c>
      <c r="L235" s="70"/>
      <c r="M235" s="62"/>
      <c r="N235" s="62"/>
      <c r="O235" s="64"/>
      <c r="P235" s="79" t="s">
        <v>42</v>
      </c>
      <c r="Q235" s="73" t="s">
        <v>43</v>
      </c>
      <c r="R235" s="62"/>
    </row>
    <row r="236" ht="26.4" spans="1:18">
      <c r="A236" s="58">
        <v>213</v>
      </c>
      <c r="B236" s="75">
        <v>45686</v>
      </c>
      <c r="C236" s="64" t="s">
        <v>408</v>
      </c>
      <c r="D236" s="62" t="s">
        <v>35</v>
      </c>
      <c r="E236" s="62"/>
      <c r="F236" s="62" t="s">
        <v>192</v>
      </c>
      <c r="G236" s="62" t="s">
        <v>45</v>
      </c>
      <c r="H236" s="62" t="s">
        <v>38</v>
      </c>
      <c r="I236" s="78" t="s">
        <v>533</v>
      </c>
      <c r="J236" s="62" t="s">
        <v>137</v>
      </c>
      <c r="K236" s="67" t="s">
        <v>534</v>
      </c>
      <c r="L236" s="70"/>
      <c r="M236" s="62"/>
      <c r="N236" s="62"/>
      <c r="O236" s="64"/>
      <c r="P236" s="79" t="s">
        <v>42</v>
      </c>
      <c r="Q236" s="62" t="s">
        <v>8</v>
      </c>
      <c r="R236" s="62"/>
    </row>
    <row r="237" ht="13.8" spans="1:18">
      <c r="A237" s="58">
        <v>214</v>
      </c>
      <c r="B237" s="75">
        <v>45686</v>
      </c>
      <c r="C237" s="64" t="s">
        <v>409</v>
      </c>
      <c r="D237" s="62" t="s">
        <v>35</v>
      </c>
      <c r="E237" s="62"/>
      <c r="F237" s="62" t="s">
        <v>36</v>
      </c>
      <c r="G237" s="62" t="s">
        <v>65</v>
      </c>
      <c r="H237" s="62" t="s">
        <v>94</v>
      </c>
      <c r="I237" s="78" t="s">
        <v>535</v>
      </c>
      <c r="J237" s="62" t="s">
        <v>40</v>
      </c>
      <c r="K237" s="67" t="s">
        <v>536</v>
      </c>
      <c r="L237" s="70"/>
      <c r="M237" s="62"/>
      <c r="N237" s="62"/>
      <c r="O237" s="64"/>
      <c r="P237" s="79" t="s">
        <v>42</v>
      </c>
      <c r="Q237" s="73" t="s">
        <v>43</v>
      </c>
      <c r="R237" s="62"/>
    </row>
    <row r="238" ht="27.6" spans="1:18">
      <c r="A238" s="58">
        <v>215</v>
      </c>
      <c r="B238" s="75">
        <v>45686</v>
      </c>
      <c r="C238" s="64" t="s">
        <v>410</v>
      </c>
      <c r="D238" s="62" t="s">
        <v>35</v>
      </c>
      <c r="E238" s="62"/>
      <c r="F238" s="62" t="s">
        <v>36</v>
      </c>
      <c r="G238" s="62" t="s">
        <v>93</v>
      </c>
      <c r="H238" s="62" t="s">
        <v>38</v>
      </c>
      <c r="I238" s="78" t="s">
        <v>537</v>
      </c>
      <c r="J238" s="62" t="s">
        <v>40</v>
      </c>
      <c r="K238" s="67" t="s">
        <v>538</v>
      </c>
      <c r="L238" s="70"/>
      <c r="M238" s="62"/>
      <c r="N238" s="62"/>
      <c r="O238" s="64"/>
      <c r="P238" s="79" t="s">
        <v>42</v>
      </c>
      <c r="Q238" s="73" t="s">
        <v>43</v>
      </c>
      <c r="R238" s="62"/>
    </row>
    <row r="239" ht="13.8" spans="1:18">
      <c r="A239" s="58">
        <v>216</v>
      </c>
      <c r="B239" s="75">
        <v>45686</v>
      </c>
      <c r="C239" s="64" t="s">
        <v>411</v>
      </c>
      <c r="D239" s="62" t="s">
        <v>35</v>
      </c>
      <c r="E239" s="62"/>
      <c r="F239" s="62" t="s">
        <v>135</v>
      </c>
      <c r="G239" s="62" t="s">
        <v>45</v>
      </c>
      <c r="H239" s="62" t="s">
        <v>38</v>
      </c>
      <c r="I239" s="78" t="s">
        <v>539</v>
      </c>
      <c r="J239" s="62" t="s">
        <v>137</v>
      </c>
      <c r="K239" s="67" t="s">
        <v>540</v>
      </c>
      <c r="L239" s="70"/>
      <c r="M239" s="62"/>
      <c r="N239" s="62"/>
      <c r="O239" s="64"/>
      <c r="P239" s="79" t="s">
        <v>42</v>
      </c>
      <c r="Q239" s="62" t="s">
        <v>8</v>
      </c>
      <c r="R239" s="62"/>
    </row>
    <row r="240" ht="13.8" spans="1:18">
      <c r="A240" s="58">
        <v>217</v>
      </c>
      <c r="B240" s="75">
        <v>45687</v>
      </c>
      <c r="C240" s="64" t="s">
        <v>414</v>
      </c>
      <c r="D240" s="62" t="s">
        <v>35</v>
      </c>
      <c r="E240" s="62"/>
      <c r="F240" s="62" t="s">
        <v>36</v>
      </c>
      <c r="G240" s="62" t="s">
        <v>82</v>
      </c>
      <c r="H240" s="62" t="s">
        <v>132</v>
      </c>
      <c r="I240" s="78" t="s">
        <v>541</v>
      </c>
      <c r="J240" s="62" t="s">
        <v>40</v>
      </c>
      <c r="K240" s="67" t="s">
        <v>542</v>
      </c>
      <c r="L240" s="70"/>
      <c r="M240" s="62"/>
      <c r="N240" s="62"/>
      <c r="O240" s="64"/>
      <c r="P240" s="79" t="s">
        <v>42</v>
      </c>
      <c r="Q240" s="73" t="s">
        <v>43</v>
      </c>
      <c r="R240" s="62"/>
    </row>
    <row r="241" ht="27.6" spans="1:18">
      <c r="A241" s="58">
        <v>218</v>
      </c>
      <c r="B241" s="75">
        <v>45687</v>
      </c>
      <c r="C241" s="64" t="s">
        <v>417</v>
      </c>
      <c r="D241" s="62" t="s">
        <v>35</v>
      </c>
      <c r="E241" s="62"/>
      <c r="F241" s="62" t="s">
        <v>36</v>
      </c>
      <c r="G241" s="62" t="s">
        <v>55</v>
      </c>
      <c r="H241" s="62" t="s">
        <v>56</v>
      </c>
      <c r="I241" s="78" t="s">
        <v>543</v>
      </c>
      <c r="J241" s="62" t="s">
        <v>40</v>
      </c>
      <c r="K241" s="67" t="s">
        <v>544</v>
      </c>
      <c r="L241" s="70"/>
      <c r="M241" s="62"/>
      <c r="N241" s="62"/>
      <c r="O241" s="64"/>
      <c r="P241" s="79" t="s">
        <v>42</v>
      </c>
      <c r="Q241" s="73" t="s">
        <v>43</v>
      </c>
      <c r="R241" s="62"/>
    </row>
    <row r="242" ht="27.6" spans="1:18">
      <c r="A242" s="58">
        <v>219</v>
      </c>
      <c r="B242" s="75">
        <v>45687</v>
      </c>
      <c r="C242" s="64" t="s">
        <v>418</v>
      </c>
      <c r="D242" s="62" t="s">
        <v>35</v>
      </c>
      <c r="E242" s="62"/>
      <c r="F242" s="62" t="s">
        <v>36</v>
      </c>
      <c r="G242" s="62" t="s">
        <v>37</v>
      </c>
      <c r="H242" s="62" t="s">
        <v>132</v>
      </c>
      <c r="I242" s="78" t="s">
        <v>545</v>
      </c>
      <c r="J242" s="62" t="s">
        <v>40</v>
      </c>
      <c r="K242" s="67" t="s">
        <v>546</v>
      </c>
      <c r="L242" s="70"/>
      <c r="M242" s="62"/>
      <c r="N242" s="62"/>
      <c r="O242" s="64"/>
      <c r="P242" s="79" t="s">
        <v>42</v>
      </c>
      <c r="Q242" s="73" t="s">
        <v>43</v>
      </c>
      <c r="R242" s="62"/>
    </row>
    <row r="243" ht="13.8" spans="1:18">
      <c r="A243" s="58">
        <v>220</v>
      </c>
      <c r="B243" s="75">
        <v>45687</v>
      </c>
      <c r="C243" s="64" t="s">
        <v>421</v>
      </c>
      <c r="D243" s="62" t="s">
        <v>35</v>
      </c>
      <c r="E243" s="62"/>
      <c r="F243" s="62" t="s">
        <v>50</v>
      </c>
      <c r="G243" s="62" t="s">
        <v>93</v>
      </c>
      <c r="H243" s="62" t="s">
        <v>51</v>
      </c>
      <c r="I243" s="78" t="s">
        <v>547</v>
      </c>
      <c r="J243" s="62" t="s">
        <v>40</v>
      </c>
      <c r="K243" s="67" t="s">
        <v>548</v>
      </c>
      <c r="L243" s="70"/>
      <c r="M243" s="62"/>
      <c r="N243" s="62"/>
      <c r="O243" s="64"/>
      <c r="P243" s="79" t="s">
        <v>42</v>
      </c>
      <c r="Q243" s="73" t="s">
        <v>43</v>
      </c>
      <c r="R243" s="62"/>
    </row>
    <row r="244" ht="13.8" spans="1:18">
      <c r="A244" s="58">
        <v>221</v>
      </c>
      <c r="B244" s="75">
        <v>45687</v>
      </c>
      <c r="C244" s="64" t="s">
        <v>424</v>
      </c>
      <c r="D244" s="62" t="s">
        <v>35</v>
      </c>
      <c r="E244" s="62"/>
      <c r="F244" s="62" t="s">
        <v>36</v>
      </c>
      <c r="G244" s="62" t="s">
        <v>82</v>
      </c>
      <c r="H244" s="62" t="s">
        <v>38</v>
      </c>
      <c r="I244" s="78" t="s">
        <v>549</v>
      </c>
      <c r="J244" s="62" t="s">
        <v>53</v>
      </c>
      <c r="K244" s="67" t="s">
        <v>550</v>
      </c>
      <c r="L244" s="70"/>
      <c r="M244" s="62"/>
      <c r="N244" s="62"/>
      <c r="O244" s="64"/>
      <c r="P244" s="79" t="s">
        <v>42</v>
      </c>
      <c r="Q244" s="73" t="s">
        <v>43</v>
      </c>
      <c r="R244" s="62"/>
    </row>
    <row r="245" ht="39.6" spans="1:18">
      <c r="A245" s="58">
        <v>222</v>
      </c>
      <c r="B245" s="75">
        <v>45687</v>
      </c>
      <c r="C245" s="64" t="s">
        <v>427</v>
      </c>
      <c r="D245" s="62" t="s">
        <v>35</v>
      </c>
      <c r="E245" s="62"/>
      <c r="F245" s="62" t="s">
        <v>135</v>
      </c>
      <c r="G245" s="62" t="s">
        <v>45</v>
      </c>
      <c r="H245" s="62" t="s">
        <v>132</v>
      </c>
      <c r="I245" s="78" t="s">
        <v>551</v>
      </c>
      <c r="J245" s="62" t="s">
        <v>137</v>
      </c>
      <c r="K245" s="67" t="s">
        <v>552</v>
      </c>
      <c r="L245" s="70"/>
      <c r="M245" s="62"/>
      <c r="N245" s="62"/>
      <c r="O245" s="64"/>
      <c r="P245" s="79" t="s">
        <v>42</v>
      </c>
      <c r="Q245" s="62" t="s">
        <v>8</v>
      </c>
      <c r="R245" s="62"/>
    </row>
    <row r="246" ht="26.4" spans="1:18">
      <c r="A246" s="58">
        <v>223</v>
      </c>
      <c r="B246" s="75">
        <v>45687</v>
      </c>
      <c r="C246" s="64" t="s">
        <v>335</v>
      </c>
      <c r="D246" s="62" t="s">
        <v>35</v>
      </c>
      <c r="E246" s="62"/>
      <c r="F246" s="62" t="s">
        <v>135</v>
      </c>
      <c r="G246" s="62" t="s">
        <v>82</v>
      </c>
      <c r="H246" s="62" t="s">
        <v>94</v>
      </c>
      <c r="I246" s="78" t="s">
        <v>553</v>
      </c>
      <c r="J246" s="62" t="s">
        <v>137</v>
      </c>
      <c r="K246" s="67" t="s">
        <v>554</v>
      </c>
      <c r="L246" s="70"/>
      <c r="M246" s="62"/>
      <c r="N246" s="62"/>
      <c r="O246" s="64"/>
      <c r="P246" s="79" t="s">
        <v>42</v>
      </c>
      <c r="Q246" s="62" t="s">
        <v>8</v>
      </c>
      <c r="R246" s="62"/>
    </row>
    <row r="247" ht="13.8" spans="1:18">
      <c r="A247" s="58">
        <v>224</v>
      </c>
      <c r="B247" s="75">
        <v>45688</v>
      </c>
      <c r="C247" s="64" t="s">
        <v>428</v>
      </c>
      <c r="D247" s="62" t="s">
        <v>35</v>
      </c>
      <c r="E247" s="62"/>
      <c r="F247" s="62" t="s">
        <v>36</v>
      </c>
      <c r="G247" s="62" t="s">
        <v>93</v>
      </c>
      <c r="H247" s="62" t="s">
        <v>150</v>
      </c>
      <c r="I247" s="78" t="s">
        <v>555</v>
      </c>
      <c r="J247" s="62" t="s">
        <v>40</v>
      </c>
      <c r="K247" s="67" t="s">
        <v>556</v>
      </c>
      <c r="L247" s="70"/>
      <c r="M247" s="62"/>
      <c r="N247" s="62"/>
      <c r="O247" s="64"/>
      <c r="P247" s="79" t="s">
        <v>42</v>
      </c>
      <c r="Q247" s="73" t="s">
        <v>43</v>
      </c>
      <c r="R247" s="62"/>
    </row>
    <row r="248" ht="13.8" spans="1:18">
      <c r="A248" s="58">
        <v>225</v>
      </c>
      <c r="B248" s="75">
        <v>45688</v>
      </c>
      <c r="C248" s="64" t="s">
        <v>320</v>
      </c>
      <c r="D248" s="62" t="s">
        <v>35</v>
      </c>
      <c r="E248" s="62"/>
      <c r="F248" s="62" t="s">
        <v>36</v>
      </c>
      <c r="G248" s="62" t="s">
        <v>45</v>
      </c>
      <c r="H248" s="62" t="s">
        <v>38</v>
      </c>
      <c r="I248" s="78" t="s">
        <v>557</v>
      </c>
      <c r="J248" s="62" t="s">
        <v>40</v>
      </c>
      <c r="K248" s="67" t="s">
        <v>185</v>
      </c>
      <c r="L248" s="70"/>
      <c r="M248" s="62"/>
      <c r="N248" s="62"/>
      <c r="O248" s="64"/>
      <c r="P248" s="79" t="s">
        <v>42</v>
      </c>
      <c r="Q248" s="73" t="s">
        <v>43</v>
      </c>
      <c r="R248" s="62"/>
    </row>
    <row r="249" ht="27.6" spans="1:18">
      <c r="A249" s="58">
        <v>226</v>
      </c>
      <c r="B249" s="75">
        <v>45688</v>
      </c>
      <c r="C249" s="64" t="s">
        <v>409</v>
      </c>
      <c r="D249" s="62" t="s">
        <v>35</v>
      </c>
      <c r="E249" s="62"/>
      <c r="F249" s="62" t="s">
        <v>36</v>
      </c>
      <c r="G249" s="62" t="s">
        <v>74</v>
      </c>
      <c r="H249" s="62" t="s">
        <v>56</v>
      </c>
      <c r="I249" s="78" t="s">
        <v>558</v>
      </c>
      <c r="J249" s="62" t="s">
        <v>40</v>
      </c>
      <c r="K249" s="67" t="s">
        <v>559</v>
      </c>
      <c r="L249" s="70"/>
      <c r="M249" s="62"/>
      <c r="N249" s="62"/>
      <c r="O249" s="64"/>
      <c r="P249" s="79" t="s">
        <v>42</v>
      </c>
      <c r="Q249" s="73" t="s">
        <v>43</v>
      </c>
      <c r="R249" s="62"/>
    </row>
    <row r="250" ht="26.4" spans="1:18">
      <c r="A250" s="58">
        <v>227</v>
      </c>
      <c r="B250" s="75">
        <v>45688</v>
      </c>
      <c r="C250" s="64" t="s">
        <v>49</v>
      </c>
      <c r="D250" s="62" t="s">
        <v>35</v>
      </c>
      <c r="E250" s="62"/>
      <c r="F250" s="62" t="s">
        <v>192</v>
      </c>
      <c r="G250" s="62" t="s">
        <v>82</v>
      </c>
      <c r="H250" s="62" t="s">
        <v>38</v>
      </c>
      <c r="I250" s="78" t="s">
        <v>560</v>
      </c>
      <c r="J250" s="62" t="s">
        <v>137</v>
      </c>
      <c r="K250" s="67" t="s">
        <v>204</v>
      </c>
      <c r="L250" s="70"/>
      <c r="M250" s="62"/>
      <c r="N250" s="62"/>
      <c r="O250" s="64"/>
      <c r="P250" s="79" t="s">
        <v>42</v>
      </c>
      <c r="Q250" s="62" t="s">
        <v>8</v>
      </c>
      <c r="R250" s="62"/>
    </row>
    <row r="251" ht="13.8" spans="1:18">
      <c r="A251" s="58">
        <v>228</v>
      </c>
      <c r="B251" s="75">
        <v>45688</v>
      </c>
      <c r="C251" s="64" t="s">
        <v>436</v>
      </c>
      <c r="D251" s="62" t="s">
        <v>35</v>
      </c>
      <c r="E251" s="62"/>
      <c r="F251" s="62" t="s">
        <v>135</v>
      </c>
      <c r="G251" s="62" t="s">
        <v>45</v>
      </c>
      <c r="H251" s="62" t="s">
        <v>94</v>
      </c>
      <c r="I251" s="78" t="s">
        <v>561</v>
      </c>
      <c r="J251" s="62" t="s">
        <v>137</v>
      </c>
      <c r="K251" s="67" t="s">
        <v>562</v>
      </c>
      <c r="L251" s="70"/>
      <c r="M251" s="62"/>
      <c r="N251" s="62"/>
      <c r="O251" s="64"/>
      <c r="P251" s="79" t="s">
        <v>42</v>
      </c>
      <c r="Q251" s="62" t="s">
        <v>8</v>
      </c>
      <c r="R251" s="62"/>
    </row>
    <row r="252" ht="27.6" spans="1:18">
      <c r="A252" s="58">
        <v>229</v>
      </c>
      <c r="B252" s="75">
        <v>45688</v>
      </c>
      <c r="C252" s="64" t="s">
        <v>439</v>
      </c>
      <c r="D252" s="62" t="s">
        <v>35</v>
      </c>
      <c r="E252" s="62"/>
      <c r="F252" s="62" t="s">
        <v>36</v>
      </c>
      <c r="G252" s="62" t="s">
        <v>45</v>
      </c>
      <c r="H252" s="62" t="s">
        <v>38</v>
      </c>
      <c r="I252" s="78" t="s">
        <v>422</v>
      </c>
      <c r="J252" s="62" t="s">
        <v>91</v>
      </c>
      <c r="K252" s="67" t="s">
        <v>423</v>
      </c>
      <c r="L252" s="70"/>
      <c r="M252" s="62"/>
      <c r="N252" s="62"/>
      <c r="O252" s="64"/>
      <c r="P252" s="79" t="s">
        <v>42</v>
      </c>
      <c r="Q252" s="73" t="s">
        <v>43</v>
      </c>
      <c r="R252" s="62"/>
    </row>
    <row r="253" ht="27.6" spans="1:18">
      <c r="A253" s="58">
        <v>230</v>
      </c>
      <c r="B253" s="75">
        <v>45688</v>
      </c>
      <c r="C253" s="64" t="s">
        <v>442</v>
      </c>
      <c r="D253" s="62" t="s">
        <v>35</v>
      </c>
      <c r="E253" s="62"/>
      <c r="F253" s="62" t="s">
        <v>36</v>
      </c>
      <c r="G253" s="62" t="s">
        <v>93</v>
      </c>
      <c r="H253" s="62" t="s">
        <v>56</v>
      </c>
      <c r="I253" s="78" t="s">
        <v>211</v>
      </c>
      <c r="J253" s="62" t="s">
        <v>40</v>
      </c>
      <c r="K253" s="67" t="s">
        <v>212</v>
      </c>
      <c r="L253" s="70"/>
      <c r="M253" s="62"/>
      <c r="N253" s="62"/>
      <c r="O253" s="64"/>
      <c r="P253" s="79" t="s">
        <v>42</v>
      </c>
      <c r="Q253" s="73" t="s">
        <v>43</v>
      </c>
      <c r="R253" s="62"/>
    </row>
    <row r="254" ht="27.6" spans="1:18">
      <c r="A254" s="58">
        <v>231</v>
      </c>
      <c r="B254" s="75">
        <v>45688</v>
      </c>
      <c r="C254" s="64" t="s">
        <v>443</v>
      </c>
      <c r="D254" s="62" t="s">
        <v>35</v>
      </c>
      <c r="E254" s="62"/>
      <c r="F254" s="62" t="s">
        <v>36</v>
      </c>
      <c r="G254" s="62" t="s">
        <v>61</v>
      </c>
      <c r="H254" s="62" t="s">
        <v>132</v>
      </c>
      <c r="I254" s="78" t="s">
        <v>563</v>
      </c>
      <c r="J254" s="62" t="s">
        <v>40</v>
      </c>
      <c r="K254" s="67" t="s">
        <v>564</v>
      </c>
      <c r="L254" s="70"/>
      <c r="M254" s="62"/>
      <c r="N254" s="62"/>
      <c r="O254" s="64"/>
      <c r="P254" s="79" t="s">
        <v>42</v>
      </c>
      <c r="Q254" s="73" t="s">
        <v>43</v>
      </c>
      <c r="R254" s="62"/>
    </row>
    <row r="255" ht="26.4" spans="1:18">
      <c r="A255" s="58">
        <v>232</v>
      </c>
      <c r="B255" s="75">
        <v>45688</v>
      </c>
      <c r="C255" s="64" t="s">
        <v>335</v>
      </c>
      <c r="D255" s="62" t="s">
        <v>35</v>
      </c>
      <c r="E255" s="62"/>
      <c r="F255" s="62" t="s">
        <v>192</v>
      </c>
      <c r="G255" s="62" t="s">
        <v>45</v>
      </c>
      <c r="H255" s="62" t="s">
        <v>132</v>
      </c>
      <c r="I255" s="83" t="s">
        <v>319</v>
      </c>
      <c r="J255" s="62" t="s">
        <v>137</v>
      </c>
      <c r="K255" s="67" t="s">
        <v>204</v>
      </c>
      <c r="L255" s="70"/>
      <c r="M255" s="62"/>
      <c r="N255" s="62"/>
      <c r="O255" s="64"/>
      <c r="P255" s="79" t="s">
        <v>42</v>
      </c>
      <c r="Q255" s="62" t="s">
        <v>8</v>
      </c>
      <c r="R255" s="62"/>
    </row>
    <row r="256" ht="27.6" spans="1:18">
      <c r="A256" s="58">
        <v>233</v>
      </c>
      <c r="B256" s="75">
        <v>45686</v>
      </c>
      <c r="C256" s="64" t="s">
        <v>338</v>
      </c>
      <c r="D256" s="62" t="s">
        <v>35</v>
      </c>
      <c r="E256" s="62"/>
      <c r="F256" s="62" t="s">
        <v>36</v>
      </c>
      <c r="G256" s="62" t="s">
        <v>82</v>
      </c>
      <c r="H256" s="62" t="s">
        <v>38</v>
      </c>
      <c r="I256" s="78" t="s">
        <v>565</v>
      </c>
      <c r="J256" s="62" t="s">
        <v>40</v>
      </c>
      <c r="K256" s="67" t="s">
        <v>566</v>
      </c>
      <c r="L256" s="70"/>
      <c r="M256" s="62"/>
      <c r="N256" s="62"/>
      <c r="O256" s="64"/>
      <c r="P256" s="79" t="s">
        <v>42</v>
      </c>
      <c r="Q256" s="73" t="s">
        <v>43</v>
      </c>
      <c r="R256" s="62"/>
    </row>
    <row r="257" ht="27.6" spans="1:18">
      <c r="A257" s="58">
        <v>234</v>
      </c>
      <c r="B257" s="75">
        <v>45686</v>
      </c>
      <c r="C257" s="64" t="s">
        <v>450</v>
      </c>
      <c r="D257" s="62" t="s">
        <v>35</v>
      </c>
      <c r="E257" s="62"/>
      <c r="F257" s="62" t="s">
        <v>36</v>
      </c>
      <c r="G257" s="62" t="s">
        <v>37</v>
      </c>
      <c r="H257" s="62" t="s">
        <v>38</v>
      </c>
      <c r="I257" s="78" t="s">
        <v>419</v>
      </c>
      <c r="J257" s="62" t="s">
        <v>40</v>
      </c>
      <c r="K257" s="67" t="s">
        <v>420</v>
      </c>
      <c r="L257" s="68"/>
      <c r="M257" s="62"/>
      <c r="N257" s="62"/>
      <c r="O257" s="64"/>
      <c r="P257" s="79" t="s">
        <v>42</v>
      </c>
      <c r="Q257" s="73" t="s">
        <v>43</v>
      </c>
      <c r="R257" s="62"/>
    </row>
    <row r="258" ht="26.4" spans="1:18">
      <c r="A258" s="58">
        <v>235</v>
      </c>
      <c r="B258" s="75">
        <v>45686</v>
      </c>
      <c r="C258" s="64" t="s">
        <v>453</v>
      </c>
      <c r="D258" s="62" t="s">
        <v>35</v>
      </c>
      <c r="E258" s="62"/>
      <c r="F258" s="62" t="s">
        <v>135</v>
      </c>
      <c r="G258" s="62" t="s">
        <v>55</v>
      </c>
      <c r="H258" s="62" t="s">
        <v>38</v>
      </c>
      <c r="I258" s="78" t="s">
        <v>567</v>
      </c>
      <c r="J258" s="62" t="s">
        <v>137</v>
      </c>
      <c r="K258" s="67" t="s">
        <v>568</v>
      </c>
      <c r="L258" s="70"/>
      <c r="M258" s="62"/>
      <c r="N258" s="62"/>
      <c r="O258" s="64"/>
      <c r="P258" s="79" t="s">
        <v>42</v>
      </c>
      <c r="Q258" s="62" t="s">
        <v>8</v>
      </c>
      <c r="R258" s="62"/>
    </row>
    <row r="259" ht="27.6" spans="1:18">
      <c r="A259" s="58">
        <v>236</v>
      </c>
      <c r="B259" s="89">
        <v>45686</v>
      </c>
      <c r="C259" s="69" t="s">
        <v>454</v>
      </c>
      <c r="D259" s="62" t="s">
        <v>35</v>
      </c>
      <c r="E259" s="63"/>
      <c r="F259" s="62" t="s">
        <v>50</v>
      </c>
      <c r="G259" s="62" t="s">
        <v>93</v>
      </c>
      <c r="H259" s="62" t="s">
        <v>132</v>
      </c>
      <c r="I259" s="83" t="s">
        <v>392</v>
      </c>
      <c r="J259" s="62" t="s">
        <v>53</v>
      </c>
      <c r="K259" s="67" t="s">
        <v>393</v>
      </c>
      <c r="L259" s="70"/>
      <c r="M259" s="62"/>
      <c r="N259" s="62"/>
      <c r="O259" s="64"/>
      <c r="P259" s="79" t="s">
        <v>42</v>
      </c>
      <c r="Q259" s="73" t="s">
        <v>43</v>
      </c>
      <c r="R259" s="62"/>
    </row>
    <row r="260" ht="13.8" spans="1:18">
      <c r="A260" s="58">
        <v>237</v>
      </c>
      <c r="B260" s="75">
        <v>45686</v>
      </c>
      <c r="C260" s="64" t="s">
        <v>335</v>
      </c>
      <c r="D260" s="62" t="s">
        <v>35</v>
      </c>
      <c r="E260" s="62"/>
      <c r="F260" s="62" t="s">
        <v>135</v>
      </c>
      <c r="G260" s="62" t="s">
        <v>82</v>
      </c>
      <c r="H260" s="62" t="s">
        <v>150</v>
      </c>
      <c r="I260" s="78" t="s">
        <v>569</v>
      </c>
      <c r="J260" s="62" t="s">
        <v>137</v>
      </c>
      <c r="K260" s="67" t="s">
        <v>204</v>
      </c>
      <c r="L260" s="70"/>
      <c r="M260" s="62"/>
      <c r="N260" s="62"/>
      <c r="O260" s="64"/>
      <c r="P260" s="79" t="s">
        <v>42</v>
      </c>
      <c r="Q260" s="62" t="s">
        <v>8</v>
      </c>
      <c r="R260" s="62"/>
    </row>
    <row r="261" ht="13.8" spans="1:18">
      <c r="A261" s="58">
        <v>238</v>
      </c>
      <c r="B261" s="75">
        <v>45686</v>
      </c>
      <c r="C261" s="64" t="s">
        <v>459</v>
      </c>
      <c r="D261" s="62" t="s">
        <v>35</v>
      </c>
      <c r="E261" s="62"/>
      <c r="F261" s="62" t="s">
        <v>50</v>
      </c>
      <c r="G261" s="62" t="s">
        <v>45</v>
      </c>
      <c r="H261" s="62" t="s">
        <v>51</v>
      </c>
      <c r="I261" s="78" t="s">
        <v>221</v>
      </c>
      <c r="J261" s="62" t="s">
        <v>53</v>
      </c>
      <c r="K261" s="67" t="s">
        <v>570</v>
      </c>
      <c r="L261" s="70"/>
      <c r="M261" s="62"/>
      <c r="N261" s="62"/>
      <c r="O261" s="64"/>
      <c r="P261" s="79" t="s">
        <v>42</v>
      </c>
      <c r="Q261" s="73" t="s">
        <v>43</v>
      </c>
      <c r="R261" s="62"/>
    </row>
    <row r="262" ht="13.8" spans="1:18">
      <c r="A262" s="58">
        <v>239</v>
      </c>
      <c r="B262" s="75">
        <v>45686</v>
      </c>
      <c r="C262" s="64" t="s">
        <v>397</v>
      </c>
      <c r="D262" s="62" t="s">
        <v>35</v>
      </c>
      <c r="E262" s="62"/>
      <c r="F262" s="62" t="s">
        <v>36</v>
      </c>
      <c r="G262" s="62" t="s">
        <v>45</v>
      </c>
      <c r="H262" s="62" t="s">
        <v>56</v>
      </c>
      <c r="I262" s="78" t="s">
        <v>571</v>
      </c>
      <c r="J262" s="62" t="s">
        <v>40</v>
      </c>
      <c r="K262" s="67" t="s">
        <v>572</v>
      </c>
      <c r="L262" s="70"/>
      <c r="M262" s="62"/>
      <c r="N262" s="62"/>
      <c r="O262" s="64"/>
      <c r="P262" s="79" t="s">
        <v>42</v>
      </c>
      <c r="Q262" s="73" t="s">
        <v>43</v>
      </c>
      <c r="R262" s="62"/>
    </row>
    <row r="263" ht="27.6" spans="1:18">
      <c r="A263" s="58">
        <v>240</v>
      </c>
      <c r="B263" s="75">
        <v>45684</v>
      </c>
      <c r="C263" s="64" t="s">
        <v>121</v>
      </c>
      <c r="D263" s="61" t="s">
        <v>60</v>
      </c>
      <c r="E263" s="62"/>
      <c r="F263" s="62" t="s">
        <v>36</v>
      </c>
      <c r="G263" s="62" t="s">
        <v>61</v>
      </c>
      <c r="H263" s="62" t="s">
        <v>56</v>
      </c>
      <c r="I263" s="78" t="s">
        <v>573</v>
      </c>
      <c r="J263" s="62" t="s">
        <v>88</v>
      </c>
      <c r="K263" s="67" t="s">
        <v>574</v>
      </c>
      <c r="L263" s="70"/>
      <c r="M263" s="62"/>
      <c r="N263" s="62"/>
      <c r="O263" s="64"/>
      <c r="P263" s="79" t="s">
        <v>42</v>
      </c>
      <c r="Q263" s="73" t="s">
        <v>43</v>
      </c>
      <c r="R263" s="62"/>
    </row>
    <row r="264" ht="27.6" spans="1:18">
      <c r="A264" s="58">
        <v>241</v>
      </c>
      <c r="B264" s="75">
        <v>45684</v>
      </c>
      <c r="C264" s="64" t="s">
        <v>121</v>
      </c>
      <c r="D264" s="61" t="s">
        <v>60</v>
      </c>
      <c r="E264" s="62"/>
      <c r="F264" s="62" t="s">
        <v>192</v>
      </c>
      <c r="G264" s="62" t="s">
        <v>131</v>
      </c>
      <c r="H264" s="62" t="s">
        <v>51</v>
      </c>
      <c r="I264" s="78" t="s">
        <v>575</v>
      </c>
      <c r="J264" s="62" t="s">
        <v>137</v>
      </c>
      <c r="K264" s="67" t="s">
        <v>576</v>
      </c>
      <c r="L264" s="70"/>
      <c r="M264" s="62"/>
      <c r="N264" s="62"/>
      <c r="O264" s="64"/>
      <c r="P264" s="79" t="s">
        <v>42</v>
      </c>
      <c r="Q264" s="62" t="s">
        <v>8</v>
      </c>
      <c r="R264" s="62"/>
    </row>
    <row r="265" ht="13.8" spans="1:18">
      <c r="A265" s="58">
        <v>242</v>
      </c>
      <c r="B265" s="75">
        <v>45690</v>
      </c>
      <c r="C265" s="64" t="s">
        <v>332</v>
      </c>
      <c r="D265" s="62" t="s">
        <v>35</v>
      </c>
      <c r="E265" s="62"/>
      <c r="F265" s="62" t="s">
        <v>36</v>
      </c>
      <c r="G265" s="62" t="s">
        <v>82</v>
      </c>
      <c r="H265" s="62" t="s">
        <v>56</v>
      </c>
      <c r="I265" s="78" t="s">
        <v>333</v>
      </c>
      <c r="J265" s="62" t="s">
        <v>40</v>
      </c>
      <c r="K265" s="67" t="s">
        <v>334</v>
      </c>
      <c r="L265" s="70"/>
      <c r="M265" s="62"/>
      <c r="N265" s="62"/>
      <c r="O265" s="64"/>
      <c r="P265" s="79" t="s">
        <v>42</v>
      </c>
      <c r="Q265" s="73" t="s">
        <v>43</v>
      </c>
      <c r="R265" s="62"/>
    </row>
    <row r="266" ht="27.6" spans="1:18">
      <c r="A266" s="58">
        <v>243</v>
      </c>
      <c r="B266" s="75">
        <v>45692</v>
      </c>
      <c r="C266" s="64" t="s">
        <v>335</v>
      </c>
      <c r="D266" s="62" t="s">
        <v>35</v>
      </c>
      <c r="E266" s="62"/>
      <c r="F266" s="62" t="s">
        <v>50</v>
      </c>
      <c r="G266" s="62" t="s">
        <v>82</v>
      </c>
      <c r="H266" s="62" t="s">
        <v>66</v>
      </c>
      <c r="I266" s="78" t="s">
        <v>336</v>
      </c>
      <c r="J266" s="62" t="s">
        <v>91</v>
      </c>
      <c r="K266" s="67" t="s">
        <v>337</v>
      </c>
      <c r="L266" s="70"/>
      <c r="M266" s="62"/>
      <c r="N266" s="62"/>
      <c r="O266" s="64"/>
      <c r="P266" s="79" t="s">
        <v>42</v>
      </c>
      <c r="Q266" s="73" t="s">
        <v>43</v>
      </c>
      <c r="R266" s="62"/>
    </row>
    <row r="267" ht="27.6" spans="1:18">
      <c r="A267" s="58">
        <v>244</v>
      </c>
      <c r="B267" s="75">
        <v>45693</v>
      </c>
      <c r="C267" s="64" t="s">
        <v>338</v>
      </c>
      <c r="D267" s="62" t="s">
        <v>35</v>
      </c>
      <c r="E267" s="62"/>
      <c r="F267" s="62" t="s">
        <v>50</v>
      </c>
      <c r="G267" s="62" t="s">
        <v>45</v>
      </c>
      <c r="H267" s="62" t="s">
        <v>38</v>
      </c>
      <c r="I267" s="78" t="s">
        <v>339</v>
      </c>
      <c r="J267" s="62" t="s">
        <v>53</v>
      </c>
      <c r="K267" s="67" t="s">
        <v>340</v>
      </c>
      <c r="L267" s="70"/>
      <c r="M267" s="62"/>
      <c r="N267" s="62"/>
      <c r="O267" s="64"/>
      <c r="P267" s="79" t="s">
        <v>42</v>
      </c>
      <c r="Q267" s="73" t="s">
        <v>43</v>
      </c>
      <c r="R267" s="62"/>
    </row>
    <row r="268" ht="13.8" spans="1:18">
      <c r="A268" s="58">
        <v>245</v>
      </c>
      <c r="B268" s="75">
        <v>45693</v>
      </c>
      <c r="C268" s="64" t="s">
        <v>326</v>
      </c>
      <c r="D268" s="62" t="s">
        <v>35</v>
      </c>
      <c r="E268" s="62"/>
      <c r="F268" s="62" t="s">
        <v>36</v>
      </c>
      <c r="G268" s="62" t="s">
        <v>82</v>
      </c>
      <c r="H268" s="62" t="s">
        <v>46</v>
      </c>
      <c r="I268" s="78" t="s">
        <v>577</v>
      </c>
      <c r="J268" s="62" t="s">
        <v>40</v>
      </c>
      <c r="K268" s="67" t="s">
        <v>342</v>
      </c>
      <c r="L268" s="70"/>
      <c r="M268" s="62"/>
      <c r="N268" s="62"/>
      <c r="O268" s="64"/>
      <c r="P268" s="79" t="s">
        <v>42</v>
      </c>
      <c r="Q268" s="73" t="s">
        <v>43</v>
      </c>
      <c r="R268" s="62"/>
    </row>
    <row r="269" ht="13.8" spans="1:18">
      <c r="A269" s="58">
        <v>246</v>
      </c>
      <c r="B269" s="75">
        <v>45694</v>
      </c>
      <c r="C269" s="64" t="s">
        <v>320</v>
      </c>
      <c r="D269" s="62" t="s">
        <v>35</v>
      </c>
      <c r="E269" s="62"/>
      <c r="F269" s="62" t="s">
        <v>36</v>
      </c>
      <c r="G269" s="62" t="s">
        <v>45</v>
      </c>
      <c r="H269" s="62" t="s">
        <v>94</v>
      </c>
      <c r="I269" s="78" t="s">
        <v>343</v>
      </c>
      <c r="J269" s="62" t="s">
        <v>40</v>
      </c>
      <c r="K269" s="67" t="s">
        <v>344</v>
      </c>
      <c r="L269" s="70"/>
      <c r="M269" s="62"/>
      <c r="N269" s="62"/>
      <c r="O269" s="64"/>
      <c r="P269" s="79" t="s">
        <v>42</v>
      </c>
      <c r="Q269" s="73" t="s">
        <v>43</v>
      </c>
      <c r="R269" s="62"/>
    </row>
    <row r="270" ht="27.6" spans="1:18">
      <c r="A270" s="58">
        <v>247</v>
      </c>
      <c r="B270" s="75">
        <v>45693</v>
      </c>
      <c r="C270" s="64" t="s">
        <v>345</v>
      </c>
      <c r="D270" s="62" t="s">
        <v>35</v>
      </c>
      <c r="E270" s="62"/>
      <c r="F270" s="62" t="s">
        <v>36</v>
      </c>
      <c r="G270" s="62" t="s">
        <v>82</v>
      </c>
      <c r="H270" s="62" t="s">
        <v>38</v>
      </c>
      <c r="I270" s="78" t="s">
        <v>346</v>
      </c>
      <c r="J270" s="62" t="s">
        <v>88</v>
      </c>
      <c r="K270" s="67" t="s">
        <v>347</v>
      </c>
      <c r="L270" s="70"/>
      <c r="M270" s="62"/>
      <c r="N270" s="62"/>
      <c r="O270" s="64"/>
      <c r="P270" s="79" t="s">
        <v>42</v>
      </c>
      <c r="Q270" s="73" t="s">
        <v>43</v>
      </c>
      <c r="R270" s="62"/>
    </row>
    <row r="271" ht="27.6" spans="1:18">
      <c r="A271" s="58">
        <v>248</v>
      </c>
      <c r="B271" s="75">
        <v>45693</v>
      </c>
      <c r="C271" s="64" t="s">
        <v>348</v>
      </c>
      <c r="D271" s="62" t="s">
        <v>35</v>
      </c>
      <c r="E271" s="62"/>
      <c r="F271" s="62" t="s">
        <v>36</v>
      </c>
      <c r="G271" s="62" t="s">
        <v>93</v>
      </c>
      <c r="H271" s="62" t="s">
        <v>38</v>
      </c>
      <c r="I271" s="78" t="s">
        <v>349</v>
      </c>
      <c r="J271" s="62" t="s">
        <v>40</v>
      </c>
      <c r="K271" s="67" t="s">
        <v>350</v>
      </c>
      <c r="L271" s="70"/>
      <c r="M271" s="62"/>
      <c r="N271" s="62"/>
      <c r="O271" s="64"/>
      <c r="P271" s="79" t="s">
        <v>42</v>
      </c>
      <c r="Q271" s="73" t="s">
        <v>43</v>
      </c>
      <c r="R271" s="62"/>
    </row>
    <row r="272" ht="13.8" spans="1:18">
      <c r="A272" s="58">
        <v>249</v>
      </c>
      <c r="B272" s="75">
        <v>45695</v>
      </c>
      <c r="C272" s="64" t="s">
        <v>351</v>
      </c>
      <c r="D272" s="62" t="s">
        <v>35</v>
      </c>
      <c r="E272" s="62"/>
      <c r="F272" s="62" t="s">
        <v>50</v>
      </c>
      <c r="G272" s="62" t="s">
        <v>55</v>
      </c>
      <c r="H272" s="62" t="s">
        <v>51</v>
      </c>
      <c r="I272" s="78" t="s">
        <v>352</v>
      </c>
      <c r="J272" s="62" t="s">
        <v>91</v>
      </c>
      <c r="K272" s="67" t="s">
        <v>353</v>
      </c>
      <c r="L272" s="70"/>
      <c r="M272" s="62"/>
      <c r="N272" s="62"/>
      <c r="O272" s="64"/>
      <c r="P272" s="79" t="s">
        <v>42</v>
      </c>
      <c r="Q272" s="73" t="s">
        <v>43</v>
      </c>
      <c r="R272" s="62"/>
    </row>
    <row r="273" ht="13.8" spans="1:18">
      <c r="A273" s="58">
        <v>250</v>
      </c>
      <c r="B273" s="75">
        <v>45697</v>
      </c>
      <c r="C273" s="64" t="s">
        <v>354</v>
      </c>
      <c r="D273" s="62" t="s">
        <v>35</v>
      </c>
      <c r="E273" s="62" t="s">
        <v>73</v>
      </c>
      <c r="F273" s="62" t="s">
        <v>36</v>
      </c>
      <c r="G273" s="62" t="s">
        <v>82</v>
      </c>
      <c r="H273" s="62" t="s">
        <v>56</v>
      </c>
      <c r="I273" s="78" t="s">
        <v>578</v>
      </c>
      <c r="J273" s="62" t="s">
        <v>40</v>
      </c>
      <c r="K273" s="67" t="s">
        <v>356</v>
      </c>
      <c r="L273" s="70"/>
      <c r="M273" s="62"/>
      <c r="N273" s="62"/>
      <c r="O273" s="64"/>
      <c r="P273" s="79" t="s">
        <v>42</v>
      </c>
      <c r="Q273" s="73" t="s">
        <v>43</v>
      </c>
      <c r="R273" s="62"/>
    </row>
    <row r="274" ht="39.6" spans="1:18">
      <c r="A274" s="58">
        <v>251</v>
      </c>
      <c r="B274" s="75">
        <v>45697</v>
      </c>
      <c r="C274" s="64" t="s">
        <v>357</v>
      </c>
      <c r="D274" s="62" t="s">
        <v>35</v>
      </c>
      <c r="E274" s="62"/>
      <c r="F274" s="62" t="s">
        <v>36</v>
      </c>
      <c r="G274" s="62" t="s">
        <v>55</v>
      </c>
      <c r="H274" s="62" t="s">
        <v>38</v>
      </c>
      <c r="I274" s="78" t="s">
        <v>579</v>
      </c>
      <c r="J274" s="62" t="s">
        <v>40</v>
      </c>
      <c r="K274" s="67" t="s">
        <v>359</v>
      </c>
      <c r="L274" s="70"/>
      <c r="M274" s="62"/>
      <c r="N274" s="62"/>
      <c r="O274" s="64"/>
      <c r="P274" s="79" t="s">
        <v>42</v>
      </c>
      <c r="Q274" s="73" t="s">
        <v>43</v>
      </c>
      <c r="R274" s="62"/>
    </row>
    <row r="275" ht="27.6" spans="1:18">
      <c r="A275" s="58">
        <v>252</v>
      </c>
      <c r="B275" s="75">
        <v>45698</v>
      </c>
      <c r="C275" s="64" t="s">
        <v>348</v>
      </c>
      <c r="D275" s="62" t="s">
        <v>35</v>
      </c>
      <c r="E275" s="62"/>
      <c r="F275" s="62" t="s">
        <v>50</v>
      </c>
      <c r="G275" s="62" t="s">
        <v>82</v>
      </c>
      <c r="H275" s="62" t="s">
        <v>360</v>
      </c>
      <c r="I275" s="78" t="s">
        <v>361</v>
      </c>
      <c r="J275" s="62" t="s">
        <v>91</v>
      </c>
      <c r="K275" s="67" t="s">
        <v>362</v>
      </c>
      <c r="L275" s="70"/>
      <c r="M275" s="62"/>
      <c r="N275" s="62"/>
      <c r="O275" s="64"/>
      <c r="P275" s="79" t="s">
        <v>42</v>
      </c>
      <c r="Q275" s="73" t="s">
        <v>43</v>
      </c>
      <c r="R275" s="62"/>
    </row>
    <row r="276" ht="13.8" spans="1:18">
      <c r="A276" s="58">
        <v>253</v>
      </c>
      <c r="B276" s="75">
        <v>45698</v>
      </c>
      <c r="C276" s="64" t="s">
        <v>363</v>
      </c>
      <c r="D276" s="62" t="s">
        <v>35</v>
      </c>
      <c r="E276" s="62"/>
      <c r="F276" s="62" t="s">
        <v>36</v>
      </c>
      <c r="G276" s="62" t="s">
        <v>45</v>
      </c>
      <c r="H276" s="62" t="s">
        <v>94</v>
      </c>
      <c r="I276" s="78" t="s">
        <v>364</v>
      </c>
      <c r="J276" s="62" t="s">
        <v>40</v>
      </c>
      <c r="K276" s="67" t="s">
        <v>365</v>
      </c>
      <c r="L276" s="70"/>
      <c r="M276" s="62"/>
      <c r="N276" s="62"/>
      <c r="O276" s="64"/>
      <c r="P276" s="79" t="s">
        <v>42</v>
      </c>
      <c r="Q276" s="73" t="s">
        <v>43</v>
      </c>
      <c r="R276" s="62"/>
    </row>
    <row r="277" ht="13.8" spans="1:18">
      <c r="A277" s="58">
        <v>254</v>
      </c>
      <c r="B277" s="75">
        <v>45701</v>
      </c>
      <c r="C277" s="64" t="s">
        <v>366</v>
      </c>
      <c r="D277" s="62" t="s">
        <v>35</v>
      </c>
      <c r="E277" s="62"/>
      <c r="F277" s="62" t="s">
        <v>50</v>
      </c>
      <c r="G277" s="62" t="s">
        <v>65</v>
      </c>
      <c r="H277" s="62" t="s">
        <v>51</v>
      </c>
      <c r="I277" s="78" t="s">
        <v>367</v>
      </c>
      <c r="J277" s="62" t="s">
        <v>53</v>
      </c>
      <c r="K277" s="67" t="s">
        <v>368</v>
      </c>
      <c r="L277" s="70"/>
      <c r="M277" s="62"/>
      <c r="N277" s="62"/>
      <c r="O277" s="64"/>
      <c r="P277" s="79" t="s">
        <v>42</v>
      </c>
      <c r="Q277" s="73" t="s">
        <v>43</v>
      </c>
      <c r="R277" s="62"/>
    </row>
    <row r="278" ht="13.8" spans="1:18">
      <c r="A278" s="58">
        <v>255</v>
      </c>
      <c r="B278" s="75">
        <v>45701</v>
      </c>
      <c r="C278" s="64" t="s">
        <v>369</v>
      </c>
      <c r="D278" s="62" t="s">
        <v>35</v>
      </c>
      <c r="E278" s="62"/>
      <c r="F278" s="62" t="s">
        <v>50</v>
      </c>
      <c r="G278" s="62" t="s">
        <v>37</v>
      </c>
      <c r="H278" s="62" t="s">
        <v>51</v>
      </c>
      <c r="I278" s="78" t="s">
        <v>370</v>
      </c>
      <c r="J278" s="62" t="s">
        <v>53</v>
      </c>
      <c r="K278" s="67" t="s">
        <v>371</v>
      </c>
      <c r="L278" s="70"/>
      <c r="M278" s="62"/>
      <c r="N278" s="62"/>
      <c r="O278" s="64"/>
      <c r="P278" s="79" t="s">
        <v>42</v>
      </c>
      <c r="Q278" s="73" t="s">
        <v>43</v>
      </c>
      <c r="R278" s="62"/>
    </row>
    <row r="279" ht="27.6" spans="1:18">
      <c r="A279" s="58">
        <v>256</v>
      </c>
      <c r="B279" s="75">
        <v>45701</v>
      </c>
      <c r="C279" s="64" t="s">
        <v>372</v>
      </c>
      <c r="D279" s="62" t="s">
        <v>35</v>
      </c>
      <c r="E279" s="62"/>
      <c r="F279" s="62" t="s">
        <v>36</v>
      </c>
      <c r="G279" s="62" t="s">
        <v>82</v>
      </c>
      <c r="H279" s="62" t="s">
        <v>56</v>
      </c>
      <c r="I279" s="78" t="s">
        <v>373</v>
      </c>
      <c r="J279" s="62" t="s">
        <v>40</v>
      </c>
      <c r="K279" s="67" t="s">
        <v>374</v>
      </c>
      <c r="L279" s="70"/>
      <c r="M279" s="62"/>
      <c r="N279" s="62"/>
      <c r="O279" s="64"/>
      <c r="P279" s="79" t="s">
        <v>42</v>
      </c>
      <c r="Q279" s="73" t="s">
        <v>43</v>
      </c>
      <c r="R279" s="62"/>
    </row>
    <row r="280" ht="13.8" spans="1:18">
      <c r="A280" s="58">
        <v>257</v>
      </c>
      <c r="B280" s="75">
        <v>45702</v>
      </c>
      <c r="C280" s="64" t="s">
        <v>375</v>
      </c>
      <c r="D280" s="62" t="s">
        <v>35</v>
      </c>
      <c r="E280" s="62"/>
      <c r="F280" s="62" t="s">
        <v>36</v>
      </c>
      <c r="G280" s="62" t="s">
        <v>82</v>
      </c>
      <c r="H280" s="62" t="s">
        <v>66</v>
      </c>
      <c r="I280" s="78" t="s">
        <v>377</v>
      </c>
      <c r="J280" s="62" t="s">
        <v>40</v>
      </c>
      <c r="K280" s="67" t="s">
        <v>378</v>
      </c>
      <c r="L280" s="70"/>
      <c r="M280" s="62"/>
      <c r="N280" s="62"/>
      <c r="O280" s="64"/>
      <c r="P280" s="79" t="s">
        <v>42</v>
      </c>
      <c r="Q280" s="73" t="s">
        <v>43</v>
      </c>
      <c r="R280" s="62"/>
    </row>
    <row r="281" ht="13.8" spans="1:18">
      <c r="A281" s="58">
        <v>258</v>
      </c>
      <c r="B281" s="75">
        <v>45705</v>
      </c>
      <c r="C281" s="64" t="s">
        <v>379</v>
      </c>
      <c r="D281" s="62" t="s">
        <v>35</v>
      </c>
      <c r="E281" s="62"/>
      <c r="F281" s="62" t="s">
        <v>36</v>
      </c>
      <c r="G281" s="62" t="s">
        <v>82</v>
      </c>
      <c r="H281" s="62" t="s">
        <v>56</v>
      </c>
      <c r="I281" s="78" t="s">
        <v>380</v>
      </c>
      <c r="J281" s="62" t="s">
        <v>40</v>
      </c>
      <c r="K281" s="67" t="s">
        <v>381</v>
      </c>
      <c r="L281" s="70"/>
      <c r="M281" s="62"/>
      <c r="N281" s="62"/>
      <c r="O281" s="64"/>
      <c r="P281" s="79" t="s">
        <v>42</v>
      </c>
      <c r="Q281" s="73" t="s">
        <v>43</v>
      </c>
      <c r="R281" s="62"/>
    </row>
    <row r="282" ht="13.8" spans="1:18">
      <c r="A282" s="58">
        <v>259</v>
      </c>
      <c r="B282" s="75">
        <v>45705</v>
      </c>
      <c r="C282" s="64" t="s">
        <v>382</v>
      </c>
      <c r="D282" s="62" t="s">
        <v>35</v>
      </c>
      <c r="E282" s="62"/>
      <c r="F282" s="62" t="s">
        <v>36</v>
      </c>
      <c r="G282" s="62" t="s">
        <v>45</v>
      </c>
      <c r="H282" s="62" t="s">
        <v>94</v>
      </c>
      <c r="I282" s="78" t="s">
        <v>383</v>
      </c>
      <c r="J282" s="62" t="s">
        <v>40</v>
      </c>
      <c r="K282" s="67" t="s">
        <v>384</v>
      </c>
      <c r="L282" s="70"/>
      <c r="M282" s="62"/>
      <c r="N282" s="62"/>
      <c r="O282" s="64"/>
      <c r="P282" s="79" t="s">
        <v>42</v>
      </c>
      <c r="Q282" s="73" t="s">
        <v>43</v>
      </c>
      <c r="R282" s="62"/>
    </row>
    <row r="283" ht="13.8" spans="1:18">
      <c r="A283" s="58">
        <v>260</v>
      </c>
      <c r="B283" s="75">
        <v>45706</v>
      </c>
      <c r="C283" s="64" t="s">
        <v>385</v>
      </c>
      <c r="D283" s="62" t="s">
        <v>35</v>
      </c>
      <c r="E283" s="62"/>
      <c r="F283" s="62" t="s">
        <v>36</v>
      </c>
      <c r="G283" s="62" t="s">
        <v>45</v>
      </c>
      <c r="H283" s="62" t="s">
        <v>56</v>
      </c>
      <c r="I283" s="78" t="s">
        <v>386</v>
      </c>
      <c r="J283" s="62" t="s">
        <v>40</v>
      </c>
      <c r="K283" s="67" t="s">
        <v>387</v>
      </c>
      <c r="L283" s="70"/>
      <c r="M283" s="62"/>
      <c r="N283" s="62"/>
      <c r="O283" s="64"/>
      <c r="P283" s="79" t="s">
        <v>42</v>
      </c>
      <c r="Q283" s="73" t="s">
        <v>43</v>
      </c>
      <c r="R283" s="62"/>
    </row>
    <row r="284" ht="13.8" spans="1:18">
      <c r="A284" s="58">
        <v>261</v>
      </c>
      <c r="B284" s="75">
        <v>45707</v>
      </c>
      <c r="C284" s="64" t="s">
        <v>388</v>
      </c>
      <c r="D284" s="62" t="s">
        <v>35</v>
      </c>
      <c r="E284" s="62"/>
      <c r="F284" s="62" t="s">
        <v>36</v>
      </c>
      <c r="G284" s="62" t="s">
        <v>65</v>
      </c>
      <c r="H284" s="62" t="s">
        <v>66</v>
      </c>
      <c r="I284" s="78" t="s">
        <v>377</v>
      </c>
      <c r="J284" s="62" t="s">
        <v>40</v>
      </c>
      <c r="K284" s="67" t="s">
        <v>378</v>
      </c>
      <c r="L284" s="70"/>
      <c r="M284" s="62"/>
      <c r="N284" s="62"/>
      <c r="O284" s="64"/>
      <c r="P284" s="79" t="s">
        <v>42</v>
      </c>
      <c r="Q284" s="73" t="s">
        <v>43</v>
      </c>
      <c r="R284" s="62"/>
    </row>
    <row r="285" ht="13.8" spans="1:18">
      <c r="A285" s="58">
        <v>262</v>
      </c>
      <c r="B285" s="75">
        <v>45707</v>
      </c>
      <c r="C285" s="64" t="s">
        <v>389</v>
      </c>
      <c r="D285" s="62" t="s">
        <v>35</v>
      </c>
      <c r="E285" s="62"/>
      <c r="F285" s="62" t="s">
        <v>36</v>
      </c>
      <c r="G285" s="62" t="s">
        <v>93</v>
      </c>
      <c r="H285" s="62" t="s">
        <v>56</v>
      </c>
      <c r="I285" s="80" t="s">
        <v>390</v>
      </c>
      <c r="J285" s="62" t="s">
        <v>40</v>
      </c>
      <c r="K285" s="67" t="s">
        <v>356</v>
      </c>
      <c r="L285" s="87"/>
      <c r="M285" s="62"/>
      <c r="N285" s="62"/>
      <c r="O285" s="81"/>
      <c r="P285" s="79" t="s">
        <v>42</v>
      </c>
      <c r="Q285" s="73" t="s">
        <v>43</v>
      </c>
      <c r="R285" s="65"/>
    </row>
    <row r="286" ht="27.6" spans="1:18">
      <c r="A286" s="58">
        <v>263</v>
      </c>
      <c r="B286" s="75">
        <v>45709</v>
      </c>
      <c r="C286" s="64" t="s">
        <v>391</v>
      </c>
      <c r="D286" s="62" t="s">
        <v>35</v>
      </c>
      <c r="E286" s="62"/>
      <c r="F286" s="62" t="s">
        <v>50</v>
      </c>
      <c r="G286" s="62" t="s">
        <v>82</v>
      </c>
      <c r="H286" s="62" t="s">
        <v>132</v>
      </c>
      <c r="I286" s="78" t="s">
        <v>392</v>
      </c>
      <c r="J286" s="62" t="s">
        <v>91</v>
      </c>
      <c r="K286" s="67" t="s">
        <v>580</v>
      </c>
      <c r="L286" s="70" t="s">
        <v>581</v>
      </c>
      <c r="M286" s="62" t="s">
        <v>582</v>
      </c>
      <c r="N286" s="62" t="s">
        <v>582</v>
      </c>
      <c r="O286" s="64" t="s">
        <v>583</v>
      </c>
      <c r="P286" s="79">
        <v>45710</v>
      </c>
      <c r="Q286" s="73" t="s">
        <v>43</v>
      </c>
      <c r="R286" s="62"/>
    </row>
    <row r="287" ht="27.6" spans="1:18">
      <c r="A287" s="58">
        <v>264</v>
      </c>
      <c r="B287" s="75">
        <v>45709</v>
      </c>
      <c r="C287" s="64" t="s">
        <v>394</v>
      </c>
      <c r="D287" s="62" t="s">
        <v>35</v>
      </c>
      <c r="E287" s="62"/>
      <c r="F287" s="62" t="s">
        <v>50</v>
      </c>
      <c r="G287" s="62" t="s">
        <v>37</v>
      </c>
      <c r="H287" s="62" t="s">
        <v>132</v>
      </c>
      <c r="I287" s="78" t="s">
        <v>395</v>
      </c>
      <c r="J287" s="62" t="s">
        <v>91</v>
      </c>
      <c r="K287" s="67" t="s">
        <v>396</v>
      </c>
      <c r="L287" s="70"/>
      <c r="M287" s="62"/>
      <c r="N287" s="62"/>
      <c r="O287" s="64"/>
      <c r="P287" s="79" t="s">
        <v>42</v>
      </c>
      <c r="Q287" s="73" t="s">
        <v>43</v>
      </c>
      <c r="R287" s="62"/>
    </row>
    <row r="288" ht="27.6" spans="1:18">
      <c r="A288" s="58">
        <v>265</v>
      </c>
      <c r="B288" s="75">
        <v>45709</v>
      </c>
      <c r="C288" s="64" t="s">
        <v>397</v>
      </c>
      <c r="D288" s="62" t="s">
        <v>35</v>
      </c>
      <c r="E288" s="62"/>
      <c r="F288" s="62" t="s">
        <v>36</v>
      </c>
      <c r="G288" s="62" t="s">
        <v>45</v>
      </c>
      <c r="H288" s="62" t="s">
        <v>46</v>
      </c>
      <c r="I288" s="78" t="s">
        <v>398</v>
      </c>
      <c r="J288" s="62" t="s">
        <v>91</v>
      </c>
      <c r="K288" s="67" t="s">
        <v>399</v>
      </c>
      <c r="L288" s="70"/>
      <c r="M288" s="62"/>
      <c r="N288" s="62"/>
      <c r="O288" s="64"/>
      <c r="P288" s="79" t="s">
        <v>42</v>
      </c>
      <c r="Q288" s="73" t="s">
        <v>43</v>
      </c>
      <c r="R288" s="62"/>
    </row>
    <row r="289" ht="13.8" spans="1:18">
      <c r="A289" s="58">
        <v>266</v>
      </c>
      <c r="B289" s="75">
        <v>45709</v>
      </c>
      <c r="C289" s="64" t="s">
        <v>397</v>
      </c>
      <c r="D289" s="62" t="s">
        <v>35</v>
      </c>
      <c r="E289" s="62"/>
      <c r="F289" s="62" t="s">
        <v>36</v>
      </c>
      <c r="G289" s="62" t="s">
        <v>82</v>
      </c>
      <c r="H289" s="62" t="s">
        <v>38</v>
      </c>
      <c r="I289" s="78" t="s">
        <v>400</v>
      </c>
      <c r="J289" s="62" t="s">
        <v>40</v>
      </c>
      <c r="K289" s="67" t="s">
        <v>401</v>
      </c>
      <c r="L289" s="70"/>
      <c r="M289" s="62"/>
      <c r="N289" s="62"/>
      <c r="O289" s="64"/>
      <c r="P289" s="79" t="s">
        <v>42</v>
      </c>
      <c r="Q289" s="73" t="s">
        <v>43</v>
      </c>
      <c r="R289" s="62"/>
    </row>
    <row r="290" ht="13.8" spans="1:18">
      <c r="A290" s="58">
        <v>267</v>
      </c>
      <c r="B290" s="75">
        <v>45709</v>
      </c>
      <c r="C290" s="64" t="s">
        <v>351</v>
      </c>
      <c r="D290" s="62" t="s">
        <v>35</v>
      </c>
      <c r="E290" s="62"/>
      <c r="F290" s="62" t="s">
        <v>50</v>
      </c>
      <c r="G290" s="62" t="s">
        <v>65</v>
      </c>
      <c r="H290" s="62" t="s">
        <v>51</v>
      </c>
      <c r="I290" s="78" t="s">
        <v>402</v>
      </c>
      <c r="J290" s="62" t="s">
        <v>53</v>
      </c>
      <c r="K290" s="67" t="s">
        <v>403</v>
      </c>
      <c r="L290" s="70"/>
      <c r="M290" s="62"/>
      <c r="N290" s="62"/>
      <c r="O290" s="64"/>
      <c r="P290" s="79" t="s">
        <v>42</v>
      </c>
      <c r="Q290" s="73" t="s">
        <v>43</v>
      </c>
      <c r="R290" s="62"/>
    </row>
    <row r="291" ht="13.8" spans="1:18">
      <c r="A291" s="58">
        <v>268</v>
      </c>
      <c r="B291" s="75">
        <v>45709</v>
      </c>
      <c r="C291" s="64" t="s">
        <v>404</v>
      </c>
      <c r="D291" s="62" t="s">
        <v>35</v>
      </c>
      <c r="E291" s="62"/>
      <c r="F291" s="62" t="s">
        <v>36</v>
      </c>
      <c r="G291" s="62" t="s">
        <v>37</v>
      </c>
      <c r="H291" s="62" t="s">
        <v>94</v>
      </c>
      <c r="I291" s="78" t="s">
        <v>405</v>
      </c>
      <c r="J291" s="62" t="s">
        <v>88</v>
      </c>
      <c r="K291" s="67" t="s">
        <v>406</v>
      </c>
      <c r="L291" s="70"/>
      <c r="M291" s="62"/>
      <c r="N291" s="62"/>
      <c r="O291" s="64"/>
      <c r="P291" s="79" t="s">
        <v>42</v>
      </c>
      <c r="Q291" s="73" t="s">
        <v>43</v>
      </c>
      <c r="R291" s="62"/>
    </row>
    <row r="292" ht="27.6" spans="1:18">
      <c r="A292" s="58">
        <v>269</v>
      </c>
      <c r="B292" s="75">
        <v>45710</v>
      </c>
      <c r="C292" s="64" t="s">
        <v>407</v>
      </c>
      <c r="D292" s="62" t="s">
        <v>35</v>
      </c>
      <c r="E292" s="62"/>
      <c r="F292" s="62" t="s">
        <v>50</v>
      </c>
      <c r="G292" s="62" t="s">
        <v>55</v>
      </c>
      <c r="H292" s="62" t="s">
        <v>51</v>
      </c>
      <c r="I292" s="78" t="s">
        <v>199</v>
      </c>
      <c r="J292" s="62" t="s">
        <v>53</v>
      </c>
      <c r="K292" s="67" t="s">
        <v>200</v>
      </c>
      <c r="L292" s="70"/>
      <c r="M292" s="62"/>
      <c r="N292" s="62"/>
      <c r="O292" s="64"/>
      <c r="P292" s="79" t="s">
        <v>42</v>
      </c>
      <c r="Q292" s="73" t="s">
        <v>43</v>
      </c>
      <c r="R292" s="62"/>
    </row>
    <row r="293" ht="13.8" spans="1:18">
      <c r="A293" s="58">
        <v>270</v>
      </c>
      <c r="B293" s="75">
        <v>45710</v>
      </c>
      <c r="C293" s="64" t="s">
        <v>408</v>
      </c>
      <c r="D293" s="62" t="s">
        <v>35</v>
      </c>
      <c r="E293" s="62"/>
      <c r="F293" s="62" t="s">
        <v>50</v>
      </c>
      <c r="G293" s="62" t="s">
        <v>45</v>
      </c>
      <c r="H293" s="62" t="s">
        <v>94</v>
      </c>
      <c r="I293" s="78" t="s">
        <v>196</v>
      </c>
      <c r="J293" s="62" t="s">
        <v>91</v>
      </c>
      <c r="K293" s="67" t="s">
        <v>197</v>
      </c>
      <c r="L293" s="70"/>
      <c r="M293" s="62"/>
      <c r="N293" s="62"/>
      <c r="O293" s="64"/>
      <c r="P293" s="79" t="s">
        <v>42</v>
      </c>
      <c r="Q293" s="73" t="s">
        <v>43</v>
      </c>
      <c r="R293" s="62"/>
    </row>
    <row r="294" ht="27.6" spans="1:18">
      <c r="A294" s="58">
        <v>271</v>
      </c>
      <c r="B294" s="75">
        <v>45710</v>
      </c>
      <c r="C294" s="64" t="s">
        <v>409</v>
      </c>
      <c r="D294" s="62" t="s">
        <v>35</v>
      </c>
      <c r="E294" s="62"/>
      <c r="F294" s="62" t="s">
        <v>50</v>
      </c>
      <c r="G294" s="62" t="s">
        <v>65</v>
      </c>
      <c r="H294" s="62" t="s">
        <v>150</v>
      </c>
      <c r="I294" s="78" t="s">
        <v>189</v>
      </c>
      <c r="J294" s="62" t="s">
        <v>91</v>
      </c>
      <c r="K294" s="67" t="s">
        <v>190</v>
      </c>
      <c r="L294" s="70" t="s">
        <v>584</v>
      </c>
      <c r="M294" s="62" t="s">
        <v>115</v>
      </c>
      <c r="N294" s="62" t="s">
        <v>115</v>
      </c>
      <c r="O294" s="64" t="s">
        <v>585</v>
      </c>
      <c r="P294" s="79">
        <v>45717</v>
      </c>
      <c r="Q294" s="73" t="s">
        <v>43</v>
      </c>
      <c r="R294" s="62"/>
    </row>
    <row r="295" ht="13.8" spans="1:18">
      <c r="A295" s="58">
        <v>272</v>
      </c>
      <c r="B295" s="75">
        <v>45710</v>
      </c>
      <c r="C295" s="64" t="s">
        <v>410</v>
      </c>
      <c r="D295" s="62" t="s">
        <v>35</v>
      </c>
      <c r="E295" s="62"/>
      <c r="F295" s="62" t="s">
        <v>36</v>
      </c>
      <c r="G295" s="62" t="s">
        <v>93</v>
      </c>
      <c r="H295" s="62" t="s">
        <v>38</v>
      </c>
      <c r="I295" s="78" t="s">
        <v>184</v>
      </c>
      <c r="J295" s="62" t="s">
        <v>40</v>
      </c>
      <c r="K295" s="67" t="s">
        <v>185</v>
      </c>
      <c r="L295" s="70"/>
      <c r="M295" s="62"/>
      <c r="N295" s="62"/>
      <c r="O295" s="64"/>
      <c r="P295" s="79" t="s">
        <v>42</v>
      </c>
      <c r="Q295" s="73" t="s">
        <v>43</v>
      </c>
      <c r="R295" s="62"/>
    </row>
    <row r="296" ht="27.6" spans="1:18">
      <c r="A296" s="58">
        <v>273</v>
      </c>
      <c r="B296" s="75">
        <v>45710</v>
      </c>
      <c r="C296" s="64" t="s">
        <v>411</v>
      </c>
      <c r="D296" s="62" t="s">
        <v>35</v>
      </c>
      <c r="E296" s="62"/>
      <c r="F296" s="62" t="s">
        <v>36</v>
      </c>
      <c r="G296" s="62" t="s">
        <v>45</v>
      </c>
      <c r="H296" s="62" t="s">
        <v>46</v>
      </c>
      <c r="I296" s="78" t="s">
        <v>412</v>
      </c>
      <c r="J296" s="62" t="s">
        <v>40</v>
      </c>
      <c r="K296" s="67" t="s">
        <v>413</v>
      </c>
      <c r="L296" s="70"/>
      <c r="M296" s="62"/>
      <c r="N296" s="62"/>
      <c r="O296" s="64"/>
      <c r="P296" s="79" t="s">
        <v>42</v>
      </c>
      <c r="Q296" s="73" t="s">
        <v>43</v>
      </c>
      <c r="R296" s="62"/>
    </row>
    <row r="297" ht="27.6" spans="1:18">
      <c r="A297" s="58">
        <v>274</v>
      </c>
      <c r="B297" s="75">
        <v>45712</v>
      </c>
      <c r="C297" s="64" t="s">
        <v>414</v>
      </c>
      <c r="D297" s="62" t="s">
        <v>35</v>
      </c>
      <c r="E297" s="62"/>
      <c r="F297" s="62" t="s">
        <v>50</v>
      </c>
      <c r="G297" s="62" t="s">
        <v>82</v>
      </c>
      <c r="H297" s="62" t="s">
        <v>94</v>
      </c>
      <c r="I297" s="78" t="s">
        <v>415</v>
      </c>
      <c r="J297" s="62" t="s">
        <v>91</v>
      </c>
      <c r="K297" s="67" t="s">
        <v>416</v>
      </c>
      <c r="L297" s="70"/>
      <c r="M297" s="62"/>
      <c r="N297" s="62"/>
      <c r="O297" s="64"/>
      <c r="P297" s="79" t="s">
        <v>42</v>
      </c>
      <c r="Q297" s="73" t="s">
        <v>43</v>
      </c>
      <c r="R297" s="62"/>
    </row>
    <row r="298" ht="13.8" spans="1:18">
      <c r="A298" s="58">
        <v>275</v>
      </c>
      <c r="B298" s="75">
        <v>45712</v>
      </c>
      <c r="C298" s="64" t="s">
        <v>417</v>
      </c>
      <c r="D298" s="62" t="s">
        <v>35</v>
      </c>
      <c r="E298" s="62"/>
      <c r="F298" s="62" t="s">
        <v>50</v>
      </c>
      <c r="G298" s="62" t="s">
        <v>55</v>
      </c>
      <c r="H298" s="62" t="s">
        <v>51</v>
      </c>
      <c r="I298" s="78" t="s">
        <v>370</v>
      </c>
      <c r="J298" s="62" t="s">
        <v>53</v>
      </c>
      <c r="K298" s="67" t="s">
        <v>371</v>
      </c>
      <c r="L298" s="70"/>
      <c r="M298" s="62"/>
      <c r="N298" s="62"/>
      <c r="O298" s="64"/>
      <c r="P298" s="79" t="s">
        <v>42</v>
      </c>
      <c r="Q298" s="73" t="s">
        <v>43</v>
      </c>
      <c r="R298" s="62"/>
    </row>
    <row r="299" ht="27.6" spans="1:18">
      <c r="A299" s="58">
        <v>276</v>
      </c>
      <c r="B299" s="75">
        <v>45712</v>
      </c>
      <c r="C299" s="64" t="s">
        <v>418</v>
      </c>
      <c r="D299" s="62" t="s">
        <v>35</v>
      </c>
      <c r="E299" s="62"/>
      <c r="F299" s="62" t="s">
        <v>36</v>
      </c>
      <c r="G299" s="62" t="s">
        <v>37</v>
      </c>
      <c r="H299" s="62" t="s">
        <v>38</v>
      </c>
      <c r="I299" s="78" t="s">
        <v>419</v>
      </c>
      <c r="J299" s="62" t="s">
        <v>40</v>
      </c>
      <c r="K299" s="67" t="s">
        <v>420</v>
      </c>
      <c r="L299" s="70"/>
      <c r="M299" s="62"/>
      <c r="N299" s="62"/>
      <c r="O299" s="64"/>
      <c r="P299" s="79" t="s">
        <v>42</v>
      </c>
      <c r="Q299" s="73" t="s">
        <v>43</v>
      </c>
      <c r="R299" s="62"/>
    </row>
    <row r="300" ht="27.6" spans="1:18">
      <c r="A300" s="58">
        <v>277</v>
      </c>
      <c r="B300" s="75">
        <v>45712</v>
      </c>
      <c r="C300" s="64" t="s">
        <v>421</v>
      </c>
      <c r="D300" s="62" t="s">
        <v>35</v>
      </c>
      <c r="E300" s="62"/>
      <c r="F300" s="62" t="s">
        <v>36</v>
      </c>
      <c r="G300" s="62" t="s">
        <v>93</v>
      </c>
      <c r="H300" s="62" t="s">
        <v>94</v>
      </c>
      <c r="I300" s="78" t="s">
        <v>422</v>
      </c>
      <c r="J300" s="62" t="s">
        <v>91</v>
      </c>
      <c r="K300" s="67" t="s">
        <v>423</v>
      </c>
      <c r="L300" s="70"/>
      <c r="M300" s="62"/>
      <c r="N300" s="62"/>
      <c r="O300" s="64"/>
      <c r="P300" s="79" t="s">
        <v>42</v>
      </c>
      <c r="Q300" s="73" t="s">
        <v>43</v>
      </c>
      <c r="R300" s="62"/>
    </row>
    <row r="301" ht="26.4" spans="1:18">
      <c r="A301" s="58">
        <v>278</v>
      </c>
      <c r="B301" s="75">
        <v>45712</v>
      </c>
      <c r="C301" s="64" t="s">
        <v>424</v>
      </c>
      <c r="D301" s="62" t="s">
        <v>35</v>
      </c>
      <c r="E301" s="62"/>
      <c r="F301" s="62" t="s">
        <v>36</v>
      </c>
      <c r="G301" s="62" t="s">
        <v>82</v>
      </c>
      <c r="H301" s="62" t="s">
        <v>38</v>
      </c>
      <c r="I301" s="78" t="s">
        <v>425</v>
      </c>
      <c r="J301" s="62" t="s">
        <v>40</v>
      </c>
      <c r="K301" s="67" t="s">
        <v>426</v>
      </c>
      <c r="L301" s="70" t="s">
        <v>586</v>
      </c>
      <c r="M301" s="62" t="s">
        <v>115</v>
      </c>
      <c r="N301" s="62" t="s">
        <v>582</v>
      </c>
      <c r="O301" s="64" t="s">
        <v>587</v>
      </c>
      <c r="P301" s="79">
        <v>45715</v>
      </c>
      <c r="Q301" s="73" t="s">
        <v>43</v>
      </c>
      <c r="R301" s="62"/>
    </row>
    <row r="302" ht="13.8" spans="1:18">
      <c r="A302" s="58">
        <v>279</v>
      </c>
      <c r="B302" s="75">
        <v>45712</v>
      </c>
      <c r="C302" s="64" t="s">
        <v>427</v>
      </c>
      <c r="D302" s="62" t="s">
        <v>35</v>
      </c>
      <c r="E302" s="62"/>
      <c r="F302" s="62" t="s">
        <v>50</v>
      </c>
      <c r="G302" s="62" t="s">
        <v>45</v>
      </c>
      <c r="H302" s="62" t="s">
        <v>51</v>
      </c>
      <c r="I302" s="78" t="s">
        <v>221</v>
      </c>
      <c r="J302" s="62" t="s">
        <v>53</v>
      </c>
      <c r="K302" s="67" t="s">
        <v>222</v>
      </c>
      <c r="L302" s="70"/>
      <c r="M302" s="62"/>
      <c r="N302" s="62"/>
      <c r="O302" s="64"/>
      <c r="P302" s="79" t="s">
        <v>42</v>
      </c>
      <c r="Q302" s="73" t="s">
        <v>43</v>
      </c>
      <c r="R302" s="62"/>
    </row>
    <row r="303" ht="13.8" spans="1:18">
      <c r="A303" s="58">
        <v>280</v>
      </c>
      <c r="B303" s="75">
        <v>45712</v>
      </c>
      <c r="C303" s="64" t="s">
        <v>335</v>
      </c>
      <c r="D303" s="62" t="s">
        <v>35</v>
      </c>
      <c r="E303" s="62"/>
      <c r="F303" s="62" t="s">
        <v>50</v>
      </c>
      <c r="G303" s="62" t="s">
        <v>82</v>
      </c>
      <c r="H303" s="62" t="s">
        <v>51</v>
      </c>
      <c r="I303" s="78" t="s">
        <v>221</v>
      </c>
      <c r="J303" s="62" t="s">
        <v>53</v>
      </c>
      <c r="K303" s="67" t="s">
        <v>222</v>
      </c>
      <c r="L303" s="70"/>
      <c r="M303" s="62"/>
      <c r="N303" s="62"/>
      <c r="O303" s="64"/>
      <c r="P303" s="79" t="s">
        <v>42</v>
      </c>
      <c r="Q303" s="73" t="s">
        <v>43</v>
      </c>
      <c r="R303" s="62"/>
    </row>
    <row r="304" ht="13.8" spans="1:18">
      <c r="A304" s="58">
        <v>281</v>
      </c>
      <c r="B304" s="75">
        <v>45712</v>
      </c>
      <c r="C304" s="64" t="s">
        <v>428</v>
      </c>
      <c r="D304" s="62" t="s">
        <v>35</v>
      </c>
      <c r="E304" s="62"/>
      <c r="F304" s="62" t="s">
        <v>36</v>
      </c>
      <c r="G304" s="62" t="s">
        <v>93</v>
      </c>
      <c r="H304" s="62" t="s">
        <v>56</v>
      </c>
      <c r="I304" s="78" t="s">
        <v>429</v>
      </c>
      <c r="J304" s="62" t="s">
        <v>40</v>
      </c>
      <c r="K304" s="67" t="s">
        <v>430</v>
      </c>
      <c r="L304" s="70"/>
      <c r="M304" s="62"/>
      <c r="N304" s="62"/>
      <c r="O304" s="64"/>
      <c r="P304" s="79" t="s">
        <v>42</v>
      </c>
      <c r="Q304" s="73" t="s">
        <v>43</v>
      </c>
      <c r="R304" s="62"/>
    </row>
    <row r="305" ht="13.8" spans="1:18">
      <c r="A305" s="58">
        <v>282</v>
      </c>
      <c r="B305" s="75">
        <v>45712</v>
      </c>
      <c r="C305" s="64" t="s">
        <v>320</v>
      </c>
      <c r="D305" s="62" t="s">
        <v>35</v>
      </c>
      <c r="E305" s="62"/>
      <c r="F305" s="62" t="s">
        <v>36</v>
      </c>
      <c r="G305" s="62" t="s">
        <v>45</v>
      </c>
      <c r="H305" s="62" t="s">
        <v>56</v>
      </c>
      <c r="I305" s="78" t="s">
        <v>431</v>
      </c>
      <c r="J305" s="62" t="s">
        <v>40</v>
      </c>
      <c r="K305" s="67" t="s">
        <v>430</v>
      </c>
      <c r="L305" s="70"/>
      <c r="M305" s="62"/>
      <c r="N305" s="62"/>
      <c r="O305" s="64"/>
      <c r="P305" s="79" t="s">
        <v>42</v>
      </c>
      <c r="Q305" s="73" t="s">
        <v>43</v>
      </c>
      <c r="R305" s="62"/>
    </row>
    <row r="306" ht="13.8" spans="1:18">
      <c r="A306" s="58">
        <v>283</v>
      </c>
      <c r="B306" s="75">
        <v>45712</v>
      </c>
      <c r="C306" s="64" t="s">
        <v>409</v>
      </c>
      <c r="D306" s="62" t="s">
        <v>35</v>
      </c>
      <c r="E306" s="62"/>
      <c r="F306" s="62" t="s">
        <v>50</v>
      </c>
      <c r="G306" s="62" t="s">
        <v>588</v>
      </c>
      <c r="H306" s="62" t="s">
        <v>51</v>
      </c>
      <c r="I306" s="78" t="s">
        <v>432</v>
      </c>
      <c r="J306" s="62" t="s">
        <v>53</v>
      </c>
      <c r="K306" s="67" t="s">
        <v>433</v>
      </c>
      <c r="L306" s="70"/>
      <c r="M306" s="62"/>
      <c r="N306" s="62"/>
      <c r="O306" s="64"/>
      <c r="P306" s="79" t="s">
        <v>42</v>
      </c>
      <c r="Q306" s="73" t="s">
        <v>43</v>
      </c>
      <c r="R306" s="62"/>
    </row>
    <row r="307" ht="13.8" spans="1:18">
      <c r="A307" s="58">
        <v>284</v>
      </c>
      <c r="B307" s="75">
        <v>45713</v>
      </c>
      <c r="C307" s="64" t="s">
        <v>49</v>
      </c>
      <c r="D307" s="62" t="s">
        <v>35</v>
      </c>
      <c r="E307" s="62"/>
      <c r="F307" s="62" t="s">
        <v>36</v>
      </c>
      <c r="G307" s="62" t="s">
        <v>82</v>
      </c>
      <c r="H307" s="62" t="s">
        <v>46</v>
      </c>
      <c r="I307" s="78" t="s">
        <v>434</v>
      </c>
      <c r="J307" s="62" t="s">
        <v>40</v>
      </c>
      <c r="K307" s="67" t="s">
        <v>435</v>
      </c>
      <c r="L307" s="70"/>
      <c r="M307" s="62"/>
      <c r="N307" s="62"/>
      <c r="O307" s="64"/>
      <c r="P307" s="79" t="s">
        <v>42</v>
      </c>
      <c r="Q307" s="73" t="s">
        <v>43</v>
      </c>
      <c r="R307" s="62"/>
    </row>
    <row r="308" ht="13.8" spans="1:18">
      <c r="A308" s="58">
        <v>285</v>
      </c>
      <c r="B308" s="75">
        <v>45713</v>
      </c>
      <c r="C308" s="64" t="s">
        <v>436</v>
      </c>
      <c r="D308" s="62" t="s">
        <v>35</v>
      </c>
      <c r="E308" s="62"/>
      <c r="F308" s="62" t="s">
        <v>36</v>
      </c>
      <c r="G308" s="62" t="s">
        <v>45</v>
      </c>
      <c r="H308" s="62" t="s">
        <v>56</v>
      </c>
      <c r="I308" s="78" t="s">
        <v>437</v>
      </c>
      <c r="J308" s="62" t="s">
        <v>40</v>
      </c>
      <c r="K308" s="67" t="s">
        <v>438</v>
      </c>
      <c r="L308" s="70"/>
      <c r="M308" s="62"/>
      <c r="N308" s="62"/>
      <c r="O308" s="64"/>
      <c r="P308" s="79" t="s">
        <v>42</v>
      </c>
      <c r="Q308" s="73" t="s">
        <v>43</v>
      </c>
      <c r="R308" s="62"/>
    </row>
    <row r="309" ht="13.8" spans="1:18">
      <c r="A309" s="58">
        <v>286</v>
      </c>
      <c r="B309" s="75">
        <v>45713</v>
      </c>
      <c r="C309" s="64" t="s">
        <v>439</v>
      </c>
      <c r="D309" s="62" t="s">
        <v>35</v>
      </c>
      <c r="E309" s="62"/>
      <c r="F309" s="62" t="s">
        <v>36</v>
      </c>
      <c r="G309" s="62" t="s">
        <v>45</v>
      </c>
      <c r="H309" s="62" t="s">
        <v>66</v>
      </c>
      <c r="I309" s="78" t="s">
        <v>440</v>
      </c>
      <c r="J309" s="62" t="s">
        <v>40</v>
      </c>
      <c r="K309" s="67" t="s">
        <v>441</v>
      </c>
      <c r="L309" s="70"/>
      <c r="M309" s="62"/>
      <c r="N309" s="62"/>
      <c r="O309" s="64"/>
      <c r="P309" s="79" t="s">
        <v>42</v>
      </c>
      <c r="Q309" s="73" t="s">
        <v>43</v>
      </c>
      <c r="R309" s="62"/>
    </row>
    <row r="310" ht="13.8" spans="1:18">
      <c r="A310" s="58">
        <v>287</v>
      </c>
      <c r="B310" s="75">
        <v>45713</v>
      </c>
      <c r="C310" s="64" t="s">
        <v>442</v>
      </c>
      <c r="D310" s="62" t="s">
        <v>35</v>
      </c>
      <c r="E310" s="62"/>
      <c r="F310" s="62" t="s">
        <v>50</v>
      </c>
      <c r="G310" s="62" t="s">
        <v>93</v>
      </c>
      <c r="H310" s="62" t="s">
        <v>51</v>
      </c>
      <c r="I310" s="78" t="s">
        <v>370</v>
      </c>
      <c r="J310" s="62" t="s">
        <v>53</v>
      </c>
      <c r="K310" s="67" t="s">
        <v>371</v>
      </c>
      <c r="L310" s="70"/>
      <c r="M310" s="62"/>
      <c r="N310" s="62"/>
      <c r="O310" s="64"/>
      <c r="P310" s="79" t="s">
        <v>42</v>
      </c>
      <c r="Q310" s="73" t="s">
        <v>43</v>
      </c>
      <c r="R310" s="62"/>
    </row>
    <row r="311" ht="13.8" spans="1:18">
      <c r="A311" s="58">
        <v>288</v>
      </c>
      <c r="B311" s="75">
        <v>45713</v>
      </c>
      <c r="C311" s="64" t="s">
        <v>443</v>
      </c>
      <c r="D311" s="62" t="s">
        <v>35</v>
      </c>
      <c r="E311" s="62"/>
      <c r="F311" s="62" t="s">
        <v>36</v>
      </c>
      <c r="G311" s="62" t="s">
        <v>61</v>
      </c>
      <c r="H311" s="62" t="s">
        <v>94</v>
      </c>
      <c r="I311" s="78" t="s">
        <v>444</v>
      </c>
      <c r="J311" s="62" t="s">
        <v>40</v>
      </c>
      <c r="K311" s="67" t="s">
        <v>445</v>
      </c>
      <c r="L311" s="70"/>
      <c r="M311" s="62"/>
      <c r="N311" s="62"/>
      <c r="O311" s="64"/>
      <c r="P311" s="79" t="s">
        <v>42</v>
      </c>
      <c r="Q311" s="73" t="s">
        <v>43</v>
      </c>
      <c r="R311" s="62"/>
    </row>
    <row r="312" ht="26.4" spans="1:18">
      <c r="A312" s="58">
        <v>289</v>
      </c>
      <c r="B312" s="75">
        <v>45713</v>
      </c>
      <c r="C312" s="64" t="s">
        <v>335</v>
      </c>
      <c r="D312" s="62" t="s">
        <v>35</v>
      </c>
      <c r="E312" s="62"/>
      <c r="F312" s="62" t="s">
        <v>36</v>
      </c>
      <c r="G312" s="62" t="s">
        <v>45</v>
      </c>
      <c r="H312" s="62" t="s">
        <v>56</v>
      </c>
      <c r="I312" s="78" t="s">
        <v>446</v>
      </c>
      <c r="J312" s="62" t="s">
        <v>40</v>
      </c>
      <c r="K312" s="67" t="s">
        <v>447</v>
      </c>
      <c r="L312" s="70"/>
      <c r="M312" s="62"/>
      <c r="N312" s="62"/>
      <c r="O312" s="64"/>
      <c r="P312" s="79" t="s">
        <v>42</v>
      </c>
      <c r="Q312" s="73" t="s">
        <v>43</v>
      </c>
      <c r="R312" s="62"/>
    </row>
    <row r="313" ht="13.8" spans="1:18">
      <c r="A313" s="58">
        <v>290</v>
      </c>
      <c r="B313" s="75">
        <v>45713</v>
      </c>
      <c r="C313" s="64" t="s">
        <v>338</v>
      </c>
      <c r="D313" s="62" t="s">
        <v>35</v>
      </c>
      <c r="E313" s="62"/>
      <c r="F313" s="62" t="s">
        <v>36</v>
      </c>
      <c r="G313" s="62" t="s">
        <v>82</v>
      </c>
      <c r="H313" s="62" t="s">
        <v>38</v>
      </c>
      <c r="I313" s="78" t="s">
        <v>448</v>
      </c>
      <c r="J313" s="62" t="s">
        <v>40</v>
      </c>
      <c r="K313" s="67" t="s">
        <v>449</v>
      </c>
      <c r="L313" s="70"/>
      <c r="M313" s="62"/>
      <c r="N313" s="62"/>
      <c r="O313" s="64"/>
      <c r="P313" s="79" t="s">
        <v>42</v>
      </c>
      <c r="Q313" s="73" t="s">
        <v>43</v>
      </c>
      <c r="R313" s="62"/>
    </row>
    <row r="314" ht="39.6" spans="1:18">
      <c r="A314" s="58">
        <v>291</v>
      </c>
      <c r="B314" s="75">
        <v>45713</v>
      </c>
      <c r="C314" s="64" t="s">
        <v>427</v>
      </c>
      <c r="D314" s="62" t="s">
        <v>35</v>
      </c>
      <c r="E314" s="62"/>
      <c r="F314" s="62" t="s">
        <v>135</v>
      </c>
      <c r="G314" s="62" t="s">
        <v>45</v>
      </c>
      <c r="H314" s="62" t="s">
        <v>132</v>
      </c>
      <c r="I314" s="78" t="s">
        <v>551</v>
      </c>
      <c r="J314" s="62" t="s">
        <v>137</v>
      </c>
      <c r="K314" s="67"/>
      <c r="L314" s="70"/>
      <c r="M314" s="62"/>
      <c r="N314" s="62"/>
      <c r="O314" s="64"/>
      <c r="P314" s="79" t="s">
        <v>42</v>
      </c>
      <c r="Q314" s="62" t="s">
        <v>8</v>
      </c>
      <c r="R314" s="62"/>
    </row>
    <row r="315" ht="26.4" spans="1:18">
      <c r="A315" s="58">
        <v>292</v>
      </c>
      <c r="B315" s="75">
        <v>45713</v>
      </c>
      <c r="C315" s="64" t="s">
        <v>335</v>
      </c>
      <c r="D315" s="62" t="s">
        <v>35</v>
      </c>
      <c r="E315" s="62"/>
      <c r="F315" s="62" t="s">
        <v>135</v>
      </c>
      <c r="G315" s="62" t="s">
        <v>82</v>
      </c>
      <c r="H315" s="62" t="s">
        <v>94</v>
      </c>
      <c r="I315" s="78" t="s">
        <v>553</v>
      </c>
      <c r="J315" s="62" t="s">
        <v>137</v>
      </c>
      <c r="K315" s="67"/>
      <c r="L315" s="70"/>
      <c r="M315" s="62"/>
      <c r="N315" s="62"/>
      <c r="O315" s="64"/>
      <c r="P315" s="79" t="s">
        <v>42</v>
      </c>
      <c r="Q315" s="62" t="s">
        <v>8</v>
      </c>
      <c r="R315" s="62"/>
    </row>
    <row r="316" ht="26.4" spans="1:18">
      <c r="A316" s="58">
        <v>293</v>
      </c>
      <c r="B316" s="75">
        <v>45713</v>
      </c>
      <c r="C316" s="60" t="s">
        <v>49</v>
      </c>
      <c r="D316" s="62" t="s">
        <v>35</v>
      </c>
      <c r="E316" s="62"/>
      <c r="F316" s="62" t="s">
        <v>192</v>
      </c>
      <c r="G316" s="62" t="s">
        <v>82</v>
      </c>
      <c r="H316" s="62" t="s">
        <v>38</v>
      </c>
      <c r="I316" s="78" t="s">
        <v>560</v>
      </c>
      <c r="J316" s="62" t="s">
        <v>137</v>
      </c>
      <c r="K316" s="67"/>
      <c r="L316" s="70"/>
      <c r="M316" s="62"/>
      <c r="N316" s="62"/>
      <c r="O316" s="64"/>
      <c r="P316" s="79" t="s">
        <v>42</v>
      </c>
      <c r="Q316" s="62" t="s">
        <v>8</v>
      </c>
      <c r="R316" s="62"/>
    </row>
    <row r="317" ht="13.8" spans="1:18">
      <c r="A317" s="58">
        <v>294</v>
      </c>
      <c r="B317" s="75">
        <v>45713</v>
      </c>
      <c r="C317" s="60" t="s">
        <v>436</v>
      </c>
      <c r="D317" s="62" t="s">
        <v>35</v>
      </c>
      <c r="E317" s="62"/>
      <c r="F317" s="62" t="s">
        <v>135</v>
      </c>
      <c r="G317" s="62" t="s">
        <v>45</v>
      </c>
      <c r="H317" s="62" t="s">
        <v>94</v>
      </c>
      <c r="I317" s="78" t="s">
        <v>561</v>
      </c>
      <c r="J317" s="62" t="s">
        <v>137</v>
      </c>
      <c r="K317" s="67"/>
      <c r="L317" s="70"/>
      <c r="M317" s="62"/>
      <c r="N317" s="62"/>
      <c r="O317" s="64"/>
      <c r="P317" s="79" t="s">
        <v>42</v>
      </c>
      <c r="Q317" s="62" t="s">
        <v>8</v>
      </c>
      <c r="R317" s="62"/>
    </row>
    <row r="318" ht="26.4" spans="1:18">
      <c r="A318" s="58">
        <v>295</v>
      </c>
      <c r="B318" s="75">
        <v>45713</v>
      </c>
      <c r="C318" s="60" t="s">
        <v>335</v>
      </c>
      <c r="D318" s="62" t="s">
        <v>35</v>
      </c>
      <c r="E318" s="62"/>
      <c r="F318" s="62" t="s">
        <v>135</v>
      </c>
      <c r="G318" s="62" t="s">
        <v>45</v>
      </c>
      <c r="H318" s="62" t="s">
        <v>132</v>
      </c>
      <c r="I318" s="78" t="s">
        <v>319</v>
      </c>
      <c r="J318" s="62" t="s">
        <v>137</v>
      </c>
      <c r="K318" s="67"/>
      <c r="L318" s="70"/>
      <c r="M318" s="62"/>
      <c r="N318" s="62"/>
      <c r="O318" s="64"/>
      <c r="P318" s="79" t="s">
        <v>42</v>
      </c>
      <c r="Q318" s="62" t="s">
        <v>8</v>
      </c>
      <c r="R318" s="62"/>
    </row>
    <row r="319" ht="13.8" spans="1:18">
      <c r="A319" s="58">
        <v>296</v>
      </c>
      <c r="B319" s="75">
        <v>45713</v>
      </c>
      <c r="C319" s="60" t="s">
        <v>453</v>
      </c>
      <c r="D319" s="62" t="s">
        <v>35</v>
      </c>
      <c r="E319" s="62" t="s">
        <v>589</v>
      </c>
      <c r="F319" s="62" t="s">
        <v>135</v>
      </c>
      <c r="G319" s="62" t="s">
        <v>55</v>
      </c>
      <c r="H319" s="62" t="s">
        <v>94</v>
      </c>
      <c r="I319" s="78" t="s">
        <v>590</v>
      </c>
      <c r="J319" s="62" t="s">
        <v>137</v>
      </c>
      <c r="K319" s="67"/>
      <c r="L319" s="70"/>
      <c r="M319" s="62"/>
      <c r="N319" s="62"/>
      <c r="O319" s="64"/>
      <c r="P319" s="79" t="s">
        <v>42</v>
      </c>
      <c r="Q319" s="62" t="s">
        <v>8</v>
      </c>
      <c r="R319" s="62"/>
    </row>
    <row r="320" ht="13.8" spans="1:18">
      <c r="A320" s="58">
        <v>297</v>
      </c>
      <c r="B320" s="75">
        <v>45713</v>
      </c>
      <c r="C320" s="60" t="s">
        <v>335</v>
      </c>
      <c r="D320" s="62" t="s">
        <v>35</v>
      </c>
      <c r="E320" s="62"/>
      <c r="F320" s="62" t="s">
        <v>135</v>
      </c>
      <c r="G320" s="62" t="s">
        <v>82</v>
      </c>
      <c r="H320" s="62" t="s">
        <v>150</v>
      </c>
      <c r="I320" s="78" t="s">
        <v>569</v>
      </c>
      <c r="J320" s="62" t="s">
        <v>137</v>
      </c>
      <c r="K320" s="67"/>
      <c r="L320" s="70"/>
      <c r="M320" s="62"/>
      <c r="N320" s="62"/>
      <c r="O320" s="64"/>
      <c r="P320" s="79" t="s">
        <v>42</v>
      </c>
      <c r="Q320" s="62" t="s">
        <v>8</v>
      </c>
      <c r="R320" s="62"/>
    </row>
    <row r="321" ht="26.4" spans="1:18">
      <c r="A321" s="58">
        <v>298</v>
      </c>
      <c r="B321" s="75">
        <v>45707</v>
      </c>
      <c r="C321" s="60" t="s">
        <v>100</v>
      </c>
      <c r="D321" s="61" t="s">
        <v>60</v>
      </c>
      <c r="E321" s="62" t="s">
        <v>101</v>
      </c>
      <c r="F321" s="62" t="s">
        <v>135</v>
      </c>
      <c r="G321" s="62" t="s">
        <v>588</v>
      </c>
      <c r="H321" s="62" t="s">
        <v>94</v>
      </c>
      <c r="I321" s="78" t="s">
        <v>591</v>
      </c>
      <c r="J321" s="62" t="s">
        <v>137</v>
      </c>
      <c r="K321" s="67"/>
      <c r="L321" s="70"/>
      <c r="M321" s="62"/>
      <c r="N321" s="62"/>
      <c r="O321" s="64"/>
      <c r="P321" s="79" t="s">
        <v>42</v>
      </c>
      <c r="Q321" s="62" t="s">
        <v>8</v>
      </c>
      <c r="R321" s="62"/>
    </row>
    <row r="322" ht="27.6" spans="1:18">
      <c r="A322" s="58">
        <v>299</v>
      </c>
      <c r="B322" s="75">
        <v>45707</v>
      </c>
      <c r="C322" s="60" t="s">
        <v>100</v>
      </c>
      <c r="D322" s="61" t="s">
        <v>60</v>
      </c>
      <c r="E322" s="62" t="s">
        <v>101</v>
      </c>
      <c r="F322" s="62" t="s">
        <v>50</v>
      </c>
      <c r="G322" s="62" t="s">
        <v>588</v>
      </c>
      <c r="H322" s="62" t="s">
        <v>51</v>
      </c>
      <c r="I322" s="78" t="s">
        <v>592</v>
      </c>
      <c r="J322" s="62" t="s">
        <v>88</v>
      </c>
      <c r="K322" s="67" t="s">
        <v>593</v>
      </c>
      <c r="L322" s="70"/>
      <c r="M322" s="62"/>
      <c r="N322" s="62"/>
      <c r="O322" s="64"/>
      <c r="P322" s="79" t="s">
        <v>42</v>
      </c>
      <c r="Q322" s="73" t="s">
        <v>43</v>
      </c>
      <c r="R322" s="62"/>
    </row>
    <row r="323" ht="13.8" spans="1:18">
      <c r="A323" s="58">
        <v>300</v>
      </c>
      <c r="B323" s="75">
        <v>45704</v>
      </c>
      <c r="C323" s="60" t="s">
        <v>127</v>
      </c>
      <c r="D323" s="61" t="s">
        <v>60</v>
      </c>
      <c r="E323" s="62" t="s">
        <v>163</v>
      </c>
      <c r="F323" s="62" t="s">
        <v>50</v>
      </c>
      <c r="G323" s="62" t="s">
        <v>588</v>
      </c>
      <c r="H323" s="62" t="s">
        <v>150</v>
      </c>
      <c r="I323" s="78" t="s">
        <v>594</v>
      </c>
      <c r="J323" s="62" t="s">
        <v>88</v>
      </c>
      <c r="K323" s="67"/>
      <c r="L323" s="87"/>
      <c r="M323" s="65"/>
      <c r="N323" s="65"/>
      <c r="O323" s="81"/>
      <c r="P323" s="79" t="s">
        <v>42</v>
      </c>
      <c r="Q323" s="73" t="s">
        <v>43</v>
      </c>
      <c r="R323" s="65"/>
    </row>
    <row r="324" ht="27.6" spans="1:18">
      <c r="A324" s="58">
        <v>301</v>
      </c>
      <c r="B324" s="75">
        <v>45707</v>
      </c>
      <c r="C324" s="60" t="s">
        <v>59</v>
      </c>
      <c r="D324" s="61" t="s">
        <v>60</v>
      </c>
      <c r="E324" s="62" t="s">
        <v>163</v>
      </c>
      <c r="F324" s="62" t="s">
        <v>50</v>
      </c>
      <c r="G324" s="62" t="s">
        <v>588</v>
      </c>
      <c r="H324" s="62" t="s">
        <v>94</v>
      </c>
      <c r="I324" s="78" t="s">
        <v>595</v>
      </c>
      <c r="J324" s="62" t="s">
        <v>53</v>
      </c>
      <c r="K324" s="67" t="s">
        <v>596</v>
      </c>
      <c r="L324" s="70"/>
      <c r="M324" s="62"/>
      <c r="N324" s="62"/>
      <c r="O324" s="64"/>
      <c r="P324" s="79"/>
      <c r="Q324" s="73" t="s">
        <v>43</v>
      </c>
      <c r="R324" s="62"/>
    </row>
    <row r="325" ht="27.6" spans="1:18">
      <c r="A325" s="58">
        <v>302</v>
      </c>
      <c r="B325" s="75">
        <v>45704</v>
      </c>
      <c r="C325" s="64" t="s">
        <v>597</v>
      </c>
      <c r="D325" s="61" t="s">
        <v>60</v>
      </c>
      <c r="E325" s="62" t="s">
        <v>73</v>
      </c>
      <c r="F325" s="62" t="s">
        <v>50</v>
      </c>
      <c r="G325" s="62" t="s">
        <v>55</v>
      </c>
      <c r="H325" s="62" t="s">
        <v>51</v>
      </c>
      <c r="I325" s="78" t="s">
        <v>598</v>
      </c>
      <c r="J325" s="62" t="s">
        <v>53</v>
      </c>
      <c r="K325" s="67" t="s">
        <v>599</v>
      </c>
      <c r="L325" s="70"/>
      <c r="M325" s="62"/>
      <c r="N325" s="62"/>
      <c r="O325" s="64"/>
      <c r="P325" s="79" t="s">
        <v>42</v>
      </c>
      <c r="Q325" s="73" t="s">
        <v>43</v>
      </c>
      <c r="R325" s="62"/>
    </row>
    <row r="326" ht="55.2" spans="1:18">
      <c r="A326" s="58">
        <v>303</v>
      </c>
      <c r="B326" s="75">
        <v>45704</v>
      </c>
      <c r="C326" s="64" t="s">
        <v>597</v>
      </c>
      <c r="D326" s="61" t="s">
        <v>60</v>
      </c>
      <c r="E326" s="62" t="s">
        <v>73</v>
      </c>
      <c r="F326" s="62" t="s">
        <v>50</v>
      </c>
      <c r="G326" s="62" t="s">
        <v>55</v>
      </c>
      <c r="H326" s="62" t="s">
        <v>94</v>
      </c>
      <c r="I326" s="78" t="s">
        <v>600</v>
      </c>
      <c r="J326" s="62" t="s">
        <v>53</v>
      </c>
      <c r="K326" s="67" t="s">
        <v>601</v>
      </c>
      <c r="L326" s="70"/>
      <c r="M326" s="62"/>
      <c r="N326" s="62"/>
      <c r="O326" s="64"/>
      <c r="P326" s="79" t="s">
        <v>42</v>
      </c>
      <c r="Q326" s="73" t="s">
        <v>43</v>
      </c>
      <c r="R326" s="62"/>
    </row>
    <row r="327" ht="52.8" spans="1:18">
      <c r="A327" s="58">
        <v>304</v>
      </c>
      <c r="B327" s="75">
        <v>45705</v>
      </c>
      <c r="C327" s="64" t="s">
        <v>85</v>
      </c>
      <c r="D327" s="61" t="s">
        <v>60</v>
      </c>
      <c r="E327" s="62" t="s">
        <v>86</v>
      </c>
      <c r="F327" s="62" t="s">
        <v>36</v>
      </c>
      <c r="G327" s="62" t="s">
        <v>588</v>
      </c>
      <c r="H327" s="62" t="s">
        <v>132</v>
      </c>
      <c r="I327" s="78" t="s">
        <v>602</v>
      </c>
      <c r="J327" s="62" t="s">
        <v>91</v>
      </c>
      <c r="K327" s="67" t="s">
        <v>603</v>
      </c>
      <c r="L327" s="70"/>
      <c r="M327" s="62"/>
      <c r="N327" s="62"/>
      <c r="O327" s="64"/>
      <c r="P327" s="79" t="s">
        <v>42</v>
      </c>
      <c r="Q327" s="73" t="s">
        <v>43</v>
      </c>
      <c r="R327" s="62"/>
    </row>
    <row r="328" ht="27.6" spans="1:18">
      <c r="A328" s="58">
        <v>305</v>
      </c>
      <c r="B328" s="75">
        <v>45703</v>
      </c>
      <c r="C328" s="64" t="s">
        <v>85</v>
      </c>
      <c r="D328" s="61" t="s">
        <v>60</v>
      </c>
      <c r="E328" s="62" t="s">
        <v>86</v>
      </c>
      <c r="F328" s="62" t="s">
        <v>36</v>
      </c>
      <c r="G328" s="62" t="s">
        <v>588</v>
      </c>
      <c r="H328" s="62" t="s">
        <v>234</v>
      </c>
      <c r="I328" s="78" t="s">
        <v>604</v>
      </c>
      <c r="J328" s="62" t="s">
        <v>88</v>
      </c>
      <c r="K328" s="67" t="s">
        <v>605</v>
      </c>
      <c r="L328" s="70"/>
      <c r="M328" s="62"/>
      <c r="N328" s="62"/>
      <c r="O328" s="64"/>
      <c r="P328" s="79" t="s">
        <v>42</v>
      </c>
      <c r="Q328" s="73" t="s">
        <v>43</v>
      </c>
      <c r="R328" s="62"/>
    </row>
    <row r="329" ht="39.6" spans="1:18">
      <c r="A329" s="58">
        <v>306</v>
      </c>
      <c r="B329" s="75">
        <v>45704</v>
      </c>
      <c r="C329" s="64" t="s">
        <v>85</v>
      </c>
      <c r="D329" s="61" t="s">
        <v>60</v>
      </c>
      <c r="E329" s="62" t="s">
        <v>86</v>
      </c>
      <c r="F329" s="62" t="s">
        <v>36</v>
      </c>
      <c r="G329" s="62" t="s">
        <v>588</v>
      </c>
      <c r="H329" s="62" t="s">
        <v>38</v>
      </c>
      <c r="I329" s="78" t="s">
        <v>606</v>
      </c>
      <c r="J329" s="62" t="s">
        <v>88</v>
      </c>
      <c r="K329" s="67" t="s">
        <v>607</v>
      </c>
      <c r="L329" s="70" t="s">
        <v>608</v>
      </c>
      <c r="M329" s="62" t="s">
        <v>115</v>
      </c>
      <c r="N329" s="62" t="s">
        <v>115</v>
      </c>
      <c r="O329" s="64" t="s">
        <v>609</v>
      </c>
      <c r="P329" s="79">
        <v>45711</v>
      </c>
      <c r="Q329" s="73" t="s">
        <v>43</v>
      </c>
      <c r="R329" s="62"/>
    </row>
    <row r="330" ht="27.6" spans="1:18">
      <c r="A330" s="58">
        <v>307</v>
      </c>
      <c r="B330" s="75">
        <v>45704</v>
      </c>
      <c r="C330" s="64" t="s">
        <v>85</v>
      </c>
      <c r="D330" s="61" t="s">
        <v>60</v>
      </c>
      <c r="E330" s="62" t="s">
        <v>86</v>
      </c>
      <c r="F330" s="62" t="s">
        <v>36</v>
      </c>
      <c r="G330" s="62" t="s">
        <v>588</v>
      </c>
      <c r="H330" s="62" t="s">
        <v>66</v>
      </c>
      <c r="I330" s="78" t="s">
        <v>610</v>
      </c>
      <c r="J330" s="62" t="s">
        <v>88</v>
      </c>
      <c r="K330" s="67" t="s">
        <v>611</v>
      </c>
      <c r="L330" s="70"/>
      <c r="M330" s="62"/>
      <c r="N330" s="62"/>
      <c r="O330" s="64"/>
      <c r="P330" s="79" t="s">
        <v>42</v>
      </c>
      <c r="Q330" s="73" t="s">
        <v>43</v>
      </c>
      <c r="R330" s="62"/>
    </row>
    <row r="331" ht="41.4" spans="1:18">
      <c r="A331" s="58">
        <v>308</v>
      </c>
      <c r="B331" s="75">
        <v>45704</v>
      </c>
      <c r="C331" s="64" t="s">
        <v>85</v>
      </c>
      <c r="D331" s="61" t="s">
        <v>60</v>
      </c>
      <c r="E331" s="62" t="s">
        <v>86</v>
      </c>
      <c r="F331" s="62" t="s">
        <v>36</v>
      </c>
      <c r="G331" s="62" t="s">
        <v>37</v>
      </c>
      <c r="H331" s="62" t="s">
        <v>66</v>
      </c>
      <c r="I331" s="78" t="s">
        <v>612</v>
      </c>
      <c r="J331" s="62" t="s">
        <v>88</v>
      </c>
      <c r="K331" s="67" t="s">
        <v>613</v>
      </c>
      <c r="L331" s="70"/>
      <c r="M331" s="62"/>
      <c r="N331" s="62"/>
      <c r="O331" s="64"/>
      <c r="P331" s="79" t="s">
        <v>42</v>
      </c>
      <c r="Q331" s="73" t="s">
        <v>43</v>
      </c>
      <c r="R331" s="62"/>
    </row>
    <row r="332" ht="26.4" spans="1:18">
      <c r="A332" s="58">
        <v>309</v>
      </c>
      <c r="B332" s="75">
        <v>45704</v>
      </c>
      <c r="C332" s="64" t="s">
        <v>614</v>
      </c>
      <c r="D332" s="61" t="s">
        <v>60</v>
      </c>
      <c r="E332" s="62" t="s">
        <v>163</v>
      </c>
      <c r="F332" s="62" t="s">
        <v>50</v>
      </c>
      <c r="G332" s="62" t="s">
        <v>37</v>
      </c>
      <c r="H332" s="62" t="s">
        <v>51</v>
      </c>
      <c r="I332" s="78" t="s">
        <v>615</v>
      </c>
      <c r="J332" s="62" t="s">
        <v>53</v>
      </c>
      <c r="K332" s="67"/>
      <c r="L332" s="70"/>
      <c r="M332" s="62"/>
      <c r="N332" s="62"/>
      <c r="O332" s="64"/>
      <c r="P332" s="79" t="s">
        <v>42</v>
      </c>
      <c r="Q332" s="73" t="s">
        <v>43</v>
      </c>
      <c r="R332" s="62"/>
    </row>
    <row r="333" ht="26.4" spans="1:18">
      <c r="A333" s="58">
        <v>310</v>
      </c>
      <c r="B333" s="90">
        <v>45708</v>
      </c>
      <c r="C333" s="64" t="s">
        <v>616</v>
      </c>
      <c r="D333" s="61" t="s">
        <v>60</v>
      </c>
      <c r="E333" s="62" t="s">
        <v>163</v>
      </c>
      <c r="F333" s="62" t="s">
        <v>36</v>
      </c>
      <c r="G333" s="62" t="s">
        <v>79</v>
      </c>
      <c r="H333" s="62" t="s">
        <v>271</v>
      </c>
      <c r="I333" s="78" t="s">
        <v>617</v>
      </c>
      <c r="J333" s="62" t="s">
        <v>88</v>
      </c>
      <c r="K333" s="67"/>
      <c r="L333" s="70" t="s">
        <v>618</v>
      </c>
      <c r="M333" s="62" t="s">
        <v>115</v>
      </c>
      <c r="N333" s="62" t="s">
        <v>582</v>
      </c>
      <c r="O333" s="64" t="s">
        <v>583</v>
      </c>
      <c r="P333" s="79">
        <v>45711</v>
      </c>
      <c r="Q333" s="73" t="s">
        <v>43</v>
      </c>
      <c r="R333" s="62"/>
    </row>
    <row r="334" ht="26.4" spans="1:18">
      <c r="A334" s="58">
        <v>311</v>
      </c>
      <c r="B334" s="90">
        <v>45708</v>
      </c>
      <c r="C334" s="64" t="s">
        <v>616</v>
      </c>
      <c r="D334" s="61" t="s">
        <v>60</v>
      </c>
      <c r="E334" s="62" t="s">
        <v>163</v>
      </c>
      <c r="F334" s="62" t="s">
        <v>50</v>
      </c>
      <c r="G334" s="62" t="s">
        <v>45</v>
      </c>
      <c r="H334" s="62" t="s">
        <v>51</v>
      </c>
      <c r="I334" s="78" t="s">
        <v>619</v>
      </c>
      <c r="J334" s="62" t="s">
        <v>53</v>
      </c>
      <c r="K334" s="67"/>
      <c r="L334" s="70"/>
      <c r="M334" s="62"/>
      <c r="N334" s="62"/>
      <c r="O334" s="64"/>
      <c r="P334" s="79" t="s">
        <v>42</v>
      </c>
      <c r="Q334" s="73" t="s">
        <v>43</v>
      </c>
      <c r="R334" s="62"/>
    </row>
    <row r="335" ht="13.8" spans="1:18">
      <c r="A335" s="58">
        <v>312</v>
      </c>
      <c r="B335" s="90">
        <v>45708</v>
      </c>
      <c r="C335" s="64" t="s">
        <v>620</v>
      </c>
      <c r="D335" s="61" t="s">
        <v>60</v>
      </c>
      <c r="E335" s="62" t="s">
        <v>621</v>
      </c>
      <c r="F335" s="62" t="s">
        <v>50</v>
      </c>
      <c r="G335" s="62" t="s">
        <v>37</v>
      </c>
      <c r="H335" s="62" t="s">
        <v>622</v>
      </c>
      <c r="I335" s="78" t="s">
        <v>623</v>
      </c>
      <c r="J335" s="62" t="s">
        <v>53</v>
      </c>
      <c r="K335" s="67" t="s">
        <v>624</v>
      </c>
      <c r="L335" s="70"/>
      <c r="M335" s="62"/>
      <c r="N335" s="62"/>
      <c r="O335" s="64"/>
      <c r="P335" s="79" t="s">
        <v>42</v>
      </c>
      <c r="Q335" s="73" t="s">
        <v>43</v>
      </c>
      <c r="R335" s="62"/>
    </row>
    <row r="336" ht="27.6" spans="1:18">
      <c r="A336" s="58">
        <v>313</v>
      </c>
      <c r="B336" s="90">
        <v>45707</v>
      </c>
      <c r="C336" s="64" t="s">
        <v>620</v>
      </c>
      <c r="D336" s="61" t="s">
        <v>60</v>
      </c>
      <c r="E336" s="62" t="s">
        <v>621</v>
      </c>
      <c r="F336" s="62" t="s">
        <v>50</v>
      </c>
      <c r="G336" s="62" t="s">
        <v>55</v>
      </c>
      <c r="H336" s="62" t="s">
        <v>51</v>
      </c>
      <c r="I336" s="78" t="s">
        <v>625</v>
      </c>
      <c r="J336" s="62" t="s">
        <v>53</v>
      </c>
      <c r="K336" s="67" t="s">
        <v>626</v>
      </c>
      <c r="L336" s="70"/>
      <c r="M336" s="62"/>
      <c r="N336" s="62"/>
      <c r="O336" s="64"/>
      <c r="P336" s="79" t="s">
        <v>42</v>
      </c>
      <c r="Q336" s="73" t="s">
        <v>43</v>
      </c>
      <c r="R336" s="62"/>
    </row>
    <row r="337" ht="41.4" spans="1:18">
      <c r="A337" s="58">
        <v>314</v>
      </c>
      <c r="B337" s="90">
        <v>45707</v>
      </c>
      <c r="C337" s="60" t="s">
        <v>100</v>
      </c>
      <c r="D337" s="61" t="s">
        <v>60</v>
      </c>
      <c r="E337" s="62" t="s">
        <v>101</v>
      </c>
      <c r="F337" s="62" t="s">
        <v>36</v>
      </c>
      <c r="G337" s="62" t="s">
        <v>588</v>
      </c>
      <c r="H337" s="62" t="s">
        <v>56</v>
      </c>
      <c r="I337" s="78" t="s">
        <v>627</v>
      </c>
      <c r="J337" s="62" t="s">
        <v>88</v>
      </c>
      <c r="K337" s="67" t="s">
        <v>628</v>
      </c>
      <c r="L337" s="70"/>
      <c r="M337" s="62"/>
      <c r="N337" s="62"/>
      <c r="O337" s="64"/>
      <c r="P337" s="79" t="s">
        <v>42</v>
      </c>
      <c r="Q337" s="73" t="s">
        <v>43</v>
      </c>
      <c r="R337" s="62"/>
    </row>
    <row r="338" ht="79.2" spans="1:18">
      <c r="A338" s="58">
        <v>315</v>
      </c>
      <c r="B338" s="90">
        <v>45707</v>
      </c>
      <c r="C338" s="60" t="s">
        <v>100</v>
      </c>
      <c r="D338" s="61" t="s">
        <v>60</v>
      </c>
      <c r="E338" s="62" t="s">
        <v>101</v>
      </c>
      <c r="F338" s="62" t="s">
        <v>36</v>
      </c>
      <c r="G338" s="62" t="s">
        <v>588</v>
      </c>
      <c r="H338" s="62" t="s">
        <v>132</v>
      </c>
      <c r="I338" s="78" t="s">
        <v>629</v>
      </c>
      <c r="J338" s="62" t="s">
        <v>88</v>
      </c>
      <c r="K338" s="67"/>
      <c r="L338" s="70" t="s">
        <v>630</v>
      </c>
      <c r="M338" s="62" t="s">
        <v>115</v>
      </c>
      <c r="N338" s="62" t="s">
        <v>582</v>
      </c>
      <c r="O338" s="64" t="s">
        <v>631</v>
      </c>
      <c r="P338" s="79">
        <v>45710</v>
      </c>
      <c r="Q338" s="73" t="s">
        <v>43</v>
      </c>
      <c r="R338" s="62"/>
    </row>
    <row r="339" ht="27.6" spans="1:18">
      <c r="A339" s="58">
        <v>316</v>
      </c>
      <c r="B339" s="90">
        <v>45708</v>
      </c>
      <c r="C339" s="64" t="s">
        <v>632</v>
      </c>
      <c r="D339" s="61" t="s">
        <v>72</v>
      </c>
      <c r="E339" s="62" t="s">
        <v>73</v>
      </c>
      <c r="F339" s="62" t="s">
        <v>36</v>
      </c>
      <c r="G339" s="62" t="s">
        <v>82</v>
      </c>
      <c r="H339" s="62" t="s">
        <v>56</v>
      </c>
      <c r="I339" s="78" t="s">
        <v>633</v>
      </c>
      <c r="J339" s="62" t="s">
        <v>40</v>
      </c>
      <c r="K339" s="67" t="s">
        <v>634</v>
      </c>
      <c r="L339" s="70"/>
      <c r="M339" s="62"/>
      <c r="N339" s="62"/>
      <c r="O339" s="64"/>
      <c r="P339" s="79" t="s">
        <v>42</v>
      </c>
      <c r="Q339" s="73" t="s">
        <v>43</v>
      </c>
      <c r="R339" s="62"/>
    </row>
    <row r="340" ht="13.8" spans="1:18">
      <c r="A340" s="58">
        <v>317</v>
      </c>
      <c r="B340" s="90">
        <v>45707</v>
      </c>
      <c r="C340" s="64" t="s">
        <v>632</v>
      </c>
      <c r="D340" s="61" t="s">
        <v>72</v>
      </c>
      <c r="E340" s="62" t="s">
        <v>73</v>
      </c>
      <c r="F340" s="62" t="s">
        <v>36</v>
      </c>
      <c r="G340" s="62" t="s">
        <v>45</v>
      </c>
      <c r="H340" s="62" t="s">
        <v>38</v>
      </c>
      <c r="I340" s="78" t="s">
        <v>635</v>
      </c>
      <c r="J340" s="62" t="s">
        <v>91</v>
      </c>
      <c r="K340" s="67" t="s">
        <v>636</v>
      </c>
      <c r="L340" s="70"/>
      <c r="M340" s="62"/>
      <c r="N340" s="62"/>
      <c r="O340" s="64"/>
      <c r="P340" s="79" t="s">
        <v>42</v>
      </c>
      <c r="Q340" s="73" t="s">
        <v>43</v>
      </c>
      <c r="R340" s="62"/>
    </row>
    <row r="341" ht="13.8" spans="1:18">
      <c r="A341" s="58">
        <v>318</v>
      </c>
      <c r="B341" s="90">
        <v>45707</v>
      </c>
      <c r="C341" s="64" t="s">
        <v>632</v>
      </c>
      <c r="D341" s="61" t="s">
        <v>72</v>
      </c>
      <c r="E341" s="62" t="s">
        <v>73</v>
      </c>
      <c r="F341" s="62" t="s">
        <v>36</v>
      </c>
      <c r="G341" s="62" t="s">
        <v>82</v>
      </c>
      <c r="H341" s="62" t="s">
        <v>66</v>
      </c>
      <c r="I341" s="78" t="s">
        <v>637</v>
      </c>
      <c r="J341" s="62" t="s">
        <v>40</v>
      </c>
      <c r="K341" s="67" t="s">
        <v>638</v>
      </c>
      <c r="L341" s="70"/>
      <c r="M341" s="62"/>
      <c r="N341" s="62"/>
      <c r="O341" s="64"/>
      <c r="P341" s="79" t="s">
        <v>42</v>
      </c>
      <c r="Q341" s="73" t="s">
        <v>43</v>
      </c>
      <c r="R341" s="62"/>
    </row>
    <row r="342" ht="13.8" spans="1:18">
      <c r="A342" s="58">
        <v>319</v>
      </c>
      <c r="B342" s="90">
        <v>45708</v>
      </c>
      <c r="C342" s="64" t="s">
        <v>632</v>
      </c>
      <c r="D342" s="61" t="s">
        <v>72</v>
      </c>
      <c r="E342" s="62" t="s">
        <v>73</v>
      </c>
      <c r="F342" s="62" t="s">
        <v>135</v>
      </c>
      <c r="G342" s="62" t="s">
        <v>45</v>
      </c>
      <c r="H342" s="62" t="s">
        <v>56</v>
      </c>
      <c r="I342" s="78" t="s">
        <v>639</v>
      </c>
      <c r="J342" s="62" t="s">
        <v>137</v>
      </c>
      <c r="K342" s="67"/>
      <c r="L342" s="70"/>
      <c r="M342" s="62"/>
      <c r="N342" s="62"/>
      <c r="O342" s="64"/>
      <c r="P342" s="79" t="s">
        <v>42</v>
      </c>
      <c r="Q342" s="62" t="s">
        <v>8</v>
      </c>
      <c r="R342" s="62"/>
    </row>
    <row r="343" ht="13.8" spans="1:18">
      <c r="A343" s="58">
        <v>320</v>
      </c>
      <c r="B343" s="90">
        <v>45707</v>
      </c>
      <c r="C343" s="64" t="s">
        <v>640</v>
      </c>
      <c r="D343" s="61" t="s">
        <v>72</v>
      </c>
      <c r="E343" s="62" t="s">
        <v>73</v>
      </c>
      <c r="F343" s="62" t="s">
        <v>135</v>
      </c>
      <c r="G343" s="62" t="s">
        <v>37</v>
      </c>
      <c r="H343" s="62" t="s">
        <v>56</v>
      </c>
      <c r="I343" s="78" t="s">
        <v>639</v>
      </c>
      <c r="J343" s="62" t="s">
        <v>137</v>
      </c>
      <c r="K343" s="67"/>
      <c r="L343" s="70"/>
      <c r="M343" s="62"/>
      <c r="N343" s="62"/>
      <c r="O343" s="64"/>
      <c r="P343" s="79" t="s">
        <v>42</v>
      </c>
      <c r="Q343" s="62" t="s">
        <v>8</v>
      </c>
      <c r="R343" s="62"/>
    </row>
    <row r="344" ht="26.4" spans="1:18">
      <c r="A344" s="58">
        <v>321</v>
      </c>
      <c r="B344" s="90">
        <v>45703</v>
      </c>
      <c r="C344" s="64" t="s">
        <v>641</v>
      </c>
      <c r="D344" s="61" t="s">
        <v>72</v>
      </c>
      <c r="E344" s="62" t="s">
        <v>73</v>
      </c>
      <c r="F344" s="62" t="s">
        <v>36</v>
      </c>
      <c r="G344" s="62" t="s">
        <v>55</v>
      </c>
      <c r="H344" s="62" t="s">
        <v>56</v>
      </c>
      <c r="I344" s="78" t="s">
        <v>642</v>
      </c>
      <c r="J344" s="62" t="s">
        <v>91</v>
      </c>
      <c r="K344" s="67" t="s">
        <v>643</v>
      </c>
      <c r="L344" s="70"/>
      <c r="M344" s="62"/>
      <c r="N344" s="62"/>
      <c r="O344" s="64"/>
      <c r="P344" s="79" t="s">
        <v>42</v>
      </c>
      <c r="Q344" s="73" t="s">
        <v>43</v>
      </c>
      <c r="R344" s="62"/>
    </row>
    <row r="345" ht="13.8" spans="1:18">
      <c r="A345" s="58">
        <v>322</v>
      </c>
      <c r="B345" s="90">
        <v>45703</v>
      </c>
      <c r="C345" s="64" t="s">
        <v>641</v>
      </c>
      <c r="D345" s="61" t="s">
        <v>72</v>
      </c>
      <c r="E345" s="62" t="s">
        <v>73</v>
      </c>
      <c r="F345" s="62" t="s">
        <v>36</v>
      </c>
      <c r="G345" s="62" t="s">
        <v>55</v>
      </c>
      <c r="H345" s="62" t="s">
        <v>94</v>
      </c>
      <c r="I345" s="78" t="s">
        <v>644</v>
      </c>
      <c r="J345" s="62" t="s">
        <v>91</v>
      </c>
      <c r="K345" s="67" t="s">
        <v>645</v>
      </c>
      <c r="L345" s="70"/>
      <c r="M345" s="62"/>
      <c r="N345" s="62"/>
      <c r="O345" s="64"/>
      <c r="P345" s="79" t="s">
        <v>42</v>
      </c>
      <c r="Q345" s="73" t="s">
        <v>43</v>
      </c>
      <c r="R345" s="62"/>
    </row>
    <row r="346" ht="27.6" spans="1:18">
      <c r="A346" s="58">
        <v>323</v>
      </c>
      <c r="B346" s="90">
        <v>45705</v>
      </c>
      <c r="C346" s="64" t="s">
        <v>641</v>
      </c>
      <c r="D346" s="61" t="s">
        <v>72</v>
      </c>
      <c r="E346" s="62" t="s">
        <v>73</v>
      </c>
      <c r="F346" s="62" t="s">
        <v>36</v>
      </c>
      <c r="G346" s="62" t="s">
        <v>93</v>
      </c>
      <c r="H346" s="62" t="s">
        <v>38</v>
      </c>
      <c r="I346" s="78" t="s">
        <v>646</v>
      </c>
      <c r="J346" s="62" t="s">
        <v>40</v>
      </c>
      <c r="K346" s="67" t="s">
        <v>647</v>
      </c>
      <c r="L346" s="70"/>
      <c r="M346" s="62"/>
      <c r="N346" s="62"/>
      <c r="O346" s="64"/>
      <c r="P346" s="79" t="s">
        <v>42</v>
      </c>
      <c r="Q346" s="73" t="s">
        <v>43</v>
      </c>
      <c r="R346" s="62"/>
    </row>
    <row r="347" ht="27.6" spans="1:18">
      <c r="A347" s="58">
        <v>324</v>
      </c>
      <c r="B347" s="90">
        <v>45706</v>
      </c>
      <c r="C347" s="64" t="s">
        <v>641</v>
      </c>
      <c r="D347" s="61" t="s">
        <v>72</v>
      </c>
      <c r="E347" s="62" t="s">
        <v>73</v>
      </c>
      <c r="F347" s="62" t="s">
        <v>36</v>
      </c>
      <c r="G347" s="62" t="s">
        <v>37</v>
      </c>
      <c r="H347" s="62" t="s">
        <v>66</v>
      </c>
      <c r="I347" s="78" t="s">
        <v>648</v>
      </c>
      <c r="J347" s="62" t="s">
        <v>91</v>
      </c>
      <c r="K347" s="67" t="s">
        <v>649</v>
      </c>
      <c r="L347" s="70"/>
      <c r="M347" s="62"/>
      <c r="N347" s="62"/>
      <c r="O347" s="64"/>
      <c r="P347" s="79" t="s">
        <v>42</v>
      </c>
      <c r="Q347" s="73" t="s">
        <v>43</v>
      </c>
      <c r="R347" s="62"/>
    </row>
    <row r="348" ht="27.6" spans="1:18">
      <c r="A348" s="58">
        <v>325</v>
      </c>
      <c r="B348" s="90">
        <v>45707</v>
      </c>
      <c r="C348" s="64" t="s">
        <v>641</v>
      </c>
      <c r="D348" s="61" t="s">
        <v>72</v>
      </c>
      <c r="E348" s="62" t="s">
        <v>73</v>
      </c>
      <c r="F348" s="62" t="s">
        <v>50</v>
      </c>
      <c r="G348" s="62" t="s">
        <v>37</v>
      </c>
      <c r="H348" s="62" t="s">
        <v>51</v>
      </c>
      <c r="I348" s="78" t="s">
        <v>650</v>
      </c>
      <c r="J348" s="62" t="s">
        <v>53</v>
      </c>
      <c r="K348" s="67" t="s">
        <v>651</v>
      </c>
      <c r="L348" s="70"/>
      <c r="M348" s="62"/>
      <c r="N348" s="62"/>
      <c r="O348" s="64"/>
      <c r="P348" s="79" t="s">
        <v>42</v>
      </c>
      <c r="Q348" s="73" t="s">
        <v>43</v>
      </c>
      <c r="R348" s="62"/>
    </row>
    <row r="349" ht="41.4" spans="1:18">
      <c r="A349" s="58">
        <v>326</v>
      </c>
      <c r="B349" s="90">
        <v>45708</v>
      </c>
      <c r="C349" s="64" t="s">
        <v>640</v>
      </c>
      <c r="D349" s="61" t="s">
        <v>72</v>
      </c>
      <c r="E349" s="62" t="s">
        <v>73</v>
      </c>
      <c r="F349" s="62" t="s">
        <v>50</v>
      </c>
      <c r="G349" s="62" t="s">
        <v>65</v>
      </c>
      <c r="H349" s="62" t="s">
        <v>94</v>
      </c>
      <c r="I349" s="78" t="s">
        <v>652</v>
      </c>
      <c r="J349" s="62" t="s">
        <v>53</v>
      </c>
      <c r="K349" s="67" t="s">
        <v>653</v>
      </c>
      <c r="L349" s="70"/>
      <c r="M349" s="62"/>
      <c r="N349" s="62"/>
      <c r="O349" s="64"/>
      <c r="P349" s="79" t="s">
        <v>42</v>
      </c>
      <c r="Q349" s="73" t="s">
        <v>43</v>
      </c>
      <c r="R349" s="62"/>
    </row>
    <row r="350" ht="13.8" spans="1:18">
      <c r="A350" s="58">
        <v>327</v>
      </c>
      <c r="B350" s="90">
        <v>45708</v>
      </c>
      <c r="C350" s="60" t="s">
        <v>641</v>
      </c>
      <c r="D350" s="61" t="s">
        <v>72</v>
      </c>
      <c r="E350" s="62" t="s">
        <v>73</v>
      </c>
      <c r="F350" s="62" t="s">
        <v>50</v>
      </c>
      <c r="G350" s="62" t="s">
        <v>61</v>
      </c>
      <c r="H350" s="62" t="s">
        <v>46</v>
      </c>
      <c r="I350" s="78" t="s">
        <v>654</v>
      </c>
      <c r="J350" s="62" t="s">
        <v>91</v>
      </c>
      <c r="K350" s="67" t="s">
        <v>655</v>
      </c>
      <c r="L350" s="70"/>
      <c r="M350" s="62"/>
      <c r="N350" s="62"/>
      <c r="O350" s="64"/>
      <c r="P350" s="79" t="s">
        <v>42</v>
      </c>
      <c r="Q350" s="73" t="s">
        <v>43</v>
      </c>
      <c r="R350" s="62"/>
    </row>
    <row r="351" ht="26.4" spans="1:18">
      <c r="A351" s="58">
        <v>328</v>
      </c>
      <c r="B351" s="90">
        <v>45705</v>
      </c>
      <c r="C351" s="60" t="s">
        <v>71</v>
      </c>
      <c r="D351" s="61" t="s">
        <v>72</v>
      </c>
      <c r="E351" s="62" t="s">
        <v>73</v>
      </c>
      <c r="F351" s="62" t="s">
        <v>135</v>
      </c>
      <c r="G351" s="62" t="s">
        <v>82</v>
      </c>
      <c r="H351" s="62" t="s">
        <v>94</v>
      </c>
      <c r="I351" s="78" t="s">
        <v>656</v>
      </c>
      <c r="J351" s="62" t="s">
        <v>137</v>
      </c>
      <c r="K351" s="67"/>
      <c r="L351" s="70"/>
      <c r="M351" s="62"/>
      <c r="N351" s="62"/>
      <c r="O351" s="64"/>
      <c r="P351" s="79" t="s">
        <v>42</v>
      </c>
      <c r="Q351" s="62" t="s">
        <v>8</v>
      </c>
      <c r="R351" s="62"/>
    </row>
    <row r="352" ht="13.8" spans="1:18">
      <c r="A352" s="58">
        <v>329</v>
      </c>
      <c r="B352" s="90">
        <v>45706</v>
      </c>
      <c r="C352" s="69" t="s">
        <v>641</v>
      </c>
      <c r="D352" s="61" t="s">
        <v>72</v>
      </c>
      <c r="E352" s="62" t="s">
        <v>73</v>
      </c>
      <c r="F352" s="62" t="s">
        <v>135</v>
      </c>
      <c r="G352" s="62" t="s">
        <v>55</v>
      </c>
      <c r="H352" s="62" t="s">
        <v>66</v>
      </c>
      <c r="I352" s="78" t="s">
        <v>657</v>
      </c>
      <c r="J352" s="62" t="s">
        <v>137</v>
      </c>
      <c r="K352" s="67"/>
      <c r="L352" s="70"/>
      <c r="M352" s="62"/>
      <c r="N352" s="62"/>
      <c r="O352" s="64"/>
      <c r="P352" s="79" t="s">
        <v>42</v>
      </c>
      <c r="Q352" s="62" t="s">
        <v>8</v>
      </c>
      <c r="R352" s="62"/>
    </row>
    <row r="353" ht="26.4" spans="1:18">
      <c r="A353" s="58">
        <v>330</v>
      </c>
      <c r="B353" s="90">
        <v>45707</v>
      </c>
      <c r="C353" s="69" t="s">
        <v>640</v>
      </c>
      <c r="D353" s="61" t="s">
        <v>72</v>
      </c>
      <c r="E353" s="62" t="s">
        <v>73</v>
      </c>
      <c r="F353" s="62" t="s">
        <v>192</v>
      </c>
      <c r="G353" s="62" t="s">
        <v>37</v>
      </c>
      <c r="H353" s="62" t="s">
        <v>94</v>
      </c>
      <c r="I353" s="78" t="s">
        <v>658</v>
      </c>
      <c r="J353" s="62" t="s">
        <v>137</v>
      </c>
      <c r="K353" s="67"/>
      <c r="L353" s="70"/>
      <c r="M353" s="62"/>
      <c r="N353" s="62"/>
      <c r="O353" s="64"/>
      <c r="P353" s="79" t="s">
        <v>42</v>
      </c>
      <c r="Q353" s="62" t="s">
        <v>8</v>
      </c>
      <c r="R353" s="62"/>
    </row>
    <row r="354" ht="26.4" spans="1:18">
      <c r="A354" s="58">
        <v>331</v>
      </c>
      <c r="B354" s="90">
        <v>45705</v>
      </c>
      <c r="C354" s="69" t="s">
        <v>71</v>
      </c>
      <c r="D354" s="61" t="s">
        <v>72</v>
      </c>
      <c r="E354" s="62" t="s">
        <v>73</v>
      </c>
      <c r="F354" s="62" t="s">
        <v>135</v>
      </c>
      <c r="G354" s="62" t="s">
        <v>82</v>
      </c>
      <c r="H354" s="62" t="s">
        <v>38</v>
      </c>
      <c r="I354" s="78" t="s">
        <v>656</v>
      </c>
      <c r="J354" s="62" t="s">
        <v>137</v>
      </c>
      <c r="K354" s="67"/>
      <c r="L354" s="70"/>
      <c r="M354" s="62"/>
      <c r="N354" s="62"/>
      <c r="O354" s="64"/>
      <c r="P354" s="79" t="s">
        <v>42</v>
      </c>
      <c r="Q354" s="62" t="s">
        <v>8</v>
      </c>
      <c r="R354" s="62"/>
    </row>
    <row r="355" ht="13.8" spans="1:18">
      <c r="A355" s="58">
        <v>332</v>
      </c>
      <c r="B355" s="90">
        <v>45708</v>
      </c>
      <c r="C355" s="64" t="s">
        <v>632</v>
      </c>
      <c r="D355" s="61" t="s">
        <v>72</v>
      </c>
      <c r="E355" s="62" t="s">
        <v>73</v>
      </c>
      <c r="F355" s="62" t="s">
        <v>135</v>
      </c>
      <c r="G355" s="62" t="s">
        <v>45</v>
      </c>
      <c r="H355" s="62" t="s">
        <v>56</v>
      </c>
      <c r="I355" s="78" t="s">
        <v>639</v>
      </c>
      <c r="J355" s="62" t="s">
        <v>137</v>
      </c>
      <c r="K355" s="67"/>
      <c r="L355" s="70"/>
      <c r="M355" s="62"/>
      <c r="N355" s="62"/>
      <c r="O355" s="64"/>
      <c r="P355" s="79" t="s">
        <v>42</v>
      </c>
      <c r="Q355" s="62" t="s">
        <v>8</v>
      </c>
      <c r="R355" s="62"/>
    </row>
    <row r="356" ht="13.8" spans="1:18">
      <c r="A356" s="58">
        <v>333</v>
      </c>
      <c r="B356" s="90">
        <v>45706</v>
      </c>
      <c r="C356" s="64" t="s">
        <v>641</v>
      </c>
      <c r="D356" s="61" t="s">
        <v>72</v>
      </c>
      <c r="E356" s="62" t="s">
        <v>73</v>
      </c>
      <c r="F356" s="62" t="s">
        <v>135</v>
      </c>
      <c r="G356" s="62" t="s">
        <v>55</v>
      </c>
      <c r="H356" s="62" t="s">
        <v>56</v>
      </c>
      <c r="I356" s="78" t="s">
        <v>657</v>
      </c>
      <c r="J356" s="62" t="s">
        <v>137</v>
      </c>
      <c r="K356" s="67"/>
      <c r="L356" s="70"/>
      <c r="M356" s="62"/>
      <c r="N356" s="62"/>
      <c r="O356" s="64"/>
      <c r="P356" s="79" t="s">
        <v>42</v>
      </c>
      <c r="Q356" s="62" t="s">
        <v>8</v>
      </c>
      <c r="R356" s="62"/>
    </row>
    <row r="357" ht="27.6" spans="1:18">
      <c r="A357" s="58">
        <v>334</v>
      </c>
      <c r="B357" s="90">
        <v>45706</v>
      </c>
      <c r="C357" s="64" t="s">
        <v>659</v>
      </c>
      <c r="D357" s="61" t="s">
        <v>72</v>
      </c>
      <c r="E357" s="62" t="s">
        <v>73</v>
      </c>
      <c r="F357" s="62" t="s">
        <v>50</v>
      </c>
      <c r="G357" s="62" t="s">
        <v>131</v>
      </c>
      <c r="H357" s="62" t="s">
        <v>66</v>
      </c>
      <c r="I357" s="78" t="s">
        <v>660</v>
      </c>
      <c r="J357" s="62" t="s">
        <v>91</v>
      </c>
      <c r="K357" s="67" t="s">
        <v>661</v>
      </c>
      <c r="L357" s="70" t="s">
        <v>662</v>
      </c>
      <c r="M357" s="62" t="s">
        <v>115</v>
      </c>
      <c r="N357" s="62" t="s">
        <v>663</v>
      </c>
      <c r="O357" s="64" t="s">
        <v>583</v>
      </c>
      <c r="P357" s="79">
        <v>45721</v>
      </c>
      <c r="Q357" s="73" t="s">
        <v>43</v>
      </c>
      <c r="R357" s="62"/>
    </row>
    <row r="358" ht="41.4" spans="1:18">
      <c r="A358" s="58">
        <v>335</v>
      </c>
      <c r="B358" s="90">
        <v>45704</v>
      </c>
      <c r="C358" s="64" t="s">
        <v>641</v>
      </c>
      <c r="D358" s="61" t="s">
        <v>72</v>
      </c>
      <c r="E358" s="62" t="s">
        <v>73</v>
      </c>
      <c r="F358" s="62" t="s">
        <v>36</v>
      </c>
      <c r="G358" s="62" t="s">
        <v>55</v>
      </c>
      <c r="H358" s="62" t="s">
        <v>132</v>
      </c>
      <c r="I358" s="78" t="s">
        <v>664</v>
      </c>
      <c r="J358" s="62" t="s">
        <v>91</v>
      </c>
      <c r="K358" s="67" t="s">
        <v>665</v>
      </c>
      <c r="L358" s="70"/>
      <c r="M358" s="62"/>
      <c r="N358" s="62"/>
      <c r="O358" s="64"/>
      <c r="P358" s="79" t="s">
        <v>42</v>
      </c>
      <c r="Q358" s="73" t="s">
        <v>43</v>
      </c>
      <c r="R358" s="62"/>
    </row>
    <row r="359" ht="55.2" spans="1:18">
      <c r="A359" s="58">
        <v>336</v>
      </c>
      <c r="B359" s="90">
        <v>45706</v>
      </c>
      <c r="C359" s="64" t="s">
        <v>659</v>
      </c>
      <c r="D359" s="61" t="s">
        <v>72</v>
      </c>
      <c r="E359" s="62" t="s">
        <v>73</v>
      </c>
      <c r="F359" s="62" t="s">
        <v>135</v>
      </c>
      <c r="G359" s="62" t="s">
        <v>131</v>
      </c>
      <c r="H359" s="62" t="s">
        <v>128</v>
      </c>
      <c r="I359" s="78" t="s">
        <v>666</v>
      </c>
      <c r="J359" s="62" t="s">
        <v>137</v>
      </c>
      <c r="K359" s="67" t="s">
        <v>667</v>
      </c>
      <c r="L359" s="70"/>
      <c r="M359" s="62"/>
      <c r="N359" s="62"/>
      <c r="O359" s="64"/>
      <c r="P359" s="79" t="s">
        <v>42</v>
      </c>
      <c r="Q359" s="62" t="s">
        <v>8</v>
      </c>
      <c r="R359" s="62"/>
    </row>
    <row r="360" ht="41.4" spans="1:18">
      <c r="A360" s="58">
        <v>337</v>
      </c>
      <c r="B360" s="90">
        <v>45707</v>
      </c>
      <c r="C360" s="64" t="s">
        <v>640</v>
      </c>
      <c r="D360" s="61" t="s">
        <v>72</v>
      </c>
      <c r="E360" s="62" t="s">
        <v>73</v>
      </c>
      <c r="F360" s="62" t="s">
        <v>36</v>
      </c>
      <c r="G360" s="62" t="s">
        <v>131</v>
      </c>
      <c r="H360" s="62" t="s">
        <v>56</v>
      </c>
      <c r="I360" s="78" t="s">
        <v>668</v>
      </c>
      <c r="J360" s="62" t="s">
        <v>40</v>
      </c>
      <c r="K360" s="67" t="s">
        <v>669</v>
      </c>
      <c r="L360" s="70"/>
      <c r="M360" s="62"/>
      <c r="N360" s="62"/>
      <c r="O360" s="64"/>
      <c r="P360" s="79" t="s">
        <v>42</v>
      </c>
      <c r="Q360" s="73" t="s">
        <v>43</v>
      </c>
      <c r="R360" s="62"/>
    </row>
    <row r="361" ht="13.8" spans="1:18">
      <c r="A361" s="58">
        <v>338</v>
      </c>
      <c r="B361" s="90">
        <v>45706</v>
      </c>
      <c r="C361" s="64" t="s">
        <v>659</v>
      </c>
      <c r="D361" s="61" t="s">
        <v>72</v>
      </c>
      <c r="E361" s="62" t="s">
        <v>73</v>
      </c>
      <c r="F361" s="62" t="s">
        <v>36</v>
      </c>
      <c r="G361" s="62" t="s">
        <v>131</v>
      </c>
      <c r="H361" s="62" t="s">
        <v>94</v>
      </c>
      <c r="I361" s="78" t="s">
        <v>670</v>
      </c>
      <c r="J361" s="62" t="s">
        <v>40</v>
      </c>
      <c r="K361" s="67" t="s">
        <v>671</v>
      </c>
      <c r="L361" s="70"/>
      <c r="M361" s="62"/>
      <c r="N361" s="62"/>
      <c r="O361" s="64"/>
      <c r="P361" s="79" t="s">
        <v>42</v>
      </c>
      <c r="Q361" s="73" t="s">
        <v>43</v>
      </c>
      <c r="R361" s="62"/>
    </row>
    <row r="362" ht="52.8" spans="1:18">
      <c r="A362" s="58">
        <v>339</v>
      </c>
      <c r="B362" s="90">
        <v>45711</v>
      </c>
      <c r="C362" s="64" t="s">
        <v>85</v>
      </c>
      <c r="D362" s="61" t="s">
        <v>60</v>
      </c>
      <c r="E362" s="62" t="s">
        <v>86</v>
      </c>
      <c r="F362" s="62" t="s">
        <v>36</v>
      </c>
      <c r="G362" s="62" t="s">
        <v>588</v>
      </c>
      <c r="H362" s="62" t="s">
        <v>66</v>
      </c>
      <c r="I362" s="78" t="s">
        <v>672</v>
      </c>
      <c r="J362" s="62" t="s">
        <v>91</v>
      </c>
      <c r="K362" s="67" t="s">
        <v>673</v>
      </c>
      <c r="L362" s="70"/>
      <c r="M362" s="62"/>
      <c r="N362" s="62"/>
      <c r="O362" s="64"/>
      <c r="P362" s="79" t="s">
        <v>42</v>
      </c>
      <c r="Q362" s="73" t="s">
        <v>43</v>
      </c>
      <c r="R362" s="62"/>
    </row>
    <row r="363" ht="26.4" spans="1:18">
      <c r="A363" s="58">
        <v>340</v>
      </c>
      <c r="B363" s="90">
        <v>45711</v>
      </c>
      <c r="C363" s="64" t="s">
        <v>85</v>
      </c>
      <c r="D363" s="61" t="s">
        <v>60</v>
      </c>
      <c r="E363" s="62" t="s">
        <v>86</v>
      </c>
      <c r="F363" s="62" t="s">
        <v>135</v>
      </c>
      <c r="G363" s="62" t="s">
        <v>93</v>
      </c>
      <c r="H363" s="62" t="s">
        <v>56</v>
      </c>
      <c r="I363" s="78" t="s">
        <v>674</v>
      </c>
      <c r="J363" s="62" t="s">
        <v>137</v>
      </c>
      <c r="K363" s="67"/>
      <c r="L363" s="70"/>
      <c r="M363" s="62"/>
      <c r="N363" s="62"/>
      <c r="O363" s="64"/>
      <c r="P363" s="79" t="s">
        <v>42</v>
      </c>
      <c r="Q363" s="62" t="s">
        <v>8</v>
      </c>
      <c r="R363" s="62"/>
    </row>
    <row r="364" ht="27.6" spans="1:18">
      <c r="A364" s="58">
        <v>341</v>
      </c>
      <c r="B364" s="90">
        <v>45709</v>
      </c>
      <c r="C364" s="64" t="s">
        <v>675</v>
      </c>
      <c r="D364" s="61" t="s">
        <v>60</v>
      </c>
      <c r="E364" s="62" t="s">
        <v>73</v>
      </c>
      <c r="F364" s="62" t="s">
        <v>36</v>
      </c>
      <c r="G364" s="62" t="s">
        <v>65</v>
      </c>
      <c r="H364" s="62" t="s">
        <v>56</v>
      </c>
      <c r="I364" s="78" t="s">
        <v>676</v>
      </c>
      <c r="J364" s="62" t="s">
        <v>88</v>
      </c>
      <c r="K364" s="67" t="s">
        <v>677</v>
      </c>
      <c r="L364" s="70"/>
      <c r="M364" s="62"/>
      <c r="N364" s="62"/>
      <c r="O364" s="64"/>
      <c r="P364" s="79" t="s">
        <v>42</v>
      </c>
      <c r="Q364" s="73" t="s">
        <v>43</v>
      </c>
      <c r="R364" s="62"/>
    </row>
    <row r="365" ht="41.4" spans="1:18">
      <c r="A365" s="58">
        <v>342</v>
      </c>
      <c r="B365" s="90">
        <v>45709</v>
      </c>
      <c r="C365" s="64" t="s">
        <v>675</v>
      </c>
      <c r="D365" s="61" t="s">
        <v>60</v>
      </c>
      <c r="E365" s="62" t="s">
        <v>73</v>
      </c>
      <c r="F365" s="62" t="s">
        <v>36</v>
      </c>
      <c r="G365" s="62" t="s">
        <v>93</v>
      </c>
      <c r="H365" s="62" t="s">
        <v>132</v>
      </c>
      <c r="I365" s="78" t="s">
        <v>678</v>
      </c>
      <c r="J365" s="62" t="s">
        <v>88</v>
      </c>
      <c r="K365" s="67" t="s">
        <v>679</v>
      </c>
      <c r="L365" s="70"/>
      <c r="M365" s="62"/>
      <c r="N365" s="62"/>
      <c r="O365" s="64"/>
      <c r="P365" s="79" t="s">
        <v>42</v>
      </c>
      <c r="Q365" s="73" t="s">
        <v>43</v>
      </c>
      <c r="R365" s="62"/>
    </row>
    <row r="366" ht="39.6" spans="1:18">
      <c r="A366" s="58">
        <v>343</v>
      </c>
      <c r="B366" s="90">
        <v>45703</v>
      </c>
      <c r="C366" s="64" t="s">
        <v>675</v>
      </c>
      <c r="D366" s="61" t="s">
        <v>60</v>
      </c>
      <c r="E366" s="62" t="s">
        <v>73</v>
      </c>
      <c r="F366" s="62" t="s">
        <v>36</v>
      </c>
      <c r="G366" s="62" t="s">
        <v>37</v>
      </c>
      <c r="H366" s="62" t="s">
        <v>66</v>
      </c>
      <c r="I366" s="78" t="s">
        <v>680</v>
      </c>
      <c r="J366" s="62" t="s">
        <v>88</v>
      </c>
      <c r="K366" s="67" t="s">
        <v>681</v>
      </c>
      <c r="L366" s="70"/>
      <c r="M366" s="62"/>
      <c r="N366" s="62"/>
      <c r="O366" s="64"/>
      <c r="P366" s="79" t="s">
        <v>42</v>
      </c>
      <c r="Q366" s="73" t="s">
        <v>43</v>
      </c>
      <c r="R366" s="62"/>
    </row>
    <row r="367" ht="27.6" spans="1:18">
      <c r="A367" s="58">
        <v>344</v>
      </c>
      <c r="B367" s="90">
        <v>45713</v>
      </c>
      <c r="C367" s="64" t="s">
        <v>614</v>
      </c>
      <c r="D367" s="61" t="s">
        <v>60</v>
      </c>
      <c r="E367" s="62" t="s">
        <v>163</v>
      </c>
      <c r="F367" s="62" t="s">
        <v>36</v>
      </c>
      <c r="G367" s="62" t="s">
        <v>55</v>
      </c>
      <c r="H367" s="62" t="s">
        <v>38</v>
      </c>
      <c r="I367" s="78" t="s">
        <v>682</v>
      </c>
      <c r="J367" s="62" t="s">
        <v>91</v>
      </c>
      <c r="K367" s="67" t="s">
        <v>683</v>
      </c>
      <c r="L367" s="70"/>
      <c r="M367" s="62"/>
      <c r="N367" s="62"/>
      <c r="O367" s="64"/>
      <c r="P367" s="79" t="s">
        <v>42</v>
      </c>
      <c r="Q367" s="73" t="s">
        <v>43</v>
      </c>
      <c r="R367" s="62"/>
    </row>
    <row r="368" ht="27.6" spans="1:18">
      <c r="A368" s="58">
        <v>345</v>
      </c>
      <c r="B368" s="90">
        <v>45714</v>
      </c>
      <c r="C368" s="69" t="s">
        <v>614</v>
      </c>
      <c r="D368" s="61" t="s">
        <v>60</v>
      </c>
      <c r="E368" s="62" t="s">
        <v>163</v>
      </c>
      <c r="F368" s="62" t="s">
        <v>36</v>
      </c>
      <c r="G368" s="62" t="s">
        <v>55</v>
      </c>
      <c r="H368" s="62" t="s">
        <v>56</v>
      </c>
      <c r="I368" s="78" t="s">
        <v>684</v>
      </c>
      <c r="J368" s="62" t="s">
        <v>91</v>
      </c>
      <c r="K368" s="67" t="s">
        <v>685</v>
      </c>
      <c r="L368" s="70"/>
      <c r="M368" s="62"/>
      <c r="N368" s="62"/>
      <c r="O368" s="64"/>
      <c r="P368" s="79" t="s">
        <v>42</v>
      </c>
      <c r="Q368" s="73" t="s">
        <v>43</v>
      </c>
      <c r="R368" s="62"/>
    </row>
    <row r="369" ht="27.6" spans="1:18">
      <c r="A369" s="58">
        <v>346</v>
      </c>
      <c r="B369" s="90">
        <v>45713</v>
      </c>
      <c r="C369" s="69" t="s">
        <v>85</v>
      </c>
      <c r="D369" s="61" t="s">
        <v>60</v>
      </c>
      <c r="E369" s="62" t="s">
        <v>86</v>
      </c>
      <c r="F369" s="62" t="s">
        <v>36</v>
      </c>
      <c r="G369" s="62" t="s">
        <v>55</v>
      </c>
      <c r="H369" s="62" t="s">
        <v>51</v>
      </c>
      <c r="I369" s="78" t="s">
        <v>686</v>
      </c>
      <c r="J369" s="62" t="s">
        <v>88</v>
      </c>
      <c r="K369" s="67" t="s">
        <v>687</v>
      </c>
      <c r="L369" s="70"/>
      <c r="M369" s="62"/>
      <c r="N369" s="62"/>
      <c r="O369" s="64"/>
      <c r="P369" s="79" t="s">
        <v>42</v>
      </c>
      <c r="Q369" s="73" t="s">
        <v>43</v>
      </c>
      <c r="R369" s="62"/>
    </row>
    <row r="370" ht="79.2" spans="1:18">
      <c r="A370" s="58">
        <v>347</v>
      </c>
      <c r="B370" s="90">
        <v>45705</v>
      </c>
      <c r="C370" s="64" t="s">
        <v>675</v>
      </c>
      <c r="D370" s="61" t="s">
        <v>60</v>
      </c>
      <c r="E370" s="62" t="s">
        <v>73</v>
      </c>
      <c r="F370" s="62" t="s">
        <v>36</v>
      </c>
      <c r="G370" s="62" t="s">
        <v>79</v>
      </c>
      <c r="H370" s="62" t="s">
        <v>132</v>
      </c>
      <c r="I370" s="78" t="s">
        <v>688</v>
      </c>
      <c r="J370" s="62" t="s">
        <v>91</v>
      </c>
      <c r="K370" s="67" t="s">
        <v>689</v>
      </c>
      <c r="L370" s="70"/>
      <c r="M370" s="62"/>
      <c r="N370" s="62"/>
      <c r="O370" s="64"/>
      <c r="P370" s="79" t="s">
        <v>42</v>
      </c>
      <c r="Q370" s="73" t="s">
        <v>43</v>
      </c>
      <c r="R370" s="62"/>
    </row>
    <row r="371" ht="41.4" spans="1:18">
      <c r="A371" s="58">
        <v>348</v>
      </c>
      <c r="B371" s="90">
        <v>45714</v>
      </c>
      <c r="C371" s="64" t="s">
        <v>85</v>
      </c>
      <c r="D371" s="61" t="s">
        <v>60</v>
      </c>
      <c r="E371" s="62" t="s">
        <v>86</v>
      </c>
      <c r="F371" s="62" t="s">
        <v>36</v>
      </c>
      <c r="G371" s="62" t="s">
        <v>45</v>
      </c>
      <c r="H371" s="62" t="s">
        <v>132</v>
      </c>
      <c r="I371" s="78" t="s">
        <v>690</v>
      </c>
      <c r="J371" s="62" t="s">
        <v>88</v>
      </c>
      <c r="K371" s="67" t="s">
        <v>691</v>
      </c>
      <c r="L371" s="70"/>
      <c r="M371" s="62"/>
      <c r="N371" s="62"/>
      <c r="O371" s="64"/>
      <c r="P371" s="79" t="s">
        <v>42</v>
      </c>
      <c r="Q371" s="73" t="s">
        <v>43</v>
      </c>
      <c r="R371" s="62"/>
    </row>
    <row r="372" ht="41.4" spans="1:18">
      <c r="A372" s="58">
        <v>349</v>
      </c>
      <c r="B372" s="90">
        <v>45714</v>
      </c>
      <c r="C372" s="64" t="s">
        <v>85</v>
      </c>
      <c r="D372" s="61" t="s">
        <v>60</v>
      </c>
      <c r="E372" s="62" t="s">
        <v>86</v>
      </c>
      <c r="F372" s="62" t="s">
        <v>36</v>
      </c>
      <c r="G372" s="62" t="s">
        <v>588</v>
      </c>
      <c r="H372" s="62" t="s">
        <v>56</v>
      </c>
      <c r="I372" s="78" t="s">
        <v>106</v>
      </c>
      <c r="J372" s="62" t="s">
        <v>88</v>
      </c>
      <c r="K372" s="67" t="s">
        <v>692</v>
      </c>
      <c r="L372" s="70"/>
      <c r="M372" s="62"/>
      <c r="N372" s="62"/>
      <c r="O372" s="64"/>
      <c r="P372" s="79" t="s">
        <v>42</v>
      </c>
      <c r="Q372" s="73" t="s">
        <v>43</v>
      </c>
      <c r="R372" s="62"/>
    </row>
    <row r="373" ht="27.6" spans="1:18">
      <c r="A373" s="58">
        <v>350</v>
      </c>
      <c r="B373" s="90">
        <v>45712</v>
      </c>
      <c r="C373" s="64" t="s">
        <v>675</v>
      </c>
      <c r="D373" s="61" t="s">
        <v>60</v>
      </c>
      <c r="E373" s="62" t="s">
        <v>73</v>
      </c>
      <c r="F373" s="62" t="s">
        <v>36</v>
      </c>
      <c r="G373" s="62" t="s">
        <v>55</v>
      </c>
      <c r="H373" s="62" t="s">
        <v>66</v>
      </c>
      <c r="I373" s="78" t="s">
        <v>693</v>
      </c>
      <c r="J373" s="62" t="s">
        <v>88</v>
      </c>
      <c r="K373" s="67" t="s">
        <v>694</v>
      </c>
      <c r="L373" s="70"/>
      <c r="M373" s="62"/>
      <c r="N373" s="62"/>
      <c r="O373" s="64"/>
      <c r="P373" s="79" t="s">
        <v>42</v>
      </c>
      <c r="Q373" s="73" t="s">
        <v>43</v>
      </c>
      <c r="R373" s="62"/>
    </row>
    <row r="374" ht="41.4" spans="1:18">
      <c r="A374" s="58">
        <v>351</v>
      </c>
      <c r="B374" s="90">
        <v>45711</v>
      </c>
      <c r="C374" s="64" t="s">
        <v>675</v>
      </c>
      <c r="D374" s="61" t="s">
        <v>60</v>
      </c>
      <c r="E374" s="62" t="s">
        <v>73</v>
      </c>
      <c r="F374" s="62" t="s">
        <v>36</v>
      </c>
      <c r="G374" s="62" t="s">
        <v>65</v>
      </c>
      <c r="H374" s="62" t="s">
        <v>38</v>
      </c>
      <c r="I374" s="78" t="s">
        <v>695</v>
      </c>
      <c r="J374" s="62" t="s">
        <v>88</v>
      </c>
      <c r="K374" s="67" t="s">
        <v>696</v>
      </c>
      <c r="L374" s="70"/>
      <c r="M374" s="62"/>
      <c r="N374" s="62"/>
      <c r="O374" s="64"/>
      <c r="P374" s="79" t="s">
        <v>42</v>
      </c>
      <c r="Q374" s="73" t="s">
        <v>43</v>
      </c>
      <c r="R374" s="62"/>
    </row>
    <row r="375" ht="69" spans="1:18">
      <c r="A375" s="58">
        <v>352</v>
      </c>
      <c r="B375" s="90">
        <v>45711</v>
      </c>
      <c r="C375" s="64" t="s">
        <v>675</v>
      </c>
      <c r="D375" s="61" t="s">
        <v>60</v>
      </c>
      <c r="E375" s="62" t="s">
        <v>73</v>
      </c>
      <c r="F375" s="62" t="s">
        <v>36</v>
      </c>
      <c r="G375" s="62" t="s">
        <v>65</v>
      </c>
      <c r="H375" s="62" t="s">
        <v>132</v>
      </c>
      <c r="I375" s="78" t="s">
        <v>697</v>
      </c>
      <c r="J375" s="62" t="s">
        <v>40</v>
      </c>
      <c r="K375" s="67" t="s">
        <v>698</v>
      </c>
      <c r="L375" s="70"/>
      <c r="M375" s="62"/>
      <c r="N375" s="62"/>
      <c r="O375" s="64"/>
      <c r="P375" s="79" t="s">
        <v>42</v>
      </c>
      <c r="Q375" s="73" t="s">
        <v>43</v>
      </c>
      <c r="R375" s="62"/>
    </row>
    <row r="376" ht="55.2" spans="1:18">
      <c r="A376" s="58">
        <v>353</v>
      </c>
      <c r="B376" s="90">
        <v>45711</v>
      </c>
      <c r="C376" s="64" t="s">
        <v>675</v>
      </c>
      <c r="D376" s="61" t="s">
        <v>60</v>
      </c>
      <c r="E376" s="62" t="s">
        <v>73</v>
      </c>
      <c r="F376" s="62" t="s">
        <v>36</v>
      </c>
      <c r="G376" s="62" t="s">
        <v>82</v>
      </c>
      <c r="H376" s="62" t="s">
        <v>56</v>
      </c>
      <c r="I376" s="78" t="s">
        <v>699</v>
      </c>
      <c r="J376" s="62" t="s">
        <v>88</v>
      </c>
      <c r="K376" s="67" t="s">
        <v>700</v>
      </c>
      <c r="L376" s="70"/>
      <c r="M376" s="62"/>
      <c r="N376" s="62"/>
      <c r="O376" s="64"/>
      <c r="P376" s="79" t="s">
        <v>42</v>
      </c>
      <c r="Q376" s="73" t="s">
        <v>43</v>
      </c>
      <c r="R376" s="62"/>
    </row>
    <row r="377" ht="39.6" spans="1:18">
      <c r="A377" s="58">
        <v>354</v>
      </c>
      <c r="B377" s="90">
        <v>45712</v>
      </c>
      <c r="C377" s="64" t="s">
        <v>675</v>
      </c>
      <c r="D377" s="61" t="s">
        <v>60</v>
      </c>
      <c r="E377" s="62" t="s">
        <v>73</v>
      </c>
      <c r="F377" s="62" t="s">
        <v>36</v>
      </c>
      <c r="G377" s="62" t="s">
        <v>55</v>
      </c>
      <c r="H377" s="62" t="s">
        <v>38</v>
      </c>
      <c r="I377" s="78" t="s">
        <v>701</v>
      </c>
      <c r="J377" s="62" t="s">
        <v>53</v>
      </c>
      <c r="K377" s="67" t="s">
        <v>702</v>
      </c>
      <c r="L377" s="70" t="s">
        <v>696</v>
      </c>
      <c r="M377" s="62" t="s">
        <v>115</v>
      </c>
      <c r="N377" s="62" t="s">
        <v>663</v>
      </c>
      <c r="O377" s="64" t="s">
        <v>116</v>
      </c>
      <c r="P377" s="79">
        <v>45727</v>
      </c>
      <c r="Q377" s="73" t="s">
        <v>43</v>
      </c>
      <c r="R377" s="62"/>
    </row>
    <row r="378" ht="55.2" spans="1:18">
      <c r="A378" s="58">
        <v>355</v>
      </c>
      <c r="B378" s="90">
        <v>45712</v>
      </c>
      <c r="C378" s="64" t="s">
        <v>675</v>
      </c>
      <c r="D378" s="61" t="s">
        <v>60</v>
      </c>
      <c r="E378" s="62" t="s">
        <v>73</v>
      </c>
      <c r="F378" s="62" t="s">
        <v>36</v>
      </c>
      <c r="G378" s="62" t="s">
        <v>37</v>
      </c>
      <c r="H378" s="62" t="s">
        <v>94</v>
      </c>
      <c r="I378" s="78" t="s">
        <v>703</v>
      </c>
      <c r="J378" s="62" t="s">
        <v>53</v>
      </c>
      <c r="K378" s="67" t="s">
        <v>704</v>
      </c>
      <c r="L378" s="70"/>
      <c r="M378" s="62"/>
      <c r="N378" s="62"/>
      <c r="O378" s="64"/>
      <c r="P378" s="79" t="s">
        <v>42</v>
      </c>
      <c r="Q378" s="73" t="s">
        <v>43</v>
      </c>
      <c r="R378" s="62"/>
    </row>
    <row r="379" ht="41.4" spans="1:18">
      <c r="A379" s="58">
        <v>356</v>
      </c>
      <c r="B379" s="90">
        <v>45710</v>
      </c>
      <c r="C379" s="64" t="s">
        <v>675</v>
      </c>
      <c r="D379" s="61" t="s">
        <v>60</v>
      </c>
      <c r="E379" s="62" t="s">
        <v>73</v>
      </c>
      <c r="F379" s="62" t="s">
        <v>36</v>
      </c>
      <c r="G379" s="62" t="s">
        <v>37</v>
      </c>
      <c r="H379" s="62" t="s">
        <v>51</v>
      </c>
      <c r="I379" s="78" t="s">
        <v>705</v>
      </c>
      <c r="J379" s="62" t="s">
        <v>88</v>
      </c>
      <c r="K379" s="67" t="s">
        <v>706</v>
      </c>
      <c r="L379" s="70"/>
      <c r="M379" s="62"/>
      <c r="N379" s="62"/>
      <c r="O379" s="64"/>
      <c r="P379" s="79" t="s">
        <v>42</v>
      </c>
      <c r="Q379" s="73" t="s">
        <v>43</v>
      </c>
      <c r="R379" s="62"/>
    </row>
    <row r="380" ht="69" spans="1:18">
      <c r="A380" s="58">
        <v>357</v>
      </c>
      <c r="B380" s="75">
        <v>45711</v>
      </c>
      <c r="C380" s="64" t="s">
        <v>675</v>
      </c>
      <c r="D380" s="61" t="s">
        <v>60</v>
      </c>
      <c r="E380" s="62" t="s">
        <v>73</v>
      </c>
      <c r="F380" s="62" t="s">
        <v>36</v>
      </c>
      <c r="G380" s="62" t="s">
        <v>37</v>
      </c>
      <c r="H380" s="62" t="s">
        <v>97</v>
      </c>
      <c r="I380" s="78" t="s">
        <v>707</v>
      </c>
      <c r="J380" s="62" t="s">
        <v>91</v>
      </c>
      <c r="K380" s="67" t="s">
        <v>708</v>
      </c>
      <c r="L380" s="70"/>
      <c r="M380" s="62"/>
      <c r="N380" s="62"/>
      <c r="O380" s="64"/>
      <c r="P380" s="79" t="s">
        <v>42</v>
      </c>
      <c r="Q380" s="73" t="s">
        <v>43</v>
      </c>
      <c r="R380" s="62"/>
    </row>
    <row r="381" ht="27.6" spans="1:18">
      <c r="A381" s="58">
        <v>358</v>
      </c>
      <c r="B381" s="75">
        <v>45710</v>
      </c>
      <c r="C381" s="64" t="s">
        <v>675</v>
      </c>
      <c r="D381" s="61" t="s">
        <v>60</v>
      </c>
      <c r="E381" s="62" t="s">
        <v>73</v>
      </c>
      <c r="F381" s="62" t="s">
        <v>36</v>
      </c>
      <c r="G381" s="62" t="s">
        <v>55</v>
      </c>
      <c r="H381" s="62" t="s">
        <v>56</v>
      </c>
      <c r="I381" s="78" t="s">
        <v>709</v>
      </c>
      <c r="J381" s="62" t="s">
        <v>53</v>
      </c>
      <c r="K381" s="67" t="s">
        <v>709</v>
      </c>
      <c r="L381" s="70"/>
      <c r="M381" s="62"/>
      <c r="N381" s="62"/>
      <c r="O381" s="64"/>
      <c r="P381" s="79" t="s">
        <v>42</v>
      </c>
      <c r="Q381" s="73" t="s">
        <v>43</v>
      </c>
      <c r="R381" s="62"/>
    </row>
    <row r="382" ht="69" spans="1:18">
      <c r="A382" s="58">
        <v>359</v>
      </c>
      <c r="B382" s="75">
        <v>45710</v>
      </c>
      <c r="C382" s="64" t="s">
        <v>675</v>
      </c>
      <c r="D382" s="61" t="s">
        <v>60</v>
      </c>
      <c r="E382" s="62" t="s">
        <v>73</v>
      </c>
      <c r="F382" s="62" t="s">
        <v>36</v>
      </c>
      <c r="G382" s="62" t="s">
        <v>55</v>
      </c>
      <c r="H382" s="62" t="s">
        <v>94</v>
      </c>
      <c r="I382" s="78" t="s">
        <v>710</v>
      </c>
      <c r="J382" s="62" t="s">
        <v>53</v>
      </c>
      <c r="K382" s="67" t="s">
        <v>711</v>
      </c>
      <c r="L382" s="70"/>
      <c r="M382" s="62"/>
      <c r="N382" s="62"/>
      <c r="O382" s="64"/>
      <c r="P382" s="79" t="s">
        <v>42</v>
      </c>
      <c r="Q382" s="73" t="s">
        <v>43</v>
      </c>
      <c r="R382" s="62"/>
    </row>
    <row r="383" ht="55.2" spans="1:18">
      <c r="A383" s="58">
        <v>360</v>
      </c>
      <c r="B383" s="75">
        <v>45709</v>
      </c>
      <c r="C383" s="64" t="s">
        <v>675</v>
      </c>
      <c r="D383" s="61" t="s">
        <v>60</v>
      </c>
      <c r="E383" s="62" t="s">
        <v>73</v>
      </c>
      <c r="F383" s="62" t="s">
        <v>36</v>
      </c>
      <c r="G383" s="62" t="s">
        <v>37</v>
      </c>
      <c r="H383" s="62" t="s">
        <v>56</v>
      </c>
      <c r="I383" s="67" t="s">
        <v>712</v>
      </c>
      <c r="J383" s="62" t="s">
        <v>88</v>
      </c>
      <c r="K383" s="67" t="s">
        <v>713</v>
      </c>
      <c r="L383" s="70"/>
      <c r="M383" s="62"/>
      <c r="N383" s="62"/>
      <c r="O383" s="64"/>
      <c r="P383" s="79" t="s">
        <v>42</v>
      </c>
      <c r="Q383" s="73" t="s">
        <v>43</v>
      </c>
      <c r="R383" s="62"/>
    </row>
    <row r="384" ht="41.4" spans="1:18">
      <c r="A384" s="58">
        <v>361</v>
      </c>
      <c r="B384" s="75">
        <v>45712</v>
      </c>
      <c r="C384" s="64" t="s">
        <v>675</v>
      </c>
      <c r="D384" s="61" t="s">
        <v>60</v>
      </c>
      <c r="E384" s="62" t="s">
        <v>73</v>
      </c>
      <c r="F384" s="62" t="s">
        <v>36</v>
      </c>
      <c r="G384" s="62" t="s">
        <v>37</v>
      </c>
      <c r="H384" s="62" t="s">
        <v>97</v>
      </c>
      <c r="I384" s="67" t="s">
        <v>714</v>
      </c>
      <c r="J384" s="62" t="s">
        <v>53</v>
      </c>
      <c r="K384" s="70" t="s">
        <v>715</v>
      </c>
      <c r="L384" s="70"/>
      <c r="M384" s="62"/>
      <c r="N384" s="62"/>
      <c r="O384" s="64"/>
      <c r="P384" s="79" t="s">
        <v>42</v>
      </c>
      <c r="Q384" s="73" t="s">
        <v>43</v>
      </c>
      <c r="R384" s="62"/>
    </row>
    <row r="385" ht="52.8" spans="1:18">
      <c r="A385" s="58">
        <v>362</v>
      </c>
      <c r="B385" s="75">
        <v>45709</v>
      </c>
      <c r="C385" s="64" t="s">
        <v>675</v>
      </c>
      <c r="D385" s="61" t="s">
        <v>60</v>
      </c>
      <c r="E385" s="62" t="s">
        <v>73</v>
      </c>
      <c r="F385" s="62" t="s">
        <v>50</v>
      </c>
      <c r="G385" s="62" t="s">
        <v>55</v>
      </c>
      <c r="H385" s="62" t="s">
        <v>94</v>
      </c>
      <c r="I385" s="67" t="s">
        <v>716</v>
      </c>
      <c r="J385" s="62" t="s">
        <v>91</v>
      </c>
      <c r="K385" s="70" t="s">
        <v>704</v>
      </c>
      <c r="L385" s="70"/>
      <c r="M385" s="62"/>
      <c r="N385" s="62"/>
      <c r="O385" s="64"/>
      <c r="P385" s="79" t="s">
        <v>42</v>
      </c>
      <c r="Q385" s="73" t="s">
        <v>43</v>
      </c>
      <c r="R385" s="62"/>
    </row>
    <row r="386" ht="41.4" spans="1:18">
      <c r="A386" s="58">
        <v>363</v>
      </c>
      <c r="B386" s="75">
        <v>45715</v>
      </c>
      <c r="C386" s="64" t="s">
        <v>717</v>
      </c>
      <c r="D386" s="61" t="s">
        <v>60</v>
      </c>
      <c r="E386" s="62" t="s">
        <v>163</v>
      </c>
      <c r="F386" s="62" t="s">
        <v>50</v>
      </c>
      <c r="G386" s="62" t="s">
        <v>37</v>
      </c>
      <c r="H386" s="62" t="s">
        <v>51</v>
      </c>
      <c r="I386" s="78" t="s">
        <v>718</v>
      </c>
      <c r="J386" s="62" t="s">
        <v>88</v>
      </c>
      <c r="K386" s="67" t="s">
        <v>719</v>
      </c>
      <c r="L386" s="70"/>
      <c r="M386" s="62"/>
      <c r="N386" s="62"/>
      <c r="O386" s="64"/>
      <c r="P386" s="79" t="s">
        <v>42</v>
      </c>
      <c r="Q386" s="73" t="s">
        <v>43</v>
      </c>
      <c r="R386" s="62"/>
    </row>
    <row r="387" ht="41.4" spans="1:18">
      <c r="A387" s="58">
        <v>364</v>
      </c>
      <c r="B387" s="75">
        <v>45713</v>
      </c>
      <c r="C387" s="64" t="s">
        <v>675</v>
      </c>
      <c r="D387" s="61" t="s">
        <v>60</v>
      </c>
      <c r="E387" s="62" t="s">
        <v>73</v>
      </c>
      <c r="F387" s="62" t="s">
        <v>36</v>
      </c>
      <c r="G387" s="62" t="s">
        <v>55</v>
      </c>
      <c r="H387" s="62" t="s">
        <v>150</v>
      </c>
      <c r="I387" s="78" t="s">
        <v>720</v>
      </c>
      <c r="J387" s="62" t="s">
        <v>88</v>
      </c>
      <c r="K387" s="67" t="s">
        <v>721</v>
      </c>
      <c r="L387" s="70"/>
      <c r="M387" s="62"/>
      <c r="N387" s="62"/>
      <c r="O387" s="64"/>
      <c r="P387" s="79" t="s">
        <v>42</v>
      </c>
      <c r="Q387" s="73" t="s">
        <v>43</v>
      </c>
      <c r="R387" s="62"/>
    </row>
    <row r="388" ht="55.2" spans="1:18">
      <c r="A388" s="58">
        <v>365</v>
      </c>
      <c r="B388" s="75">
        <v>45714</v>
      </c>
      <c r="C388" s="64" t="s">
        <v>675</v>
      </c>
      <c r="D388" s="61" t="s">
        <v>60</v>
      </c>
      <c r="E388" s="62" t="s">
        <v>73</v>
      </c>
      <c r="F388" s="62" t="s">
        <v>50</v>
      </c>
      <c r="G388" s="62" t="s">
        <v>37</v>
      </c>
      <c r="H388" s="62" t="s">
        <v>38</v>
      </c>
      <c r="I388" s="78" t="s">
        <v>722</v>
      </c>
      <c r="J388" s="62" t="s">
        <v>91</v>
      </c>
      <c r="K388" s="67" t="s">
        <v>723</v>
      </c>
      <c r="L388" s="70"/>
      <c r="M388" s="62"/>
      <c r="N388" s="62"/>
      <c r="O388" s="64"/>
      <c r="P388" s="79" t="s">
        <v>42</v>
      </c>
      <c r="Q388" s="73" t="s">
        <v>43</v>
      </c>
      <c r="R388" s="62"/>
    </row>
    <row r="389" ht="41.4" spans="1:18">
      <c r="A389" s="58">
        <v>366</v>
      </c>
      <c r="B389" s="75">
        <v>45714</v>
      </c>
      <c r="C389" s="64" t="s">
        <v>675</v>
      </c>
      <c r="D389" s="61" t="s">
        <v>60</v>
      </c>
      <c r="E389" s="62" t="s">
        <v>73</v>
      </c>
      <c r="F389" s="62" t="s">
        <v>50</v>
      </c>
      <c r="G389" s="62" t="s">
        <v>55</v>
      </c>
      <c r="H389" s="62" t="s">
        <v>97</v>
      </c>
      <c r="I389" s="78" t="s">
        <v>724</v>
      </c>
      <c r="J389" s="62" t="s">
        <v>53</v>
      </c>
      <c r="K389" s="67" t="s">
        <v>725</v>
      </c>
      <c r="L389" s="70"/>
      <c r="M389" s="62"/>
      <c r="N389" s="62"/>
      <c r="O389" s="64"/>
      <c r="P389" s="79" t="s">
        <v>42</v>
      </c>
      <c r="Q389" s="73" t="s">
        <v>43</v>
      </c>
      <c r="R389" s="62"/>
    </row>
    <row r="390" ht="69" spans="1:18">
      <c r="A390" s="58">
        <v>367</v>
      </c>
      <c r="B390" s="75">
        <v>45714</v>
      </c>
      <c r="C390" s="64" t="s">
        <v>675</v>
      </c>
      <c r="D390" s="61" t="s">
        <v>60</v>
      </c>
      <c r="E390" s="62" t="s">
        <v>73</v>
      </c>
      <c r="F390" s="62" t="s">
        <v>36</v>
      </c>
      <c r="G390" s="62" t="s">
        <v>55</v>
      </c>
      <c r="H390" s="62" t="s">
        <v>56</v>
      </c>
      <c r="I390" s="78" t="s">
        <v>726</v>
      </c>
      <c r="J390" s="62" t="s">
        <v>88</v>
      </c>
      <c r="K390" s="67" t="s">
        <v>727</v>
      </c>
      <c r="L390" s="70"/>
      <c r="M390" s="62"/>
      <c r="N390" s="62"/>
      <c r="O390" s="64"/>
      <c r="P390" s="79" t="s">
        <v>42</v>
      </c>
      <c r="Q390" s="73" t="s">
        <v>43</v>
      </c>
      <c r="R390" s="62"/>
    </row>
    <row r="391" ht="41.4" spans="1:18">
      <c r="A391" s="58">
        <v>368</v>
      </c>
      <c r="B391" s="75">
        <v>45714</v>
      </c>
      <c r="C391" s="60" t="s">
        <v>675</v>
      </c>
      <c r="D391" s="61" t="s">
        <v>60</v>
      </c>
      <c r="E391" s="62" t="s">
        <v>73</v>
      </c>
      <c r="F391" s="62" t="s">
        <v>36</v>
      </c>
      <c r="G391" s="62" t="s">
        <v>55</v>
      </c>
      <c r="H391" s="62" t="s">
        <v>66</v>
      </c>
      <c r="I391" s="78" t="s">
        <v>728</v>
      </c>
      <c r="J391" s="62" t="s">
        <v>88</v>
      </c>
      <c r="K391" s="67" t="s">
        <v>729</v>
      </c>
      <c r="L391" s="70"/>
      <c r="M391" s="62"/>
      <c r="N391" s="62"/>
      <c r="O391" s="64"/>
      <c r="P391" s="79" t="s">
        <v>42</v>
      </c>
      <c r="Q391" s="73" t="s">
        <v>43</v>
      </c>
      <c r="R391" s="62"/>
    </row>
    <row r="392" ht="26.4" spans="1:18">
      <c r="A392" s="58">
        <v>369</v>
      </c>
      <c r="B392" s="75">
        <v>45715</v>
      </c>
      <c r="C392" s="64" t="s">
        <v>717</v>
      </c>
      <c r="D392" s="61" t="s">
        <v>60</v>
      </c>
      <c r="E392" s="62" t="s">
        <v>163</v>
      </c>
      <c r="F392" s="62" t="s">
        <v>192</v>
      </c>
      <c r="G392" s="62" t="s">
        <v>55</v>
      </c>
      <c r="H392" s="62" t="s">
        <v>51</v>
      </c>
      <c r="I392" s="78" t="s">
        <v>730</v>
      </c>
      <c r="J392" s="62" t="s">
        <v>137</v>
      </c>
      <c r="K392" s="67"/>
      <c r="L392" s="70"/>
      <c r="M392" s="62"/>
      <c r="N392" s="62"/>
      <c r="O392" s="64"/>
      <c r="P392" s="79" t="s">
        <v>42</v>
      </c>
      <c r="Q392" s="62" t="s">
        <v>8</v>
      </c>
      <c r="R392" s="62"/>
    </row>
    <row r="393" ht="26.4" spans="1:18">
      <c r="A393" s="58">
        <v>370</v>
      </c>
      <c r="B393" s="75">
        <v>45713</v>
      </c>
      <c r="C393" s="60" t="s">
        <v>675</v>
      </c>
      <c r="D393" s="61" t="s">
        <v>60</v>
      </c>
      <c r="E393" s="62" t="s">
        <v>73</v>
      </c>
      <c r="F393" s="62" t="s">
        <v>36</v>
      </c>
      <c r="G393" s="62" t="s">
        <v>37</v>
      </c>
      <c r="H393" s="62" t="s">
        <v>94</v>
      </c>
      <c r="I393" s="78" t="s">
        <v>731</v>
      </c>
      <c r="J393" s="62" t="s">
        <v>91</v>
      </c>
      <c r="K393" s="67" t="s">
        <v>732</v>
      </c>
      <c r="L393" s="70"/>
      <c r="M393" s="62"/>
      <c r="N393" s="62"/>
      <c r="O393" s="64"/>
      <c r="P393" s="79" t="s">
        <v>42</v>
      </c>
      <c r="Q393" s="73" t="s">
        <v>43</v>
      </c>
      <c r="R393" s="62"/>
    </row>
    <row r="394" ht="27.6" spans="1:18">
      <c r="A394" s="58">
        <v>371</v>
      </c>
      <c r="B394" s="75">
        <v>45713</v>
      </c>
      <c r="C394" s="64" t="s">
        <v>675</v>
      </c>
      <c r="D394" s="61" t="s">
        <v>60</v>
      </c>
      <c r="E394" s="62" t="s">
        <v>73</v>
      </c>
      <c r="F394" s="62" t="s">
        <v>36</v>
      </c>
      <c r="G394" s="62" t="s">
        <v>55</v>
      </c>
      <c r="H394" s="62" t="s">
        <v>56</v>
      </c>
      <c r="I394" s="78" t="s">
        <v>709</v>
      </c>
      <c r="J394" s="62" t="s">
        <v>88</v>
      </c>
      <c r="K394" s="67" t="s">
        <v>733</v>
      </c>
      <c r="L394" s="70"/>
      <c r="M394" s="62"/>
      <c r="N394" s="62"/>
      <c r="O394" s="64"/>
      <c r="P394" s="79" t="s">
        <v>42</v>
      </c>
      <c r="Q394" s="73" t="s">
        <v>43</v>
      </c>
      <c r="R394" s="62"/>
    </row>
    <row r="395" ht="41.4" spans="1:18">
      <c r="A395" s="58">
        <v>372</v>
      </c>
      <c r="B395" s="75">
        <v>45710</v>
      </c>
      <c r="C395" s="64" t="s">
        <v>640</v>
      </c>
      <c r="D395" s="61" t="s">
        <v>72</v>
      </c>
      <c r="E395" s="62" t="s">
        <v>73</v>
      </c>
      <c r="F395" s="62" t="s">
        <v>36</v>
      </c>
      <c r="G395" s="62" t="s">
        <v>61</v>
      </c>
      <c r="H395" s="62" t="s">
        <v>51</v>
      </c>
      <c r="I395" s="78" t="s">
        <v>734</v>
      </c>
      <c r="J395" s="62" t="s">
        <v>53</v>
      </c>
      <c r="K395" s="67" t="s">
        <v>735</v>
      </c>
      <c r="L395" s="70"/>
      <c r="M395" s="62"/>
      <c r="N395" s="62"/>
      <c r="O395" s="64"/>
      <c r="P395" s="79" t="s">
        <v>42</v>
      </c>
      <c r="Q395" s="73" t="s">
        <v>43</v>
      </c>
      <c r="R395" s="62"/>
    </row>
    <row r="396" ht="13.8" spans="1:18">
      <c r="A396" s="58">
        <v>373</v>
      </c>
      <c r="B396" s="75">
        <v>45713</v>
      </c>
      <c r="C396" s="64" t="s">
        <v>632</v>
      </c>
      <c r="D396" s="61" t="s">
        <v>72</v>
      </c>
      <c r="E396" s="62" t="s">
        <v>73</v>
      </c>
      <c r="F396" s="62" t="s">
        <v>36</v>
      </c>
      <c r="G396" s="62" t="s">
        <v>45</v>
      </c>
      <c r="H396" s="62" t="s">
        <v>94</v>
      </c>
      <c r="I396" s="78" t="s">
        <v>736</v>
      </c>
      <c r="J396" s="62" t="s">
        <v>53</v>
      </c>
      <c r="K396" s="67" t="s">
        <v>737</v>
      </c>
      <c r="L396" s="70"/>
      <c r="M396" s="62"/>
      <c r="N396" s="62"/>
      <c r="O396" s="64"/>
      <c r="P396" s="79" t="s">
        <v>42</v>
      </c>
      <c r="Q396" s="73" t="s">
        <v>43</v>
      </c>
      <c r="R396" s="62"/>
    </row>
    <row r="397" ht="27.6" spans="1:18">
      <c r="A397" s="58">
        <v>374</v>
      </c>
      <c r="B397" s="75">
        <v>45710</v>
      </c>
      <c r="C397" s="64" t="s">
        <v>632</v>
      </c>
      <c r="D397" s="61" t="s">
        <v>72</v>
      </c>
      <c r="E397" s="62" t="s">
        <v>73</v>
      </c>
      <c r="F397" s="62" t="s">
        <v>36</v>
      </c>
      <c r="G397" s="62" t="s">
        <v>45</v>
      </c>
      <c r="H397" s="62" t="s">
        <v>56</v>
      </c>
      <c r="I397" s="78" t="s">
        <v>738</v>
      </c>
      <c r="J397" s="62" t="s">
        <v>53</v>
      </c>
      <c r="K397" s="67" t="s">
        <v>739</v>
      </c>
      <c r="L397" s="70"/>
      <c r="M397" s="62"/>
      <c r="N397" s="62"/>
      <c r="O397" s="64"/>
      <c r="P397" s="79" t="s">
        <v>42</v>
      </c>
      <c r="Q397" s="73" t="s">
        <v>43</v>
      </c>
      <c r="R397" s="62"/>
    </row>
    <row r="398" ht="27.6" spans="1:18">
      <c r="A398" s="58">
        <v>375</v>
      </c>
      <c r="B398" s="75">
        <v>45710</v>
      </c>
      <c r="C398" s="64" t="s">
        <v>640</v>
      </c>
      <c r="D398" s="61" t="s">
        <v>72</v>
      </c>
      <c r="E398" s="62" t="s">
        <v>73</v>
      </c>
      <c r="F398" s="62" t="s">
        <v>36</v>
      </c>
      <c r="G398" s="62" t="s">
        <v>131</v>
      </c>
      <c r="H398" s="62" t="s">
        <v>38</v>
      </c>
      <c r="I398" s="78" t="s">
        <v>740</v>
      </c>
      <c r="J398" s="62" t="s">
        <v>53</v>
      </c>
      <c r="K398" s="67" t="s">
        <v>741</v>
      </c>
      <c r="L398" s="70"/>
      <c r="M398" s="62"/>
      <c r="N398" s="62"/>
      <c r="O398" s="64"/>
      <c r="P398" s="79" t="s">
        <v>42</v>
      </c>
      <c r="Q398" s="73" t="s">
        <v>43</v>
      </c>
      <c r="R398" s="62"/>
    </row>
    <row r="399" ht="41.4" spans="1:18">
      <c r="A399" s="58">
        <v>376</v>
      </c>
      <c r="B399" s="75">
        <v>45713</v>
      </c>
      <c r="C399" s="60" t="s">
        <v>659</v>
      </c>
      <c r="D399" s="61" t="s">
        <v>72</v>
      </c>
      <c r="E399" s="62" t="s">
        <v>73</v>
      </c>
      <c r="F399" s="62" t="s">
        <v>36</v>
      </c>
      <c r="G399" s="62" t="s">
        <v>55</v>
      </c>
      <c r="H399" s="62" t="s">
        <v>38</v>
      </c>
      <c r="I399" s="78" t="s">
        <v>742</v>
      </c>
      <c r="J399" s="62" t="s">
        <v>53</v>
      </c>
      <c r="K399" s="67" t="s">
        <v>743</v>
      </c>
      <c r="L399" s="70"/>
      <c r="M399" s="62"/>
      <c r="N399" s="62"/>
      <c r="O399" s="64"/>
      <c r="P399" s="79" t="s">
        <v>42</v>
      </c>
      <c r="Q399" s="73" t="s">
        <v>43</v>
      </c>
      <c r="R399" s="62"/>
    </row>
    <row r="400" ht="27.6" spans="1:18">
      <c r="A400" s="58">
        <v>377</v>
      </c>
      <c r="B400" s="75">
        <v>45713</v>
      </c>
      <c r="C400" s="64" t="s">
        <v>659</v>
      </c>
      <c r="D400" s="61" t="s">
        <v>72</v>
      </c>
      <c r="E400" s="62" t="s">
        <v>73</v>
      </c>
      <c r="F400" s="62" t="s">
        <v>36</v>
      </c>
      <c r="G400" s="62" t="s">
        <v>37</v>
      </c>
      <c r="H400" s="62" t="s">
        <v>38</v>
      </c>
      <c r="I400" s="78" t="s">
        <v>744</v>
      </c>
      <c r="J400" s="62" t="s">
        <v>53</v>
      </c>
      <c r="K400" s="67" t="s">
        <v>745</v>
      </c>
      <c r="L400" s="70"/>
      <c r="M400" s="62"/>
      <c r="N400" s="62"/>
      <c r="O400" s="64"/>
      <c r="P400" s="79" t="s">
        <v>42</v>
      </c>
      <c r="Q400" s="73" t="s">
        <v>43</v>
      </c>
      <c r="R400" s="62"/>
    </row>
    <row r="401" ht="13.8" spans="1:18">
      <c r="A401" s="58">
        <v>378</v>
      </c>
      <c r="B401" s="75">
        <v>45713</v>
      </c>
      <c r="C401" s="60" t="s">
        <v>659</v>
      </c>
      <c r="D401" s="61" t="s">
        <v>72</v>
      </c>
      <c r="E401" s="62" t="s">
        <v>73</v>
      </c>
      <c r="F401" s="62" t="s">
        <v>36</v>
      </c>
      <c r="G401" s="62" t="s">
        <v>37</v>
      </c>
      <c r="H401" s="62" t="s">
        <v>132</v>
      </c>
      <c r="I401" s="78" t="s">
        <v>746</v>
      </c>
      <c r="J401" s="62" t="s">
        <v>88</v>
      </c>
      <c r="K401" s="67" t="s">
        <v>747</v>
      </c>
      <c r="L401" s="70"/>
      <c r="M401" s="62"/>
      <c r="N401" s="62"/>
      <c r="O401" s="64"/>
      <c r="P401" s="79" t="s">
        <v>42</v>
      </c>
      <c r="Q401" s="73" t="s">
        <v>43</v>
      </c>
      <c r="R401" s="62"/>
    </row>
    <row r="402" ht="26.4" spans="1:18">
      <c r="A402" s="58">
        <v>379</v>
      </c>
      <c r="B402" s="75">
        <v>45713</v>
      </c>
      <c r="C402" s="60" t="s">
        <v>659</v>
      </c>
      <c r="D402" s="61" t="s">
        <v>72</v>
      </c>
      <c r="E402" s="62" t="s">
        <v>73</v>
      </c>
      <c r="F402" s="62" t="s">
        <v>36</v>
      </c>
      <c r="G402" s="62" t="s">
        <v>55</v>
      </c>
      <c r="H402" s="62" t="s">
        <v>94</v>
      </c>
      <c r="I402" s="78" t="s">
        <v>748</v>
      </c>
      <c r="J402" s="62" t="s">
        <v>53</v>
      </c>
      <c r="K402" s="67" t="s">
        <v>749</v>
      </c>
      <c r="L402" s="70"/>
      <c r="M402" s="62"/>
      <c r="N402" s="62"/>
      <c r="O402" s="64"/>
      <c r="P402" s="79" t="s">
        <v>42</v>
      </c>
      <c r="Q402" s="73" t="s">
        <v>43</v>
      </c>
      <c r="R402" s="62"/>
    </row>
    <row r="403" ht="27.6" spans="1:18">
      <c r="A403" s="58">
        <v>380</v>
      </c>
      <c r="B403" s="75">
        <v>45714</v>
      </c>
      <c r="C403" s="64" t="s">
        <v>659</v>
      </c>
      <c r="D403" s="61" t="s">
        <v>72</v>
      </c>
      <c r="E403" s="62" t="s">
        <v>73</v>
      </c>
      <c r="F403" s="62" t="s">
        <v>36</v>
      </c>
      <c r="G403" s="62" t="s">
        <v>55</v>
      </c>
      <c r="H403" s="62" t="s">
        <v>56</v>
      </c>
      <c r="I403" s="78" t="s">
        <v>750</v>
      </c>
      <c r="J403" s="62" t="s">
        <v>53</v>
      </c>
      <c r="K403" s="67" t="s">
        <v>751</v>
      </c>
      <c r="L403" s="70"/>
      <c r="M403" s="62"/>
      <c r="N403" s="62"/>
      <c r="O403" s="64"/>
      <c r="P403" s="79" t="s">
        <v>42</v>
      </c>
      <c r="Q403" s="73" t="s">
        <v>43</v>
      </c>
      <c r="R403" s="62"/>
    </row>
    <row r="404" ht="27.6" spans="1:18">
      <c r="A404" s="58">
        <v>381</v>
      </c>
      <c r="B404" s="75">
        <v>45710</v>
      </c>
      <c r="C404" s="60" t="s">
        <v>641</v>
      </c>
      <c r="D404" s="61" t="s">
        <v>72</v>
      </c>
      <c r="E404" s="62" t="s">
        <v>73</v>
      </c>
      <c r="F404" s="62" t="s">
        <v>36</v>
      </c>
      <c r="G404" s="62" t="s">
        <v>37</v>
      </c>
      <c r="H404" s="62" t="s">
        <v>38</v>
      </c>
      <c r="I404" s="78" t="s">
        <v>752</v>
      </c>
      <c r="J404" s="62" t="s">
        <v>53</v>
      </c>
      <c r="K404" s="67" t="s">
        <v>753</v>
      </c>
      <c r="L404" s="70"/>
      <c r="M404" s="62"/>
      <c r="N404" s="62"/>
      <c r="O404" s="64"/>
      <c r="P404" s="79" t="s">
        <v>42</v>
      </c>
      <c r="Q404" s="73" t="s">
        <v>43</v>
      </c>
      <c r="R404" s="62"/>
    </row>
    <row r="405" ht="27.6" spans="1:18">
      <c r="A405" s="58">
        <v>382</v>
      </c>
      <c r="B405" s="75">
        <v>45714</v>
      </c>
      <c r="C405" s="64" t="s">
        <v>659</v>
      </c>
      <c r="D405" s="61" t="s">
        <v>72</v>
      </c>
      <c r="E405" s="62" t="s">
        <v>73</v>
      </c>
      <c r="F405" s="62" t="s">
        <v>36</v>
      </c>
      <c r="G405" s="62" t="s">
        <v>37</v>
      </c>
      <c r="H405" s="62" t="s">
        <v>66</v>
      </c>
      <c r="I405" s="78" t="s">
        <v>754</v>
      </c>
      <c r="J405" s="62" t="s">
        <v>88</v>
      </c>
      <c r="K405" s="67" t="s">
        <v>755</v>
      </c>
      <c r="L405" s="70"/>
      <c r="M405" s="62"/>
      <c r="N405" s="62"/>
      <c r="O405" s="64"/>
      <c r="P405" s="79" t="s">
        <v>42</v>
      </c>
      <c r="Q405" s="73" t="s">
        <v>43</v>
      </c>
      <c r="R405" s="62"/>
    </row>
    <row r="406" ht="27.6" spans="1:18">
      <c r="A406" s="58">
        <v>383</v>
      </c>
      <c r="B406" s="75">
        <v>45712</v>
      </c>
      <c r="C406" s="64" t="s">
        <v>641</v>
      </c>
      <c r="D406" s="61" t="s">
        <v>72</v>
      </c>
      <c r="E406" s="62" t="s">
        <v>73</v>
      </c>
      <c r="F406" s="62" t="s">
        <v>36</v>
      </c>
      <c r="G406" s="62" t="s">
        <v>45</v>
      </c>
      <c r="H406" s="62" t="s">
        <v>202</v>
      </c>
      <c r="I406" s="78" t="s">
        <v>756</v>
      </c>
      <c r="J406" s="62" t="s">
        <v>53</v>
      </c>
      <c r="K406" s="67" t="s">
        <v>757</v>
      </c>
      <c r="L406" s="70"/>
      <c r="M406" s="62"/>
      <c r="N406" s="62"/>
      <c r="O406" s="64"/>
      <c r="P406" s="79" t="s">
        <v>42</v>
      </c>
      <c r="Q406" s="73" t="s">
        <v>43</v>
      </c>
      <c r="R406" s="62"/>
    </row>
    <row r="407" ht="26.4" spans="1:18">
      <c r="A407" s="58">
        <v>384</v>
      </c>
      <c r="B407" s="75">
        <v>45715</v>
      </c>
      <c r="C407" s="60" t="s">
        <v>659</v>
      </c>
      <c r="D407" s="61" t="s">
        <v>72</v>
      </c>
      <c r="E407" s="62" t="s">
        <v>73</v>
      </c>
      <c r="F407" s="62" t="s">
        <v>36</v>
      </c>
      <c r="G407" s="62" t="s">
        <v>55</v>
      </c>
      <c r="H407" s="62" t="s">
        <v>38</v>
      </c>
      <c r="I407" s="78" t="s">
        <v>758</v>
      </c>
      <c r="J407" s="62" t="s">
        <v>53</v>
      </c>
      <c r="K407" s="67" t="s">
        <v>759</v>
      </c>
      <c r="L407" s="70"/>
      <c r="M407" s="62"/>
      <c r="N407" s="62"/>
      <c r="O407" s="64"/>
      <c r="P407" s="79" t="s">
        <v>42</v>
      </c>
      <c r="Q407" s="73" t="s">
        <v>43</v>
      </c>
      <c r="R407" s="62"/>
    </row>
    <row r="408" ht="27.6" spans="1:18">
      <c r="A408" s="58">
        <v>385</v>
      </c>
      <c r="B408" s="75">
        <v>45713</v>
      </c>
      <c r="C408" s="60" t="s">
        <v>659</v>
      </c>
      <c r="D408" s="61" t="s">
        <v>72</v>
      </c>
      <c r="E408" s="62" t="s">
        <v>73</v>
      </c>
      <c r="F408" s="62" t="s">
        <v>36</v>
      </c>
      <c r="G408" s="62" t="s">
        <v>131</v>
      </c>
      <c r="H408" s="62" t="s">
        <v>97</v>
      </c>
      <c r="I408" s="78" t="s">
        <v>666</v>
      </c>
      <c r="J408" s="62" t="s">
        <v>91</v>
      </c>
      <c r="K408" s="67" t="s">
        <v>760</v>
      </c>
      <c r="L408" s="70"/>
      <c r="M408" s="62"/>
      <c r="N408" s="62"/>
      <c r="O408" s="64"/>
      <c r="P408" s="79" t="s">
        <v>42</v>
      </c>
      <c r="Q408" s="73" t="s">
        <v>43</v>
      </c>
      <c r="R408" s="62"/>
    </row>
    <row r="409" ht="13.8" spans="1:18">
      <c r="A409" s="58">
        <v>386</v>
      </c>
      <c r="B409" s="75">
        <v>45716</v>
      </c>
      <c r="C409" s="60" t="s">
        <v>659</v>
      </c>
      <c r="D409" s="61" t="s">
        <v>72</v>
      </c>
      <c r="E409" s="62" t="s">
        <v>73</v>
      </c>
      <c r="F409" s="62" t="s">
        <v>36</v>
      </c>
      <c r="G409" s="62" t="s">
        <v>131</v>
      </c>
      <c r="H409" s="62" t="s">
        <v>38</v>
      </c>
      <c r="I409" s="78" t="s">
        <v>761</v>
      </c>
      <c r="J409" s="62" t="s">
        <v>88</v>
      </c>
      <c r="K409" s="67" t="s">
        <v>762</v>
      </c>
      <c r="L409" s="70"/>
      <c r="M409" s="62"/>
      <c r="N409" s="62"/>
      <c r="O409" s="64"/>
      <c r="P409" s="79" t="s">
        <v>42</v>
      </c>
      <c r="Q409" s="73" t="s">
        <v>43</v>
      </c>
      <c r="R409" s="62"/>
    </row>
    <row r="410" ht="13.8" spans="1:18">
      <c r="A410" s="58">
        <v>387</v>
      </c>
      <c r="B410" s="75">
        <v>45710</v>
      </c>
      <c r="C410" s="60" t="s">
        <v>659</v>
      </c>
      <c r="D410" s="61" t="s">
        <v>72</v>
      </c>
      <c r="E410" s="62" t="s">
        <v>73</v>
      </c>
      <c r="F410" s="62" t="s">
        <v>36</v>
      </c>
      <c r="G410" s="62" t="s">
        <v>61</v>
      </c>
      <c r="H410" s="62" t="s">
        <v>38</v>
      </c>
      <c r="I410" s="78" t="s">
        <v>763</v>
      </c>
      <c r="J410" s="62" t="s">
        <v>88</v>
      </c>
      <c r="K410" s="67" t="s">
        <v>764</v>
      </c>
      <c r="L410" s="70"/>
      <c r="M410" s="62"/>
      <c r="N410" s="62"/>
      <c r="O410" s="64"/>
      <c r="P410" s="79" t="s">
        <v>42</v>
      </c>
      <c r="Q410" s="73" t="s">
        <v>43</v>
      </c>
      <c r="R410" s="62"/>
    </row>
    <row r="411" ht="27.6" spans="1:18">
      <c r="A411" s="58">
        <v>388</v>
      </c>
      <c r="B411" s="75">
        <v>45710</v>
      </c>
      <c r="C411" s="64" t="s">
        <v>659</v>
      </c>
      <c r="D411" s="61" t="s">
        <v>72</v>
      </c>
      <c r="E411" s="62" t="s">
        <v>73</v>
      </c>
      <c r="F411" s="62" t="s">
        <v>36</v>
      </c>
      <c r="G411" s="62" t="s">
        <v>37</v>
      </c>
      <c r="H411" s="62" t="s">
        <v>94</v>
      </c>
      <c r="I411" s="78" t="s">
        <v>765</v>
      </c>
      <c r="J411" s="62" t="s">
        <v>53</v>
      </c>
      <c r="K411" s="67" t="s">
        <v>766</v>
      </c>
      <c r="L411" s="70"/>
      <c r="M411" s="62"/>
      <c r="N411" s="62"/>
      <c r="O411" s="64"/>
      <c r="P411" s="79" t="s">
        <v>42</v>
      </c>
      <c r="Q411" s="73" t="s">
        <v>43</v>
      </c>
      <c r="R411" s="62"/>
    </row>
    <row r="412" ht="41.4" spans="1:18">
      <c r="A412" s="58">
        <v>389</v>
      </c>
      <c r="B412" s="90">
        <v>45710</v>
      </c>
      <c r="C412" s="64" t="s">
        <v>659</v>
      </c>
      <c r="D412" s="61" t="s">
        <v>72</v>
      </c>
      <c r="E412" s="62" t="s">
        <v>73</v>
      </c>
      <c r="F412" s="62" t="s">
        <v>36</v>
      </c>
      <c r="G412" s="62" t="s">
        <v>37</v>
      </c>
      <c r="H412" s="62" t="s">
        <v>38</v>
      </c>
      <c r="I412" s="78" t="s">
        <v>767</v>
      </c>
      <c r="J412" s="62" t="s">
        <v>53</v>
      </c>
      <c r="K412" s="67" t="s">
        <v>768</v>
      </c>
      <c r="L412" s="70"/>
      <c r="M412" s="62"/>
      <c r="N412" s="62"/>
      <c r="O412" s="64"/>
      <c r="P412" s="79" t="s">
        <v>42</v>
      </c>
      <c r="Q412" s="73" t="s">
        <v>43</v>
      </c>
      <c r="R412" s="62"/>
    </row>
    <row r="413" ht="27.6" spans="1:18">
      <c r="A413" s="58">
        <v>390</v>
      </c>
      <c r="B413" s="90">
        <v>45709</v>
      </c>
      <c r="C413" s="64" t="s">
        <v>769</v>
      </c>
      <c r="D413" s="62" t="s">
        <v>35</v>
      </c>
      <c r="E413" s="62" t="s">
        <v>73</v>
      </c>
      <c r="F413" s="62" t="s">
        <v>36</v>
      </c>
      <c r="G413" s="62" t="s">
        <v>65</v>
      </c>
      <c r="H413" s="62" t="s">
        <v>132</v>
      </c>
      <c r="I413" s="78" t="s">
        <v>770</v>
      </c>
      <c r="J413" s="62" t="s">
        <v>91</v>
      </c>
      <c r="K413" s="67" t="s">
        <v>771</v>
      </c>
      <c r="L413" s="70"/>
      <c r="M413" s="62"/>
      <c r="N413" s="62"/>
      <c r="O413" s="64"/>
      <c r="P413" s="79" t="s">
        <v>42</v>
      </c>
      <c r="Q413" s="73" t="s">
        <v>43</v>
      </c>
      <c r="R413" s="62"/>
    </row>
    <row r="414" ht="13.8" spans="1:18">
      <c r="A414" s="58">
        <v>391</v>
      </c>
      <c r="B414" s="90">
        <v>45701</v>
      </c>
      <c r="C414" s="64" t="s">
        <v>354</v>
      </c>
      <c r="D414" s="62" t="s">
        <v>35</v>
      </c>
      <c r="E414" s="62" t="s">
        <v>73</v>
      </c>
      <c r="F414" s="62" t="s">
        <v>50</v>
      </c>
      <c r="G414" s="62" t="s">
        <v>45</v>
      </c>
      <c r="H414" s="62" t="s">
        <v>51</v>
      </c>
      <c r="I414" s="78" t="s">
        <v>772</v>
      </c>
      <c r="J414" s="62" t="s">
        <v>53</v>
      </c>
      <c r="K414" s="67" t="s">
        <v>773</v>
      </c>
      <c r="L414" s="70"/>
      <c r="M414" s="62"/>
      <c r="N414" s="62"/>
      <c r="O414" s="64"/>
      <c r="P414" s="79" t="s">
        <v>42</v>
      </c>
      <c r="Q414" s="73" t="s">
        <v>43</v>
      </c>
      <c r="R414" s="62"/>
    </row>
    <row r="415" ht="27.6" spans="1:18">
      <c r="A415" s="58">
        <v>392</v>
      </c>
      <c r="B415" s="90">
        <v>45710</v>
      </c>
      <c r="C415" s="64" t="s">
        <v>774</v>
      </c>
      <c r="D415" s="62" t="s">
        <v>35</v>
      </c>
      <c r="E415" s="62" t="s">
        <v>73</v>
      </c>
      <c r="F415" s="62" t="s">
        <v>36</v>
      </c>
      <c r="G415" s="62" t="s">
        <v>61</v>
      </c>
      <c r="H415" s="62" t="s">
        <v>56</v>
      </c>
      <c r="I415" s="78" t="s">
        <v>775</v>
      </c>
      <c r="J415" s="62" t="s">
        <v>91</v>
      </c>
      <c r="K415" s="67" t="s">
        <v>776</v>
      </c>
      <c r="L415" s="70"/>
      <c r="M415" s="62"/>
      <c r="N415" s="62"/>
      <c r="O415" s="64"/>
      <c r="P415" s="79" t="s">
        <v>42</v>
      </c>
      <c r="Q415" s="73" t="s">
        <v>43</v>
      </c>
      <c r="R415" s="62"/>
    </row>
    <row r="416" ht="27.6" spans="1:18">
      <c r="A416" s="58">
        <v>393</v>
      </c>
      <c r="B416" s="90">
        <v>45713</v>
      </c>
      <c r="C416" s="64" t="s">
        <v>777</v>
      </c>
      <c r="D416" s="62" t="s">
        <v>35</v>
      </c>
      <c r="E416" s="62" t="s">
        <v>73</v>
      </c>
      <c r="F416" s="62" t="s">
        <v>36</v>
      </c>
      <c r="G416" s="62" t="s">
        <v>37</v>
      </c>
      <c r="H416" s="62" t="s">
        <v>38</v>
      </c>
      <c r="I416" s="78" t="s">
        <v>778</v>
      </c>
      <c r="J416" s="62" t="s">
        <v>40</v>
      </c>
      <c r="K416" s="67" t="s">
        <v>779</v>
      </c>
      <c r="L416" s="70"/>
      <c r="M416" s="62"/>
      <c r="N416" s="62"/>
      <c r="O416" s="64"/>
      <c r="P416" s="79" t="s">
        <v>42</v>
      </c>
      <c r="Q416" s="73" t="s">
        <v>43</v>
      </c>
      <c r="R416" s="62"/>
    </row>
    <row r="417" ht="13.8" spans="1:18">
      <c r="A417" s="58">
        <v>394</v>
      </c>
      <c r="B417" s="90">
        <v>45698</v>
      </c>
      <c r="C417" s="64" t="s">
        <v>777</v>
      </c>
      <c r="D417" s="62" t="s">
        <v>35</v>
      </c>
      <c r="E417" s="62" t="s">
        <v>73</v>
      </c>
      <c r="F417" s="62" t="s">
        <v>36</v>
      </c>
      <c r="G417" s="62" t="s">
        <v>588</v>
      </c>
      <c r="H417" s="62" t="s">
        <v>56</v>
      </c>
      <c r="I417" s="78" t="s">
        <v>780</v>
      </c>
      <c r="J417" s="62" t="s">
        <v>40</v>
      </c>
      <c r="K417" s="67" t="s">
        <v>781</v>
      </c>
      <c r="L417" s="70"/>
      <c r="M417" s="62"/>
      <c r="N417" s="62"/>
      <c r="O417" s="64"/>
      <c r="P417" s="79" t="s">
        <v>42</v>
      </c>
      <c r="Q417" s="73" t="s">
        <v>43</v>
      </c>
      <c r="R417" s="62"/>
    </row>
    <row r="418" ht="27.6" spans="1:18">
      <c r="A418" s="58">
        <v>395</v>
      </c>
      <c r="B418" s="90">
        <v>45708</v>
      </c>
      <c r="C418" s="60" t="s">
        <v>208</v>
      </c>
      <c r="D418" s="62" t="s">
        <v>35</v>
      </c>
      <c r="E418" s="62" t="s">
        <v>73</v>
      </c>
      <c r="F418" s="62" t="s">
        <v>50</v>
      </c>
      <c r="G418" s="62" t="s">
        <v>37</v>
      </c>
      <c r="H418" s="62" t="s">
        <v>97</v>
      </c>
      <c r="I418" s="78" t="s">
        <v>782</v>
      </c>
      <c r="J418" s="62" t="s">
        <v>53</v>
      </c>
      <c r="K418" s="67" t="s">
        <v>783</v>
      </c>
      <c r="L418" s="70"/>
      <c r="M418" s="62"/>
      <c r="N418" s="62"/>
      <c r="O418" s="64"/>
      <c r="P418" s="79" t="s">
        <v>42</v>
      </c>
      <c r="Q418" s="73" t="s">
        <v>43</v>
      </c>
      <c r="R418" s="62"/>
    </row>
    <row r="419" ht="26.4" spans="1:18">
      <c r="A419" s="58">
        <v>396</v>
      </c>
      <c r="B419" s="90">
        <v>45708</v>
      </c>
      <c r="C419" s="64" t="s">
        <v>784</v>
      </c>
      <c r="D419" s="62" t="s">
        <v>35</v>
      </c>
      <c r="E419" s="62" t="s">
        <v>73</v>
      </c>
      <c r="F419" s="62" t="s">
        <v>36</v>
      </c>
      <c r="G419" s="62" t="s">
        <v>588</v>
      </c>
      <c r="H419" s="62" t="s">
        <v>94</v>
      </c>
      <c r="I419" s="78" t="s">
        <v>785</v>
      </c>
      <c r="J419" s="62" t="s">
        <v>40</v>
      </c>
      <c r="K419" s="67" t="s">
        <v>786</v>
      </c>
      <c r="L419" s="70"/>
      <c r="M419" s="62"/>
      <c r="N419" s="62"/>
      <c r="O419" s="64"/>
      <c r="P419" s="79" t="s">
        <v>42</v>
      </c>
      <c r="Q419" s="73" t="s">
        <v>43</v>
      </c>
      <c r="R419" s="62"/>
    </row>
    <row r="420" ht="13.8" spans="1:18">
      <c r="A420" s="58">
        <v>397</v>
      </c>
      <c r="B420" s="90">
        <v>45716</v>
      </c>
      <c r="C420" s="60" t="s">
        <v>787</v>
      </c>
      <c r="D420" s="62" t="s">
        <v>35</v>
      </c>
      <c r="E420" s="62" t="s">
        <v>73</v>
      </c>
      <c r="F420" s="62" t="s">
        <v>36</v>
      </c>
      <c r="G420" s="62" t="s">
        <v>588</v>
      </c>
      <c r="H420" s="62" t="s">
        <v>97</v>
      </c>
      <c r="I420" s="78" t="s">
        <v>788</v>
      </c>
      <c r="J420" s="62" t="s">
        <v>40</v>
      </c>
      <c r="K420" s="67" t="s">
        <v>789</v>
      </c>
      <c r="L420" s="70"/>
      <c r="M420" s="62"/>
      <c r="N420" s="62"/>
      <c r="O420" s="64"/>
      <c r="P420" s="79" t="s">
        <v>42</v>
      </c>
      <c r="Q420" s="73" t="s">
        <v>43</v>
      </c>
      <c r="R420" s="62"/>
    </row>
    <row r="421" ht="13.8" spans="1:18">
      <c r="A421" s="58">
        <v>398</v>
      </c>
      <c r="B421" s="90">
        <v>45693</v>
      </c>
      <c r="C421" s="60" t="s">
        <v>790</v>
      </c>
      <c r="D421" s="62" t="s">
        <v>35</v>
      </c>
      <c r="E421" s="62" t="s">
        <v>73</v>
      </c>
      <c r="F421" s="62" t="s">
        <v>36</v>
      </c>
      <c r="G421" s="62" t="s">
        <v>37</v>
      </c>
      <c r="H421" s="62" t="s">
        <v>56</v>
      </c>
      <c r="I421" s="78" t="s">
        <v>791</v>
      </c>
      <c r="J421" s="62" t="s">
        <v>91</v>
      </c>
      <c r="K421" s="67" t="s">
        <v>792</v>
      </c>
      <c r="L421" s="70"/>
      <c r="M421" s="62"/>
      <c r="N421" s="62"/>
      <c r="O421" s="64"/>
      <c r="P421" s="79" t="s">
        <v>42</v>
      </c>
      <c r="Q421" s="73" t="s">
        <v>43</v>
      </c>
      <c r="R421" s="62"/>
    </row>
    <row r="422" ht="27.6" spans="1:18">
      <c r="A422" s="58">
        <v>399</v>
      </c>
      <c r="B422" s="90">
        <v>45713</v>
      </c>
      <c r="C422" s="60" t="s">
        <v>793</v>
      </c>
      <c r="D422" s="62" t="s">
        <v>35</v>
      </c>
      <c r="E422" s="62" t="s">
        <v>73</v>
      </c>
      <c r="F422" s="62" t="s">
        <v>36</v>
      </c>
      <c r="G422" s="62" t="s">
        <v>37</v>
      </c>
      <c r="H422" s="62" t="s">
        <v>38</v>
      </c>
      <c r="I422" s="78" t="s">
        <v>794</v>
      </c>
      <c r="J422" s="62" t="s">
        <v>40</v>
      </c>
      <c r="K422" s="67" t="s">
        <v>795</v>
      </c>
      <c r="L422" s="70"/>
      <c r="M422" s="62"/>
      <c r="N422" s="62"/>
      <c r="O422" s="64"/>
      <c r="P422" s="79" t="s">
        <v>42</v>
      </c>
      <c r="Q422" s="73" t="s">
        <v>43</v>
      </c>
      <c r="R422" s="62"/>
    </row>
    <row r="423" ht="27.6" spans="1:18">
      <c r="A423" s="58">
        <v>400</v>
      </c>
      <c r="B423" s="90">
        <v>45718</v>
      </c>
      <c r="C423" s="60" t="s">
        <v>614</v>
      </c>
      <c r="D423" s="61" t="s">
        <v>60</v>
      </c>
      <c r="E423" s="62" t="s">
        <v>163</v>
      </c>
      <c r="F423" s="62" t="s">
        <v>36</v>
      </c>
      <c r="G423" s="62" t="s">
        <v>55</v>
      </c>
      <c r="H423" s="62" t="s">
        <v>150</v>
      </c>
      <c r="I423" s="78" t="s">
        <v>796</v>
      </c>
      <c r="J423" s="62" t="s">
        <v>88</v>
      </c>
      <c r="K423" s="67" t="s">
        <v>797</v>
      </c>
      <c r="L423" s="70"/>
      <c r="M423" s="62"/>
      <c r="N423" s="62"/>
      <c r="O423" s="64"/>
      <c r="P423" s="79" t="s">
        <v>42</v>
      </c>
      <c r="Q423" s="73" t="s">
        <v>43</v>
      </c>
      <c r="R423" s="62"/>
    </row>
    <row r="424" ht="41.4" spans="1:18">
      <c r="A424" s="58">
        <v>401</v>
      </c>
      <c r="B424" s="90">
        <v>45726</v>
      </c>
      <c r="C424" s="64" t="s">
        <v>798</v>
      </c>
      <c r="D424" s="61" t="s">
        <v>60</v>
      </c>
      <c r="E424" s="62" t="s">
        <v>86</v>
      </c>
      <c r="F424" s="62" t="s">
        <v>192</v>
      </c>
      <c r="G424" s="62" t="s">
        <v>131</v>
      </c>
      <c r="H424" s="62" t="s">
        <v>56</v>
      </c>
      <c r="I424" s="78" t="s">
        <v>799</v>
      </c>
      <c r="J424" s="62" t="s">
        <v>137</v>
      </c>
      <c r="K424" s="67" t="s">
        <v>800</v>
      </c>
      <c r="L424" s="70"/>
      <c r="M424" s="62"/>
      <c r="N424" s="62"/>
      <c r="O424" s="64"/>
      <c r="P424" s="79" t="s">
        <v>42</v>
      </c>
      <c r="Q424" s="62" t="s">
        <v>8</v>
      </c>
      <c r="R424" s="62"/>
    </row>
    <row r="425" ht="27.6" spans="1:18">
      <c r="A425" s="58">
        <v>402</v>
      </c>
      <c r="B425" s="90">
        <v>45726</v>
      </c>
      <c r="C425" s="64" t="s">
        <v>798</v>
      </c>
      <c r="D425" s="61" t="s">
        <v>60</v>
      </c>
      <c r="E425" s="62" t="s">
        <v>86</v>
      </c>
      <c r="F425" s="62" t="s">
        <v>50</v>
      </c>
      <c r="G425" s="62" t="s">
        <v>55</v>
      </c>
      <c r="H425" s="62" t="s">
        <v>51</v>
      </c>
      <c r="I425" s="78" t="s">
        <v>801</v>
      </c>
      <c r="J425" s="62" t="s">
        <v>53</v>
      </c>
      <c r="K425" s="67" t="s">
        <v>802</v>
      </c>
      <c r="L425" s="70" t="s">
        <v>803</v>
      </c>
      <c r="M425" s="62" t="s">
        <v>115</v>
      </c>
      <c r="N425" s="62" t="s">
        <v>115</v>
      </c>
      <c r="O425" s="64" t="s">
        <v>804</v>
      </c>
      <c r="P425" s="79">
        <v>45733</v>
      </c>
      <c r="Q425" s="73" t="s">
        <v>43</v>
      </c>
      <c r="R425" s="62"/>
    </row>
    <row r="426" ht="41.4" spans="1:18">
      <c r="A426" s="58">
        <v>403</v>
      </c>
      <c r="B426" s="90">
        <v>45726</v>
      </c>
      <c r="C426" s="64" t="s">
        <v>798</v>
      </c>
      <c r="D426" s="61" t="s">
        <v>60</v>
      </c>
      <c r="E426" s="62" t="s">
        <v>86</v>
      </c>
      <c r="F426" s="62" t="s">
        <v>36</v>
      </c>
      <c r="G426" s="62" t="s">
        <v>588</v>
      </c>
      <c r="H426" s="62" t="s">
        <v>150</v>
      </c>
      <c r="I426" s="78" t="s">
        <v>805</v>
      </c>
      <c r="J426" s="62" t="s">
        <v>88</v>
      </c>
      <c r="K426" s="67" t="s">
        <v>806</v>
      </c>
      <c r="L426" s="70"/>
      <c r="M426" s="62"/>
      <c r="N426" s="62"/>
      <c r="O426" s="64"/>
      <c r="P426" s="79" t="s">
        <v>42</v>
      </c>
      <c r="Q426" s="73" t="s">
        <v>43</v>
      </c>
      <c r="R426" s="62"/>
    </row>
    <row r="427" ht="26.4" spans="1:18">
      <c r="A427" s="58">
        <v>404</v>
      </c>
      <c r="B427" s="90">
        <v>45726</v>
      </c>
      <c r="C427" s="64" t="s">
        <v>614</v>
      </c>
      <c r="D427" s="61" t="s">
        <v>60</v>
      </c>
      <c r="E427" s="62" t="s">
        <v>163</v>
      </c>
      <c r="F427" s="62" t="s">
        <v>50</v>
      </c>
      <c r="G427" s="62" t="s">
        <v>55</v>
      </c>
      <c r="H427" s="62" t="s">
        <v>46</v>
      </c>
      <c r="I427" s="78" t="s">
        <v>807</v>
      </c>
      <c r="J427" s="62" t="s">
        <v>53</v>
      </c>
      <c r="K427" s="67" t="s">
        <v>808</v>
      </c>
      <c r="L427" s="70"/>
      <c r="M427" s="62"/>
      <c r="N427" s="62"/>
      <c r="O427" s="64"/>
      <c r="P427" s="79" t="s">
        <v>42</v>
      </c>
      <c r="Q427" s="73" t="s">
        <v>43</v>
      </c>
      <c r="R427" s="62"/>
    </row>
    <row r="428" ht="26.4" spans="1:18">
      <c r="A428" s="58">
        <v>405</v>
      </c>
      <c r="B428" s="90">
        <v>45726</v>
      </c>
      <c r="C428" s="64" t="s">
        <v>614</v>
      </c>
      <c r="D428" s="61" t="s">
        <v>60</v>
      </c>
      <c r="E428" s="62" t="s">
        <v>163</v>
      </c>
      <c r="F428" s="62" t="s">
        <v>36</v>
      </c>
      <c r="G428" s="62" t="s">
        <v>588</v>
      </c>
      <c r="H428" s="62" t="s">
        <v>150</v>
      </c>
      <c r="I428" s="78" t="s">
        <v>809</v>
      </c>
      <c r="J428" s="62" t="s">
        <v>88</v>
      </c>
      <c r="K428" s="67" t="s">
        <v>810</v>
      </c>
      <c r="L428" s="70"/>
      <c r="M428" s="62"/>
      <c r="N428" s="62"/>
      <c r="O428" s="64"/>
      <c r="P428" s="79" t="s">
        <v>42</v>
      </c>
      <c r="Q428" s="73" t="s">
        <v>43</v>
      </c>
      <c r="R428" s="62"/>
    </row>
    <row r="429" ht="27.6" spans="1:18">
      <c r="A429" s="58">
        <v>406</v>
      </c>
      <c r="B429" s="90">
        <v>45722</v>
      </c>
      <c r="C429" s="64" t="s">
        <v>675</v>
      </c>
      <c r="D429" s="61" t="s">
        <v>60</v>
      </c>
      <c r="E429" s="62" t="s">
        <v>73</v>
      </c>
      <c r="F429" s="62" t="s">
        <v>50</v>
      </c>
      <c r="G429" s="62" t="s">
        <v>65</v>
      </c>
      <c r="H429" s="62" t="s">
        <v>46</v>
      </c>
      <c r="I429" s="78" t="s">
        <v>811</v>
      </c>
      <c r="J429" s="62" t="s">
        <v>91</v>
      </c>
      <c r="K429" s="67" t="s">
        <v>812</v>
      </c>
      <c r="L429" s="70"/>
      <c r="M429" s="62"/>
      <c r="N429" s="62"/>
      <c r="O429" s="64"/>
      <c r="P429" s="79" t="s">
        <v>42</v>
      </c>
      <c r="Q429" s="73" t="s">
        <v>43</v>
      </c>
      <c r="R429" s="62"/>
    </row>
    <row r="430" ht="41.4" spans="1:18">
      <c r="A430" s="58">
        <v>407</v>
      </c>
      <c r="B430" s="90">
        <v>45723</v>
      </c>
      <c r="C430" s="64" t="s">
        <v>675</v>
      </c>
      <c r="D430" s="61" t="s">
        <v>60</v>
      </c>
      <c r="E430" s="62" t="s">
        <v>73</v>
      </c>
      <c r="F430" s="62" t="s">
        <v>192</v>
      </c>
      <c r="G430" s="62" t="s">
        <v>55</v>
      </c>
      <c r="H430" s="62" t="s">
        <v>56</v>
      </c>
      <c r="I430" s="78" t="s">
        <v>813</v>
      </c>
      <c r="J430" s="62" t="s">
        <v>137</v>
      </c>
      <c r="K430" s="67" t="s">
        <v>814</v>
      </c>
      <c r="L430" s="70"/>
      <c r="M430" s="62"/>
      <c r="N430" s="62"/>
      <c r="O430" s="64"/>
      <c r="P430" s="79" t="s">
        <v>42</v>
      </c>
      <c r="Q430" s="62" t="s">
        <v>8</v>
      </c>
      <c r="R430" s="62"/>
    </row>
    <row r="431" ht="82.8" spans="1:18">
      <c r="A431" s="58">
        <v>408</v>
      </c>
      <c r="B431" s="90">
        <v>45724</v>
      </c>
      <c r="C431" s="64" t="s">
        <v>675</v>
      </c>
      <c r="D431" s="61" t="s">
        <v>60</v>
      </c>
      <c r="E431" s="62" t="s">
        <v>73</v>
      </c>
      <c r="F431" s="62" t="s">
        <v>36</v>
      </c>
      <c r="G431" s="62" t="s">
        <v>55</v>
      </c>
      <c r="H431" s="62" t="s">
        <v>38</v>
      </c>
      <c r="I431" s="78" t="s">
        <v>815</v>
      </c>
      <c r="J431" s="62" t="s">
        <v>40</v>
      </c>
      <c r="K431" s="67" t="s">
        <v>816</v>
      </c>
      <c r="L431" s="70"/>
      <c r="M431" s="62"/>
      <c r="N431" s="62"/>
      <c r="O431" s="64"/>
      <c r="P431" s="79" t="s">
        <v>42</v>
      </c>
      <c r="Q431" s="73" t="s">
        <v>43</v>
      </c>
      <c r="R431" s="62"/>
    </row>
    <row r="432" ht="82.8" spans="1:18">
      <c r="A432" s="58">
        <v>409</v>
      </c>
      <c r="B432" s="90">
        <v>45724</v>
      </c>
      <c r="C432" s="64" t="s">
        <v>675</v>
      </c>
      <c r="D432" s="61" t="s">
        <v>60</v>
      </c>
      <c r="E432" s="62" t="s">
        <v>73</v>
      </c>
      <c r="F432" s="62" t="s">
        <v>36</v>
      </c>
      <c r="G432" s="62" t="s">
        <v>37</v>
      </c>
      <c r="H432" s="62" t="s">
        <v>38</v>
      </c>
      <c r="I432" s="78" t="s">
        <v>817</v>
      </c>
      <c r="J432" s="62" t="s">
        <v>40</v>
      </c>
      <c r="K432" s="67" t="s">
        <v>818</v>
      </c>
      <c r="L432" s="70"/>
      <c r="M432" s="62"/>
      <c r="N432" s="62"/>
      <c r="O432" s="64"/>
      <c r="P432" s="79" t="s">
        <v>42</v>
      </c>
      <c r="Q432" s="73" t="s">
        <v>43</v>
      </c>
      <c r="R432" s="62"/>
    </row>
    <row r="433" ht="82.8" spans="1:18">
      <c r="A433" s="58">
        <v>410</v>
      </c>
      <c r="B433" s="90">
        <v>45724</v>
      </c>
      <c r="C433" s="64" t="s">
        <v>675</v>
      </c>
      <c r="D433" s="61" t="s">
        <v>60</v>
      </c>
      <c r="E433" s="62" t="s">
        <v>73</v>
      </c>
      <c r="F433" s="62" t="s">
        <v>36</v>
      </c>
      <c r="G433" s="62" t="s">
        <v>93</v>
      </c>
      <c r="H433" s="62" t="s">
        <v>94</v>
      </c>
      <c r="I433" s="78" t="s">
        <v>819</v>
      </c>
      <c r="J433" s="62" t="s">
        <v>91</v>
      </c>
      <c r="K433" s="67" t="s">
        <v>820</v>
      </c>
      <c r="L433" s="70"/>
      <c r="M433" s="62"/>
      <c r="N433" s="62"/>
      <c r="O433" s="64"/>
      <c r="P433" s="79" t="s">
        <v>42</v>
      </c>
      <c r="Q433" s="73" t="s">
        <v>43</v>
      </c>
      <c r="R433" s="62"/>
    </row>
    <row r="434" ht="55.2" spans="1:18">
      <c r="A434" s="58">
        <v>411</v>
      </c>
      <c r="B434" s="90">
        <v>45725</v>
      </c>
      <c r="C434" s="64" t="s">
        <v>675</v>
      </c>
      <c r="D434" s="61" t="s">
        <v>60</v>
      </c>
      <c r="E434" s="62" t="s">
        <v>73</v>
      </c>
      <c r="F434" s="62" t="s">
        <v>50</v>
      </c>
      <c r="G434" s="62" t="s">
        <v>37</v>
      </c>
      <c r="H434" s="62" t="s">
        <v>46</v>
      </c>
      <c r="I434" s="78" t="s">
        <v>821</v>
      </c>
      <c r="J434" s="62" t="s">
        <v>91</v>
      </c>
      <c r="K434" s="67" t="s">
        <v>822</v>
      </c>
      <c r="L434" s="70"/>
      <c r="M434" s="62"/>
      <c r="N434" s="62"/>
      <c r="O434" s="64"/>
      <c r="P434" s="79" t="s">
        <v>42</v>
      </c>
      <c r="Q434" s="73" t="s">
        <v>43</v>
      </c>
      <c r="R434" s="62"/>
    </row>
    <row r="435" ht="26.4" spans="1:18">
      <c r="A435" s="58">
        <v>412</v>
      </c>
      <c r="B435" s="90">
        <v>45725</v>
      </c>
      <c r="C435" s="64" t="s">
        <v>675</v>
      </c>
      <c r="D435" s="61" t="s">
        <v>60</v>
      </c>
      <c r="E435" s="62" t="s">
        <v>73</v>
      </c>
      <c r="F435" s="62" t="s">
        <v>135</v>
      </c>
      <c r="G435" s="62" t="s">
        <v>55</v>
      </c>
      <c r="H435" s="62" t="s">
        <v>94</v>
      </c>
      <c r="I435" s="78" t="s">
        <v>823</v>
      </c>
      <c r="J435" s="62" t="s">
        <v>137</v>
      </c>
      <c r="K435" s="67"/>
      <c r="L435" s="70"/>
      <c r="M435" s="62"/>
      <c r="N435" s="62"/>
      <c r="O435" s="64"/>
      <c r="P435" s="79" t="s">
        <v>42</v>
      </c>
      <c r="Q435" s="62" t="s">
        <v>8</v>
      </c>
      <c r="R435" s="62"/>
    </row>
    <row r="436" ht="27.6" spans="1:18">
      <c r="A436" s="58">
        <v>413</v>
      </c>
      <c r="B436" s="90">
        <v>45726</v>
      </c>
      <c r="C436" s="60" t="s">
        <v>100</v>
      </c>
      <c r="D436" s="61" t="s">
        <v>60</v>
      </c>
      <c r="E436" s="62" t="s">
        <v>101</v>
      </c>
      <c r="F436" s="62" t="s">
        <v>50</v>
      </c>
      <c r="G436" s="62" t="s">
        <v>588</v>
      </c>
      <c r="H436" s="62" t="s">
        <v>622</v>
      </c>
      <c r="I436" s="78" t="s">
        <v>824</v>
      </c>
      <c r="J436" s="62" t="s">
        <v>88</v>
      </c>
      <c r="K436" s="67" t="s">
        <v>825</v>
      </c>
      <c r="L436" s="70" t="s">
        <v>826</v>
      </c>
      <c r="M436" s="62" t="s">
        <v>115</v>
      </c>
      <c r="N436" s="62" t="s">
        <v>115</v>
      </c>
      <c r="O436" s="64" t="s">
        <v>116</v>
      </c>
      <c r="P436" s="79">
        <v>45733</v>
      </c>
      <c r="Q436" s="73" t="s">
        <v>43</v>
      </c>
      <c r="R436" s="62"/>
    </row>
    <row r="437" ht="52.8" spans="1:18">
      <c r="A437" s="58">
        <v>414</v>
      </c>
      <c r="B437" s="90">
        <v>45726</v>
      </c>
      <c r="C437" s="60" t="s">
        <v>100</v>
      </c>
      <c r="D437" s="61" t="s">
        <v>60</v>
      </c>
      <c r="E437" s="62" t="s">
        <v>101</v>
      </c>
      <c r="F437" s="62" t="s">
        <v>36</v>
      </c>
      <c r="G437" s="62" t="s">
        <v>65</v>
      </c>
      <c r="H437" s="62" t="s">
        <v>46</v>
      </c>
      <c r="I437" s="78" t="s">
        <v>827</v>
      </c>
      <c r="J437" s="62" t="s">
        <v>88</v>
      </c>
      <c r="K437" s="67" t="s">
        <v>828</v>
      </c>
      <c r="L437" s="70" t="s">
        <v>829</v>
      </c>
      <c r="M437" s="62" t="s">
        <v>115</v>
      </c>
      <c r="N437" s="62" t="s">
        <v>115</v>
      </c>
      <c r="O437" s="64" t="s">
        <v>116</v>
      </c>
      <c r="P437" s="79">
        <v>45733</v>
      </c>
      <c r="Q437" s="73" t="s">
        <v>43</v>
      </c>
      <c r="R437" s="62"/>
    </row>
    <row r="438" ht="26.4" spans="1:18">
      <c r="A438" s="58">
        <v>415</v>
      </c>
      <c r="B438" s="90">
        <v>45724</v>
      </c>
      <c r="C438" s="64" t="s">
        <v>830</v>
      </c>
      <c r="D438" s="61" t="s">
        <v>60</v>
      </c>
      <c r="E438" s="62" t="s">
        <v>163</v>
      </c>
      <c r="F438" s="62" t="s">
        <v>36</v>
      </c>
      <c r="G438" s="62" t="s">
        <v>55</v>
      </c>
      <c r="H438" s="62" t="s">
        <v>94</v>
      </c>
      <c r="I438" s="78" t="s">
        <v>831</v>
      </c>
      <c r="J438" s="62" t="s">
        <v>40</v>
      </c>
      <c r="K438" s="67" t="s">
        <v>832</v>
      </c>
      <c r="L438" s="70"/>
      <c r="M438" s="62"/>
      <c r="N438" s="62"/>
      <c r="O438" s="64"/>
      <c r="P438" s="79" t="s">
        <v>42</v>
      </c>
      <c r="Q438" s="73" t="s">
        <v>43</v>
      </c>
      <c r="R438" s="62"/>
    </row>
    <row r="439" ht="26.4" spans="1:18">
      <c r="A439" s="58">
        <v>416</v>
      </c>
      <c r="B439" s="90">
        <v>45724</v>
      </c>
      <c r="C439" s="64" t="s">
        <v>830</v>
      </c>
      <c r="D439" s="61" t="s">
        <v>60</v>
      </c>
      <c r="E439" s="62" t="s">
        <v>163</v>
      </c>
      <c r="F439" s="62" t="s">
        <v>36</v>
      </c>
      <c r="G439" s="62" t="s">
        <v>55</v>
      </c>
      <c r="H439" s="62" t="s">
        <v>94</v>
      </c>
      <c r="I439" s="78" t="s">
        <v>833</v>
      </c>
      <c r="J439" s="62" t="s">
        <v>40</v>
      </c>
      <c r="K439" s="67" t="s">
        <v>832</v>
      </c>
      <c r="L439" s="70"/>
      <c r="M439" s="62"/>
      <c r="N439" s="62"/>
      <c r="O439" s="64"/>
      <c r="P439" s="79" t="s">
        <v>42</v>
      </c>
      <c r="Q439" s="73" t="s">
        <v>43</v>
      </c>
      <c r="R439" s="62"/>
    </row>
    <row r="440" ht="26.4" spans="1:18">
      <c r="A440" s="58">
        <v>417</v>
      </c>
      <c r="B440" s="90">
        <v>45726</v>
      </c>
      <c r="C440" s="64" t="s">
        <v>121</v>
      </c>
      <c r="D440" s="61" t="s">
        <v>60</v>
      </c>
      <c r="E440" s="62" t="s">
        <v>73</v>
      </c>
      <c r="F440" s="62" t="s">
        <v>135</v>
      </c>
      <c r="G440" s="62" t="s">
        <v>45</v>
      </c>
      <c r="H440" s="62" t="s">
        <v>46</v>
      </c>
      <c r="I440" s="78" t="s">
        <v>834</v>
      </c>
      <c r="J440" s="62" t="s">
        <v>137</v>
      </c>
      <c r="K440" s="67"/>
      <c r="L440" s="70"/>
      <c r="M440" s="62"/>
      <c r="N440" s="62"/>
      <c r="O440" s="64"/>
      <c r="P440" s="79" t="s">
        <v>42</v>
      </c>
      <c r="Q440" s="62" t="s">
        <v>8</v>
      </c>
      <c r="R440" s="62"/>
    </row>
    <row r="441" ht="26.4" spans="1:18">
      <c r="A441" s="58">
        <v>418</v>
      </c>
      <c r="B441" s="90">
        <v>45726</v>
      </c>
      <c r="C441" s="60" t="s">
        <v>121</v>
      </c>
      <c r="D441" s="61" t="s">
        <v>60</v>
      </c>
      <c r="E441" s="62" t="s">
        <v>73</v>
      </c>
      <c r="F441" s="62" t="s">
        <v>135</v>
      </c>
      <c r="G441" s="62" t="s">
        <v>37</v>
      </c>
      <c r="H441" s="62" t="s">
        <v>66</v>
      </c>
      <c r="I441" s="78" t="s">
        <v>835</v>
      </c>
      <c r="J441" s="62" t="s">
        <v>137</v>
      </c>
      <c r="K441" s="67"/>
      <c r="L441" s="70"/>
      <c r="M441" s="62"/>
      <c r="N441" s="62"/>
      <c r="O441" s="64"/>
      <c r="P441" s="79" t="s">
        <v>42</v>
      </c>
      <c r="Q441" s="62" t="s">
        <v>8</v>
      </c>
      <c r="R441" s="62"/>
    </row>
    <row r="442" ht="27.6" spans="1:18">
      <c r="A442" s="58">
        <v>419</v>
      </c>
      <c r="B442" s="90">
        <v>45726</v>
      </c>
      <c r="C442" s="60" t="s">
        <v>121</v>
      </c>
      <c r="D442" s="61" t="s">
        <v>60</v>
      </c>
      <c r="E442" s="62" t="s">
        <v>73</v>
      </c>
      <c r="F442" s="62" t="s">
        <v>50</v>
      </c>
      <c r="G442" s="62" t="s">
        <v>37</v>
      </c>
      <c r="H442" s="62" t="s">
        <v>622</v>
      </c>
      <c r="I442" s="78" t="s">
        <v>836</v>
      </c>
      <c r="J442" s="62" t="s">
        <v>53</v>
      </c>
      <c r="K442" s="67" t="s">
        <v>837</v>
      </c>
      <c r="L442" s="70"/>
      <c r="M442" s="62"/>
      <c r="N442" s="62"/>
      <c r="O442" s="64"/>
      <c r="P442" s="79" t="s">
        <v>42</v>
      </c>
      <c r="Q442" s="73" t="s">
        <v>43</v>
      </c>
      <c r="R442" s="62"/>
    </row>
    <row r="443" ht="41.4" spans="1:18">
      <c r="A443" s="58">
        <v>420</v>
      </c>
      <c r="B443" s="90">
        <v>45725</v>
      </c>
      <c r="C443" s="69" t="s">
        <v>121</v>
      </c>
      <c r="D443" s="61" t="s">
        <v>60</v>
      </c>
      <c r="E443" s="62" t="s">
        <v>73</v>
      </c>
      <c r="F443" s="62" t="s">
        <v>36</v>
      </c>
      <c r="G443" s="62" t="s">
        <v>588</v>
      </c>
      <c r="H443" s="62" t="s">
        <v>51</v>
      </c>
      <c r="I443" s="78" t="s">
        <v>838</v>
      </c>
      <c r="J443" s="62" t="s">
        <v>40</v>
      </c>
      <c r="K443" s="67" t="s">
        <v>839</v>
      </c>
      <c r="L443" s="70"/>
      <c r="M443" s="62"/>
      <c r="N443" s="62"/>
      <c r="O443" s="64"/>
      <c r="P443" s="79" t="s">
        <v>42</v>
      </c>
      <c r="Q443" s="73" t="s">
        <v>43</v>
      </c>
      <c r="R443" s="62"/>
    </row>
    <row r="444" ht="41.4" spans="1:18">
      <c r="A444" s="58">
        <v>421</v>
      </c>
      <c r="B444" s="90">
        <v>45726</v>
      </c>
      <c r="C444" s="69" t="s">
        <v>121</v>
      </c>
      <c r="D444" s="61" t="s">
        <v>60</v>
      </c>
      <c r="E444" s="62" t="s">
        <v>73</v>
      </c>
      <c r="F444" s="62" t="s">
        <v>36</v>
      </c>
      <c r="G444" s="62" t="s">
        <v>37</v>
      </c>
      <c r="H444" s="62" t="s">
        <v>56</v>
      </c>
      <c r="I444" s="78" t="s">
        <v>840</v>
      </c>
      <c r="J444" s="62" t="s">
        <v>40</v>
      </c>
      <c r="K444" s="67" t="s">
        <v>841</v>
      </c>
      <c r="L444" s="70"/>
      <c r="M444" s="62"/>
      <c r="N444" s="62"/>
      <c r="O444" s="64"/>
      <c r="P444" s="79" t="s">
        <v>42</v>
      </c>
      <c r="Q444" s="73" t="s">
        <v>43</v>
      </c>
      <c r="R444" s="62"/>
    </row>
    <row r="445" ht="26.4" spans="1:18">
      <c r="A445" s="58">
        <v>422</v>
      </c>
      <c r="B445" s="90">
        <v>45718</v>
      </c>
      <c r="C445" s="69" t="s">
        <v>614</v>
      </c>
      <c r="D445" s="61" t="s">
        <v>60</v>
      </c>
      <c r="E445" s="62" t="s">
        <v>163</v>
      </c>
      <c r="F445" s="62" t="s">
        <v>36</v>
      </c>
      <c r="G445" s="62" t="s">
        <v>55</v>
      </c>
      <c r="H445" s="62" t="s">
        <v>150</v>
      </c>
      <c r="I445" s="78" t="s">
        <v>796</v>
      </c>
      <c r="J445" s="62" t="s">
        <v>40</v>
      </c>
      <c r="K445" s="67" t="s">
        <v>797</v>
      </c>
      <c r="L445" s="70"/>
      <c r="M445" s="62"/>
      <c r="N445" s="62"/>
      <c r="O445" s="64"/>
      <c r="P445" s="79" t="s">
        <v>42</v>
      </c>
      <c r="Q445" s="73" t="s">
        <v>43</v>
      </c>
      <c r="R445" s="62"/>
    </row>
    <row r="446" ht="26.4" spans="1:18">
      <c r="A446" s="58">
        <v>423</v>
      </c>
      <c r="B446" s="90">
        <v>45715</v>
      </c>
      <c r="C446" s="64" t="s">
        <v>842</v>
      </c>
      <c r="D446" s="61" t="s">
        <v>60</v>
      </c>
      <c r="E446" s="62" t="s">
        <v>73</v>
      </c>
      <c r="F446" s="62" t="s">
        <v>36</v>
      </c>
      <c r="G446" s="62" t="s">
        <v>55</v>
      </c>
      <c r="H446" s="62" t="s">
        <v>132</v>
      </c>
      <c r="I446" s="78" t="s">
        <v>843</v>
      </c>
      <c r="J446" s="62" t="s">
        <v>88</v>
      </c>
      <c r="K446" s="67" t="s">
        <v>844</v>
      </c>
      <c r="L446" s="70" t="s">
        <v>845</v>
      </c>
      <c r="M446" s="62" t="s">
        <v>115</v>
      </c>
      <c r="N446" s="62" t="s">
        <v>582</v>
      </c>
      <c r="O446" s="64" t="s">
        <v>846</v>
      </c>
      <c r="P446" s="79">
        <v>45718</v>
      </c>
      <c r="Q446" s="73" t="s">
        <v>43</v>
      </c>
      <c r="R446" s="62"/>
    </row>
    <row r="447" ht="27.6" spans="1:18">
      <c r="A447" s="58">
        <v>424</v>
      </c>
      <c r="B447" s="90">
        <v>45715</v>
      </c>
      <c r="C447" s="64" t="s">
        <v>842</v>
      </c>
      <c r="D447" s="61" t="s">
        <v>60</v>
      </c>
      <c r="E447" s="62" t="s">
        <v>73</v>
      </c>
      <c r="F447" s="62" t="s">
        <v>36</v>
      </c>
      <c r="G447" s="62" t="s">
        <v>55</v>
      </c>
      <c r="H447" s="62" t="s">
        <v>94</v>
      </c>
      <c r="I447" s="78" t="s">
        <v>847</v>
      </c>
      <c r="J447" s="62" t="s">
        <v>40</v>
      </c>
      <c r="K447" s="67" t="s">
        <v>848</v>
      </c>
      <c r="L447" s="70"/>
      <c r="M447" s="62"/>
      <c r="N447" s="62"/>
      <c r="O447" s="64"/>
      <c r="P447" s="79" t="s">
        <v>42</v>
      </c>
      <c r="Q447" s="73" t="s">
        <v>43</v>
      </c>
      <c r="R447" s="62"/>
    </row>
    <row r="448" ht="52.8" spans="1:18">
      <c r="A448" s="58">
        <v>425</v>
      </c>
      <c r="B448" s="90">
        <v>45660</v>
      </c>
      <c r="C448" s="64" t="s">
        <v>842</v>
      </c>
      <c r="D448" s="61" t="s">
        <v>60</v>
      </c>
      <c r="E448" s="62" t="s">
        <v>73</v>
      </c>
      <c r="F448" s="62" t="s">
        <v>36</v>
      </c>
      <c r="G448" s="62" t="s">
        <v>65</v>
      </c>
      <c r="H448" s="62" t="s">
        <v>150</v>
      </c>
      <c r="I448" s="78" t="s">
        <v>849</v>
      </c>
      <c r="J448" s="62" t="s">
        <v>40</v>
      </c>
      <c r="K448" s="67" t="s">
        <v>850</v>
      </c>
      <c r="L448" s="70" t="s">
        <v>851</v>
      </c>
      <c r="M448" s="62" t="s">
        <v>115</v>
      </c>
      <c r="N448" s="62" t="s">
        <v>582</v>
      </c>
      <c r="O448" s="64" t="s">
        <v>846</v>
      </c>
      <c r="P448" s="79">
        <v>45663</v>
      </c>
      <c r="Q448" s="73" t="s">
        <v>43</v>
      </c>
      <c r="R448" s="62"/>
    </row>
    <row r="449" ht="27.6" spans="1:18">
      <c r="A449" s="58">
        <v>426</v>
      </c>
      <c r="B449" s="90">
        <v>45660</v>
      </c>
      <c r="C449" s="64" t="s">
        <v>842</v>
      </c>
      <c r="D449" s="61" t="s">
        <v>60</v>
      </c>
      <c r="E449" s="62" t="s">
        <v>73</v>
      </c>
      <c r="F449" s="62" t="s">
        <v>36</v>
      </c>
      <c r="G449" s="62" t="s">
        <v>93</v>
      </c>
      <c r="H449" s="62" t="s">
        <v>56</v>
      </c>
      <c r="I449" s="78" t="s">
        <v>852</v>
      </c>
      <c r="J449" s="62" t="s">
        <v>88</v>
      </c>
      <c r="K449" s="67" t="s">
        <v>853</v>
      </c>
      <c r="L449" s="70" t="s">
        <v>854</v>
      </c>
      <c r="M449" s="62" t="s">
        <v>115</v>
      </c>
      <c r="N449" s="62" t="s">
        <v>115</v>
      </c>
      <c r="O449" s="64" t="s">
        <v>846</v>
      </c>
      <c r="P449" s="79">
        <v>45667</v>
      </c>
      <c r="Q449" s="73" t="s">
        <v>43</v>
      </c>
      <c r="R449" s="62"/>
    </row>
    <row r="450" ht="39.6" spans="1:18">
      <c r="A450" s="58">
        <v>427</v>
      </c>
      <c r="B450" s="90">
        <v>45719</v>
      </c>
      <c r="C450" s="64" t="s">
        <v>85</v>
      </c>
      <c r="D450" s="61" t="s">
        <v>60</v>
      </c>
      <c r="E450" s="62" t="s">
        <v>86</v>
      </c>
      <c r="F450" s="62" t="s">
        <v>36</v>
      </c>
      <c r="G450" s="62" t="s">
        <v>37</v>
      </c>
      <c r="H450" s="62" t="s">
        <v>132</v>
      </c>
      <c r="I450" s="78" t="s">
        <v>855</v>
      </c>
      <c r="J450" s="62" t="s">
        <v>88</v>
      </c>
      <c r="K450" s="67" t="s">
        <v>856</v>
      </c>
      <c r="L450" s="70" t="s">
        <v>857</v>
      </c>
      <c r="M450" s="62" t="s">
        <v>115</v>
      </c>
      <c r="N450" s="62" t="s">
        <v>115</v>
      </c>
      <c r="O450" s="64" t="s">
        <v>846</v>
      </c>
      <c r="P450" s="79">
        <v>45726</v>
      </c>
      <c r="Q450" s="73" t="s">
        <v>43</v>
      </c>
      <c r="R450" s="62"/>
    </row>
    <row r="451" ht="27.6" spans="1:18">
      <c r="A451" s="58">
        <v>428</v>
      </c>
      <c r="B451" s="90">
        <v>45720</v>
      </c>
      <c r="C451" s="64" t="s">
        <v>85</v>
      </c>
      <c r="D451" s="61" t="s">
        <v>60</v>
      </c>
      <c r="E451" s="62" t="s">
        <v>86</v>
      </c>
      <c r="F451" s="62" t="s">
        <v>36</v>
      </c>
      <c r="G451" s="62" t="s">
        <v>93</v>
      </c>
      <c r="H451" s="62" t="s">
        <v>51</v>
      </c>
      <c r="I451" s="78" t="s">
        <v>686</v>
      </c>
      <c r="J451" s="62" t="s">
        <v>88</v>
      </c>
      <c r="K451" s="67" t="s">
        <v>858</v>
      </c>
      <c r="L451" s="70" t="s">
        <v>859</v>
      </c>
      <c r="M451" s="62" t="s">
        <v>115</v>
      </c>
      <c r="N451" s="62" t="s">
        <v>115</v>
      </c>
      <c r="O451" s="64" t="s">
        <v>846</v>
      </c>
      <c r="P451" s="79">
        <v>45727</v>
      </c>
      <c r="Q451" s="62" t="s">
        <v>43</v>
      </c>
      <c r="R451" s="62"/>
    </row>
    <row r="452" ht="41.4" spans="1:18">
      <c r="A452" s="58">
        <v>429</v>
      </c>
      <c r="B452" s="90">
        <v>45721</v>
      </c>
      <c r="C452" s="64" t="s">
        <v>85</v>
      </c>
      <c r="D452" s="61" t="s">
        <v>60</v>
      </c>
      <c r="E452" s="62" t="s">
        <v>86</v>
      </c>
      <c r="F452" s="62" t="s">
        <v>36</v>
      </c>
      <c r="G452" s="62" t="s">
        <v>131</v>
      </c>
      <c r="H452" s="62" t="s">
        <v>56</v>
      </c>
      <c r="I452" s="78" t="s">
        <v>106</v>
      </c>
      <c r="J452" s="62" t="s">
        <v>88</v>
      </c>
      <c r="K452" s="67" t="s">
        <v>860</v>
      </c>
      <c r="L452" s="70" t="s">
        <v>692</v>
      </c>
      <c r="M452" s="62" t="s">
        <v>115</v>
      </c>
      <c r="N452" s="62" t="s">
        <v>663</v>
      </c>
      <c r="O452" s="64" t="s">
        <v>846</v>
      </c>
      <c r="P452" s="79">
        <v>45736</v>
      </c>
      <c r="Q452" s="73" t="s">
        <v>43</v>
      </c>
      <c r="R452" s="62"/>
    </row>
    <row r="453" ht="41.4" spans="1:18">
      <c r="A453" s="58">
        <v>430</v>
      </c>
      <c r="B453" s="90">
        <v>45720</v>
      </c>
      <c r="C453" s="64" t="s">
        <v>614</v>
      </c>
      <c r="D453" s="61" t="s">
        <v>60</v>
      </c>
      <c r="E453" s="62" t="s">
        <v>861</v>
      </c>
      <c r="F453" s="62" t="s">
        <v>50</v>
      </c>
      <c r="G453" s="62" t="s">
        <v>55</v>
      </c>
      <c r="H453" s="62" t="s">
        <v>66</v>
      </c>
      <c r="I453" s="78" t="s">
        <v>862</v>
      </c>
      <c r="J453" s="62" t="s">
        <v>40</v>
      </c>
      <c r="K453" s="67" t="s">
        <v>863</v>
      </c>
      <c r="L453" s="70" t="s">
        <v>864</v>
      </c>
      <c r="M453" s="62" t="s">
        <v>115</v>
      </c>
      <c r="N453" s="62" t="s">
        <v>115</v>
      </c>
      <c r="O453" s="64" t="s">
        <v>116</v>
      </c>
      <c r="P453" s="79">
        <v>45727</v>
      </c>
      <c r="Q453" s="73" t="s">
        <v>43</v>
      </c>
      <c r="R453" s="62"/>
    </row>
    <row r="454" ht="27.6" spans="1:18">
      <c r="A454" s="58">
        <v>431</v>
      </c>
      <c r="B454" s="90">
        <v>45719</v>
      </c>
      <c r="C454" s="64" t="s">
        <v>620</v>
      </c>
      <c r="D454" s="61" t="s">
        <v>60</v>
      </c>
      <c r="E454" s="62" t="s">
        <v>621</v>
      </c>
      <c r="F454" s="62" t="s">
        <v>50</v>
      </c>
      <c r="G454" s="62" t="s">
        <v>79</v>
      </c>
      <c r="H454" s="62" t="s">
        <v>51</v>
      </c>
      <c r="I454" s="78" t="s">
        <v>865</v>
      </c>
      <c r="J454" s="62" t="s">
        <v>40</v>
      </c>
      <c r="K454" s="67" t="s">
        <v>866</v>
      </c>
      <c r="L454" s="70"/>
      <c r="M454" s="62"/>
      <c r="N454" s="62"/>
      <c r="O454" s="64"/>
      <c r="P454" s="79" t="s">
        <v>42</v>
      </c>
      <c r="Q454" s="62" t="s">
        <v>43</v>
      </c>
      <c r="R454" s="62"/>
    </row>
    <row r="455" ht="41.4" spans="1:18">
      <c r="A455" s="58">
        <v>432</v>
      </c>
      <c r="B455" s="90">
        <v>45720</v>
      </c>
      <c r="C455" s="64" t="s">
        <v>620</v>
      </c>
      <c r="D455" s="61" t="s">
        <v>60</v>
      </c>
      <c r="E455" s="62" t="s">
        <v>621</v>
      </c>
      <c r="F455" s="62" t="s">
        <v>50</v>
      </c>
      <c r="G455" s="62" t="s">
        <v>79</v>
      </c>
      <c r="H455" s="62" t="s">
        <v>51</v>
      </c>
      <c r="I455" s="78" t="s">
        <v>867</v>
      </c>
      <c r="J455" s="62" t="s">
        <v>40</v>
      </c>
      <c r="K455" s="67" t="s">
        <v>868</v>
      </c>
      <c r="L455" s="70"/>
      <c r="M455" s="62"/>
      <c r="N455" s="62"/>
      <c r="O455" s="64"/>
      <c r="P455" s="79" t="s">
        <v>42</v>
      </c>
      <c r="Q455" s="62" t="s">
        <v>43</v>
      </c>
      <c r="R455" s="62"/>
    </row>
    <row r="456" ht="26.4" spans="1:18">
      <c r="A456" s="58">
        <v>433</v>
      </c>
      <c r="B456" s="75">
        <v>45720</v>
      </c>
      <c r="C456" s="64" t="s">
        <v>620</v>
      </c>
      <c r="D456" s="61" t="s">
        <v>60</v>
      </c>
      <c r="E456" s="62" t="s">
        <v>621</v>
      </c>
      <c r="F456" s="62" t="s">
        <v>50</v>
      </c>
      <c r="G456" s="62" t="s">
        <v>79</v>
      </c>
      <c r="H456" s="62" t="s">
        <v>51</v>
      </c>
      <c r="I456" s="78" t="s">
        <v>869</v>
      </c>
      <c r="J456" s="62" t="s">
        <v>40</v>
      </c>
      <c r="K456" s="67" t="s">
        <v>870</v>
      </c>
      <c r="L456" s="70"/>
      <c r="M456" s="62"/>
      <c r="N456" s="62"/>
      <c r="O456" s="64"/>
      <c r="P456" s="79" t="s">
        <v>42</v>
      </c>
      <c r="Q456" s="62" t="s">
        <v>43</v>
      </c>
      <c r="R456" s="62"/>
    </row>
    <row r="457" ht="26.4" spans="1:18">
      <c r="A457" s="58">
        <v>434</v>
      </c>
      <c r="B457" s="75">
        <v>45718</v>
      </c>
      <c r="C457" s="64" t="s">
        <v>675</v>
      </c>
      <c r="D457" s="61" t="s">
        <v>60</v>
      </c>
      <c r="E457" s="62" t="s">
        <v>73</v>
      </c>
      <c r="F457" s="62" t="s">
        <v>36</v>
      </c>
      <c r="G457" s="62" t="s">
        <v>37</v>
      </c>
      <c r="H457" s="62" t="s">
        <v>38</v>
      </c>
      <c r="I457" s="78" t="s">
        <v>871</v>
      </c>
      <c r="J457" s="62" t="s">
        <v>40</v>
      </c>
      <c r="K457" s="67" t="s">
        <v>872</v>
      </c>
      <c r="L457" s="70"/>
      <c r="M457" s="62"/>
      <c r="N457" s="62"/>
      <c r="O457" s="64"/>
      <c r="P457" s="79" t="s">
        <v>42</v>
      </c>
      <c r="Q457" s="73" t="s">
        <v>43</v>
      </c>
      <c r="R457" s="62"/>
    </row>
    <row r="458" ht="27.6" spans="1:18">
      <c r="A458" s="58">
        <v>435</v>
      </c>
      <c r="B458" s="75">
        <v>45718</v>
      </c>
      <c r="C458" s="64" t="s">
        <v>675</v>
      </c>
      <c r="D458" s="61" t="s">
        <v>60</v>
      </c>
      <c r="E458" s="62" t="s">
        <v>73</v>
      </c>
      <c r="F458" s="65" t="s">
        <v>50</v>
      </c>
      <c r="G458" s="65" t="s">
        <v>131</v>
      </c>
      <c r="H458" s="65" t="s">
        <v>46</v>
      </c>
      <c r="I458" s="80" t="s">
        <v>873</v>
      </c>
      <c r="J458" s="65" t="s">
        <v>40</v>
      </c>
      <c r="K458" s="67" t="s">
        <v>874</v>
      </c>
      <c r="L458" s="87"/>
      <c r="M458" s="62"/>
      <c r="N458" s="62"/>
      <c r="O458" s="81"/>
      <c r="P458" s="79" t="s">
        <v>42</v>
      </c>
      <c r="Q458" s="73" t="s">
        <v>43</v>
      </c>
      <c r="R458" s="65"/>
    </row>
    <row r="459" ht="27.6" spans="1:18">
      <c r="A459" s="58">
        <v>436</v>
      </c>
      <c r="B459" s="90">
        <v>45719</v>
      </c>
      <c r="C459" s="69" t="s">
        <v>675</v>
      </c>
      <c r="D459" s="61" t="s">
        <v>60</v>
      </c>
      <c r="E459" s="62" t="s">
        <v>73</v>
      </c>
      <c r="F459" s="62" t="s">
        <v>135</v>
      </c>
      <c r="G459" s="62" t="s">
        <v>588</v>
      </c>
      <c r="H459" s="62" t="s">
        <v>56</v>
      </c>
      <c r="I459" s="78" t="s">
        <v>875</v>
      </c>
      <c r="J459" s="62" t="s">
        <v>137</v>
      </c>
      <c r="K459" s="67" t="s">
        <v>876</v>
      </c>
      <c r="L459" s="70"/>
      <c r="M459" s="62"/>
      <c r="N459" s="62"/>
      <c r="O459" s="64"/>
      <c r="P459" s="79" t="s">
        <v>42</v>
      </c>
      <c r="Q459" s="62" t="s">
        <v>8</v>
      </c>
      <c r="R459" s="62"/>
    </row>
    <row r="460" ht="55.2" spans="1:18">
      <c r="A460" s="58">
        <v>437</v>
      </c>
      <c r="B460" s="90">
        <v>45720</v>
      </c>
      <c r="C460" s="69" t="s">
        <v>675</v>
      </c>
      <c r="D460" s="61" t="s">
        <v>60</v>
      </c>
      <c r="E460" s="62" t="s">
        <v>73</v>
      </c>
      <c r="F460" s="62" t="s">
        <v>36</v>
      </c>
      <c r="G460" s="62" t="s">
        <v>588</v>
      </c>
      <c r="H460" s="62" t="s">
        <v>51</v>
      </c>
      <c r="I460" s="78" t="s">
        <v>877</v>
      </c>
      <c r="J460" s="62" t="s">
        <v>88</v>
      </c>
      <c r="K460" s="67" t="s">
        <v>878</v>
      </c>
      <c r="L460" s="70"/>
      <c r="M460" s="62"/>
      <c r="N460" s="62"/>
      <c r="O460" s="64"/>
      <c r="P460" s="79" t="s">
        <v>42</v>
      </c>
      <c r="Q460" s="73" t="s">
        <v>43</v>
      </c>
      <c r="R460" s="62"/>
    </row>
    <row r="461" ht="27.6" spans="1:18">
      <c r="A461" s="58">
        <v>438</v>
      </c>
      <c r="B461" s="90">
        <v>45720</v>
      </c>
      <c r="C461" s="64" t="s">
        <v>675</v>
      </c>
      <c r="D461" s="61" t="s">
        <v>60</v>
      </c>
      <c r="E461" s="62" t="s">
        <v>73</v>
      </c>
      <c r="F461" s="62" t="s">
        <v>36</v>
      </c>
      <c r="G461" s="62" t="s">
        <v>65</v>
      </c>
      <c r="H461" s="62" t="s">
        <v>46</v>
      </c>
      <c r="I461" s="78" t="s">
        <v>879</v>
      </c>
      <c r="J461" s="62" t="s">
        <v>40</v>
      </c>
      <c r="K461" s="67" t="s">
        <v>880</v>
      </c>
      <c r="L461" s="70"/>
      <c r="M461" s="62"/>
      <c r="N461" s="62"/>
      <c r="O461" s="64"/>
      <c r="P461" s="79" t="s">
        <v>42</v>
      </c>
      <c r="Q461" s="73" t="s">
        <v>43</v>
      </c>
      <c r="R461" s="62"/>
    </row>
    <row r="462" ht="13.8" spans="1:18">
      <c r="A462" s="58">
        <v>439</v>
      </c>
      <c r="B462" s="90">
        <v>45721</v>
      </c>
      <c r="C462" s="64" t="s">
        <v>675</v>
      </c>
      <c r="D462" s="61" t="s">
        <v>60</v>
      </c>
      <c r="E462" s="62" t="s">
        <v>73</v>
      </c>
      <c r="F462" s="62" t="s">
        <v>36</v>
      </c>
      <c r="G462" s="62" t="s">
        <v>37</v>
      </c>
      <c r="H462" s="62" t="s">
        <v>56</v>
      </c>
      <c r="I462" s="78" t="s">
        <v>881</v>
      </c>
      <c r="J462" s="62" t="s">
        <v>88</v>
      </c>
      <c r="K462" s="67" t="s">
        <v>882</v>
      </c>
      <c r="L462" s="70"/>
      <c r="M462" s="62"/>
      <c r="N462" s="62"/>
      <c r="O462" s="64"/>
      <c r="P462" s="79" t="s">
        <v>42</v>
      </c>
      <c r="Q462" s="73" t="s">
        <v>43</v>
      </c>
      <c r="R462" s="62"/>
    </row>
    <row r="463" ht="27.6" spans="1:18">
      <c r="A463" s="58">
        <v>440</v>
      </c>
      <c r="B463" s="90">
        <v>45722</v>
      </c>
      <c r="C463" s="64" t="s">
        <v>675</v>
      </c>
      <c r="D463" s="61" t="s">
        <v>60</v>
      </c>
      <c r="E463" s="62" t="s">
        <v>73</v>
      </c>
      <c r="F463" s="62" t="s">
        <v>36</v>
      </c>
      <c r="G463" s="62" t="s">
        <v>55</v>
      </c>
      <c r="H463" s="62" t="s">
        <v>38</v>
      </c>
      <c r="I463" s="78" t="s">
        <v>883</v>
      </c>
      <c r="J463" s="62" t="s">
        <v>88</v>
      </c>
      <c r="K463" s="67" t="s">
        <v>884</v>
      </c>
      <c r="L463" s="70"/>
      <c r="M463" s="62"/>
      <c r="N463" s="62"/>
      <c r="O463" s="64"/>
      <c r="P463" s="79" t="s">
        <v>42</v>
      </c>
      <c r="Q463" s="73" t="s">
        <v>43</v>
      </c>
      <c r="R463" s="62"/>
    </row>
    <row r="464" ht="26.4" spans="1:18">
      <c r="A464" s="58">
        <v>441</v>
      </c>
      <c r="B464" s="90">
        <v>45720</v>
      </c>
      <c r="C464" s="64" t="s">
        <v>121</v>
      </c>
      <c r="D464" s="61" t="s">
        <v>60</v>
      </c>
      <c r="E464" s="62" t="s">
        <v>73</v>
      </c>
      <c r="F464" s="62" t="s">
        <v>135</v>
      </c>
      <c r="G464" s="62" t="s">
        <v>79</v>
      </c>
      <c r="H464" s="62" t="s">
        <v>150</v>
      </c>
      <c r="I464" s="78" t="s">
        <v>885</v>
      </c>
      <c r="J464" s="62" t="s">
        <v>137</v>
      </c>
      <c r="K464" s="67" t="s">
        <v>886</v>
      </c>
      <c r="L464" s="70"/>
      <c r="M464" s="62"/>
      <c r="N464" s="62"/>
      <c r="O464" s="64"/>
      <c r="P464" s="79" t="s">
        <v>42</v>
      </c>
      <c r="Q464" s="62" t="s">
        <v>8</v>
      </c>
      <c r="R464" s="62"/>
    </row>
    <row r="465" ht="13.8" spans="1:18">
      <c r="A465" s="58">
        <v>442</v>
      </c>
      <c r="B465" s="90">
        <v>45722</v>
      </c>
      <c r="C465" s="64" t="s">
        <v>59</v>
      </c>
      <c r="D465" s="61" t="s">
        <v>60</v>
      </c>
      <c r="E465" s="62" t="s">
        <v>861</v>
      </c>
      <c r="F465" s="62" t="s">
        <v>36</v>
      </c>
      <c r="G465" s="62" t="s">
        <v>37</v>
      </c>
      <c r="H465" s="62" t="s">
        <v>56</v>
      </c>
      <c r="I465" s="78" t="s">
        <v>887</v>
      </c>
      <c r="J465" s="62" t="s">
        <v>88</v>
      </c>
      <c r="K465" s="67" t="s">
        <v>888</v>
      </c>
      <c r="L465" s="70"/>
      <c r="M465" s="62"/>
      <c r="N465" s="62"/>
      <c r="O465" s="64"/>
      <c r="P465" s="79"/>
      <c r="Q465" s="73" t="s">
        <v>43</v>
      </c>
      <c r="R465" s="62"/>
    </row>
    <row r="466" ht="13.8" spans="1:18">
      <c r="A466" s="58">
        <v>443</v>
      </c>
      <c r="B466" s="90">
        <v>45722</v>
      </c>
      <c r="C466" s="64" t="s">
        <v>59</v>
      </c>
      <c r="D466" s="61" t="s">
        <v>60</v>
      </c>
      <c r="E466" s="62" t="s">
        <v>861</v>
      </c>
      <c r="F466" s="62" t="s">
        <v>36</v>
      </c>
      <c r="G466" s="62" t="s">
        <v>37</v>
      </c>
      <c r="H466" s="62" t="s">
        <v>56</v>
      </c>
      <c r="I466" s="78" t="s">
        <v>889</v>
      </c>
      <c r="J466" s="62" t="s">
        <v>88</v>
      </c>
      <c r="K466" s="67" t="s">
        <v>888</v>
      </c>
      <c r="L466" s="70"/>
      <c r="M466" s="62"/>
      <c r="N466" s="62"/>
      <c r="O466" s="64"/>
      <c r="P466" s="79"/>
      <c r="Q466" s="73" t="s">
        <v>43</v>
      </c>
      <c r="R466" s="62"/>
    </row>
    <row r="467" ht="41.4" spans="1:18">
      <c r="A467" s="58">
        <v>444</v>
      </c>
      <c r="B467" s="90">
        <v>45721</v>
      </c>
      <c r="C467" s="64" t="s">
        <v>121</v>
      </c>
      <c r="D467" s="61" t="s">
        <v>60</v>
      </c>
      <c r="E467" s="62" t="s">
        <v>73</v>
      </c>
      <c r="F467" s="62" t="s">
        <v>50</v>
      </c>
      <c r="G467" s="62" t="s">
        <v>37</v>
      </c>
      <c r="H467" s="62" t="s">
        <v>51</v>
      </c>
      <c r="I467" s="78" t="s">
        <v>890</v>
      </c>
      <c r="J467" s="62" t="s">
        <v>88</v>
      </c>
      <c r="K467" s="67" t="s">
        <v>891</v>
      </c>
      <c r="L467" s="70" t="s">
        <v>892</v>
      </c>
      <c r="M467" s="62" t="s">
        <v>115</v>
      </c>
      <c r="N467" s="62" t="s">
        <v>115</v>
      </c>
      <c r="O467" s="64" t="s">
        <v>846</v>
      </c>
      <c r="P467" s="79">
        <v>45728</v>
      </c>
      <c r="Q467" s="73" t="s">
        <v>43</v>
      </c>
      <c r="R467" s="62"/>
    </row>
    <row r="468" ht="27.6" spans="1:18">
      <c r="A468" s="58">
        <v>445</v>
      </c>
      <c r="B468" s="90">
        <v>45720</v>
      </c>
      <c r="C468" s="64" t="s">
        <v>121</v>
      </c>
      <c r="D468" s="61" t="s">
        <v>60</v>
      </c>
      <c r="E468" s="62" t="s">
        <v>73</v>
      </c>
      <c r="F468" s="62" t="s">
        <v>36</v>
      </c>
      <c r="G468" s="62" t="s">
        <v>82</v>
      </c>
      <c r="H468" s="62" t="s">
        <v>66</v>
      </c>
      <c r="I468" s="78" t="s">
        <v>893</v>
      </c>
      <c r="J468" s="62" t="s">
        <v>88</v>
      </c>
      <c r="K468" s="67" t="s">
        <v>894</v>
      </c>
      <c r="L468" s="70"/>
      <c r="M468" s="62"/>
      <c r="N468" s="62"/>
      <c r="O468" s="64"/>
      <c r="P468" s="79" t="s">
        <v>42</v>
      </c>
      <c r="Q468" s="73" t="s">
        <v>43</v>
      </c>
      <c r="R468" s="62"/>
    </row>
    <row r="469" ht="27.6" spans="1:18">
      <c r="A469" s="58">
        <v>446</v>
      </c>
      <c r="B469" s="90">
        <v>45721</v>
      </c>
      <c r="C469" s="64" t="s">
        <v>121</v>
      </c>
      <c r="D469" s="61" t="s">
        <v>60</v>
      </c>
      <c r="E469" s="62" t="s">
        <v>73</v>
      </c>
      <c r="F469" s="62" t="s">
        <v>36</v>
      </c>
      <c r="G469" s="62" t="s">
        <v>82</v>
      </c>
      <c r="H469" s="62" t="s">
        <v>56</v>
      </c>
      <c r="I469" s="78" t="s">
        <v>895</v>
      </c>
      <c r="J469" s="63" t="s">
        <v>88</v>
      </c>
      <c r="K469" s="67" t="s">
        <v>896</v>
      </c>
      <c r="L469" s="70"/>
      <c r="M469" s="62"/>
      <c r="N469" s="62"/>
      <c r="O469" s="64"/>
      <c r="P469" s="79" t="s">
        <v>42</v>
      </c>
      <c r="Q469" s="73" t="s">
        <v>43</v>
      </c>
      <c r="R469" s="62"/>
    </row>
    <row r="470" ht="55.2" spans="1:18">
      <c r="A470" s="58">
        <v>447</v>
      </c>
      <c r="B470" s="90">
        <v>45722</v>
      </c>
      <c r="C470" s="64" t="s">
        <v>127</v>
      </c>
      <c r="D470" s="61" t="s">
        <v>60</v>
      </c>
      <c r="E470" s="62" t="s">
        <v>163</v>
      </c>
      <c r="F470" s="62" t="s">
        <v>50</v>
      </c>
      <c r="G470" s="62" t="s">
        <v>45</v>
      </c>
      <c r="H470" s="62" t="s">
        <v>46</v>
      </c>
      <c r="I470" s="83" t="s">
        <v>897</v>
      </c>
      <c r="J470" s="62" t="s">
        <v>40</v>
      </c>
      <c r="K470" s="67" t="s">
        <v>898</v>
      </c>
      <c r="L470" s="70"/>
      <c r="M470" s="62" t="s">
        <v>115</v>
      </c>
      <c r="N470" s="62" t="s">
        <v>582</v>
      </c>
      <c r="O470" s="64" t="s">
        <v>583</v>
      </c>
      <c r="P470" s="79">
        <v>45725</v>
      </c>
      <c r="Q470" s="73" t="s">
        <v>43</v>
      </c>
      <c r="R470" s="62"/>
    </row>
    <row r="471" ht="26.4" spans="1:18">
      <c r="A471" s="58">
        <v>448</v>
      </c>
      <c r="B471" s="90">
        <v>45723</v>
      </c>
      <c r="C471" s="64" t="s">
        <v>127</v>
      </c>
      <c r="D471" s="61" t="s">
        <v>60</v>
      </c>
      <c r="E471" s="62" t="s">
        <v>163</v>
      </c>
      <c r="F471" s="62" t="s">
        <v>36</v>
      </c>
      <c r="G471" s="62" t="s">
        <v>899</v>
      </c>
      <c r="H471" s="62" t="s">
        <v>56</v>
      </c>
      <c r="I471" s="83" t="s">
        <v>900</v>
      </c>
      <c r="J471" s="63" t="s">
        <v>88</v>
      </c>
      <c r="K471" s="67"/>
      <c r="L471" s="70"/>
      <c r="M471" s="62"/>
      <c r="N471" s="62"/>
      <c r="O471" s="64"/>
      <c r="P471" s="79" t="s">
        <v>42</v>
      </c>
      <c r="Q471" s="73" t="s">
        <v>43</v>
      </c>
      <c r="R471" s="62"/>
    </row>
    <row r="472" ht="39.6" spans="1:18">
      <c r="A472" s="58">
        <v>449</v>
      </c>
      <c r="B472" s="90">
        <v>45724</v>
      </c>
      <c r="C472" s="64" t="s">
        <v>717</v>
      </c>
      <c r="D472" s="61" t="s">
        <v>60</v>
      </c>
      <c r="E472" s="62" t="s">
        <v>163</v>
      </c>
      <c r="F472" s="62" t="s">
        <v>50</v>
      </c>
      <c r="G472" s="62" t="s">
        <v>37</v>
      </c>
      <c r="H472" s="62" t="s">
        <v>51</v>
      </c>
      <c r="I472" s="83" t="s">
        <v>901</v>
      </c>
      <c r="J472" s="63" t="s">
        <v>40</v>
      </c>
      <c r="K472" s="67" t="s">
        <v>902</v>
      </c>
      <c r="L472" s="70"/>
      <c r="M472" s="62"/>
      <c r="N472" s="62"/>
      <c r="O472" s="64"/>
      <c r="P472" s="79" t="s">
        <v>42</v>
      </c>
      <c r="Q472" s="73" t="s">
        <v>43</v>
      </c>
      <c r="R472" s="62"/>
    </row>
    <row r="473" ht="26.4" spans="1:18">
      <c r="A473" s="58">
        <v>450</v>
      </c>
      <c r="B473" s="90">
        <v>45722</v>
      </c>
      <c r="C473" s="64" t="s">
        <v>717</v>
      </c>
      <c r="D473" s="61" t="s">
        <v>60</v>
      </c>
      <c r="E473" s="62" t="s">
        <v>163</v>
      </c>
      <c r="F473" s="62" t="s">
        <v>50</v>
      </c>
      <c r="G473" s="62" t="s">
        <v>37</v>
      </c>
      <c r="H473" s="62" t="s">
        <v>51</v>
      </c>
      <c r="I473" s="83" t="s">
        <v>903</v>
      </c>
      <c r="J473" s="62" t="s">
        <v>40</v>
      </c>
      <c r="K473" s="67" t="s">
        <v>904</v>
      </c>
      <c r="L473" s="70"/>
      <c r="M473" s="62"/>
      <c r="N473" s="62"/>
      <c r="O473" s="64"/>
      <c r="P473" s="79" t="s">
        <v>42</v>
      </c>
      <c r="Q473" s="73" t="s">
        <v>43</v>
      </c>
      <c r="R473" s="62"/>
    </row>
    <row r="474" ht="41.4" spans="1:18">
      <c r="A474" s="58">
        <v>451</v>
      </c>
      <c r="B474" s="90">
        <v>45717</v>
      </c>
      <c r="C474" s="64" t="s">
        <v>632</v>
      </c>
      <c r="D474" s="61" t="s">
        <v>72</v>
      </c>
      <c r="E474" s="62" t="s">
        <v>73</v>
      </c>
      <c r="F474" s="62" t="s">
        <v>36</v>
      </c>
      <c r="G474" s="62" t="s">
        <v>37</v>
      </c>
      <c r="H474" s="62" t="s">
        <v>38</v>
      </c>
      <c r="I474" s="83" t="s">
        <v>905</v>
      </c>
      <c r="J474" s="62" t="s">
        <v>53</v>
      </c>
      <c r="K474" s="67" t="s">
        <v>906</v>
      </c>
      <c r="L474" s="70"/>
      <c r="M474" s="62"/>
      <c r="N474" s="62"/>
      <c r="O474" s="64"/>
      <c r="P474" s="79" t="s">
        <v>42</v>
      </c>
      <c r="Q474" s="73" t="s">
        <v>43</v>
      </c>
      <c r="R474" s="62"/>
    </row>
    <row r="475" ht="41.4" spans="1:18">
      <c r="A475" s="58">
        <v>452</v>
      </c>
      <c r="B475" s="90">
        <v>45717</v>
      </c>
      <c r="C475" s="64" t="s">
        <v>632</v>
      </c>
      <c r="D475" s="61" t="s">
        <v>72</v>
      </c>
      <c r="E475" s="62" t="s">
        <v>73</v>
      </c>
      <c r="F475" s="62" t="s">
        <v>36</v>
      </c>
      <c r="G475" s="62" t="s">
        <v>93</v>
      </c>
      <c r="H475" s="62" t="s">
        <v>56</v>
      </c>
      <c r="I475" s="83" t="s">
        <v>907</v>
      </c>
      <c r="J475" s="62" t="s">
        <v>53</v>
      </c>
      <c r="K475" s="67" t="s">
        <v>908</v>
      </c>
      <c r="L475" s="70"/>
      <c r="M475" s="62"/>
      <c r="N475" s="62"/>
      <c r="O475" s="64"/>
      <c r="P475" s="79" t="s">
        <v>42</v>
      </c>
      <c r="Q475" s="73" t="s">
        <v>43</v>
      </c>
      <c r="R475" s="62"/>
    </row>
    <row r="476" ht="55.2" spans="1:18">
      <c r="A476" s="58">
        <v>453</v>
      </c>
      <c r="B476" s="90">
        <v>45718</v>
      </c>
      <c r="C476" s="64" t="s">
        <v>632</v>
      </c>
      <c r="D476" s="61" t="s">
        <v>72</v>
      </c>
      <c r="E476" s="62" t="s">
        <v>73</v>
      </c>
      <c r="F476" s="62" t="s">
        <v>36</v>
      </c>
      <c r="G476" s="62" t="s">
        <v>37</v>
      </c>
      <c r="H476" s="62" t="s">
        <v>38</v>
      </c>
      <c r="I476" s="83" t="s">
        <v>909</v>
      </c>
      <c r="J476" s="63" t="s">
        <v>53</v>
      </c>
      <c r="K476" s="67" t="s">
        <v>910</v>
      </c>
      <c r="L476" s="70"/>
      <c r="M476" s="62"/>
      <c r="N476" s="62"/>
      <c r="O476" s="64"/>
      <c r="P476" s="79" t="s">
        <v>42</v>
      </c>
      <c r="Q476" s="73" t="s">
        <v>43</v>
      </c>
      <c r="R476" s="62"/>
    </row>
    <row r="477" ht="41.4" spans="1:18">
      <c r="A477" s="58">
        <v>454</v>
      </c>
      <c r="B477" s="90">
        <v>45718</v>
      </c>
      <c r="C477" s="64" t="s">
        <v>632</v>
      </c>
      <c r="D477" s="61" t="s">
        <v>72</v>
      </c>
      <c r="E477" s="62" t="s">
        <v>73</v>
      </c>
      <c r="F477" s="62" t="s">
        <v>36</v>
      </c>
      <c r="G477" s="62" t="s">
        <v>37</v>
      </c>
      <c r="H477" s="63" t="s">
        <v>271</v>
      </c>
      <c r="I477" s="83" t="s">
        <v>911</v>
      </c>
      <c r="J477" s="62" t="s">
        <v>53</v>
      </c>
      <c r="K477" s="67" t="s">
        <v>912</v>
      </c>
      <c r="L477" s="70"/>
      <c r="M477" s="62"/>
      <c r="N477" s="62"/>
      <c r="O477" s="64"/>
      <c r="P477" s="79" t="s">
        <v>42</v>
      </c>
      <c r="Q477" s="73" t="s">
        <v>43</v>
      </c>
      <c r="R477" s="62"/>
    </row>
    <row r="478" ht="27.6" spans="1:18">
      <c r="A478" s="58">
        <v>455</v>
      </c>
      <c r="B478" s="90">
        <v>45718</v>
      </c>
      <c r="C478" s="69" t="s">
        <v>632</v>
      </c>
      <c r="D478" s="61" t="s">
        <v>72</v>
      </c>
      <c r="E478" s="63" t="s">
        <v>73</v>
      </c>
      <c r="F478" s="62" t="s">
        <v>36</v>
      </c>
      <c r="G478" s="62" t="s">
        <v>37</v>
      </c>
      <c r="H478" s="62" t="s">
        <v>66</v>
      </c>
      <c r="I478" s="83" t="s">
        <v>913</v>
      </c>
      <c r="J478" s="62" t="s">
        <v>53</v>
      </c>
      <c r="K478" s="67" t="s">
        <v>914</v>
      </c>
      <c r="L478" s="70"/>
      <c r="M478" s="62"/>
      <c r="N478" s="62"/>
      <c r="O478" s="64"/>
      <c r="P478" s="79" t="s">
        <v>42</v>
      </c>
      <c r="Q478" s="73" t="s">
        <v>43</v>
      </c>
      <c r="R478" s="62"/>
    </row>
    <row r="479" ht="26.4" spans="1:18">
      <c r="A479" s="58">
        <v>456</v>
      </c>
      <c r="B479" s="90">
        <v>45718</v>
      </c>
      <c r="C479" s="69" t="s">
        <v>632</v>
      </c>
      <c r="D479" s="61" t="s">
        <v>72</v>
      </c>
      <c r="E479" s="63" t="s">
        <v>73</v>
      </c>
      <c r="F479" s="62" t="s">
        <v>50</v>
      </c>
      <c r="G479" s="62" t="s">
        <v>37</v>
      </c>
      <c r="H479" s="62" t="s">
        <v>46</v>
      </c>
      <c r="I479" s="83" t="s">
        <v>915</v>
      </c>
      <c r="J479" s="62" t="s">
        <v>53</v>
      </c>
      <c r="K479" s="67" t="s">
        <v>916</v>
      </c>
      <c r="L479" s="70"/>
      <c r="M479" s="62"/>
      <c r="N479" s="62"/>
      <c r="O479" s="64"/>
      <c r="P479" s="79" t="s">
        <v>42</v>
      </c>
      <c r="Q479" s="73" t="s">
        <v>43</v>
      </c>
      <c r="R479" s="62"/>
    </row>
    <row r="480" ht="13.8" spans="1:18">
      <c r="A480" s="58">
        <v>457</v>
      </c>
      <c r="B480" s="90">
        <v>45720</v>
      </c>
      <c r="C480" s="69" t="s">
        <v>632</v>
      </c>
      <c r="D480" s="61" t="s">
        <v>72</v>
      </c>
      <c r="E480" s="63" t="s">
        <v>73</v>
      </c>
      <c r="F480" s="62" t="s">
        <v>36</v>
      </c>
      <c r="G480" s="63" t="s">
        <v>65</v>
      </c>
      <c r="H480" s="62" t="s">
        <v>38</v>
      </c>
      <c r="I480" s="83" t="s">
        <v>917</v>
      </c>
      <c r="J480" s="62" t="s">
        <v>53</v>
      </c>
      <c r="K480" s="67" t="s">
        <v>918</v>
      </c>
      <c r="L480" s="70"/>
      <c r="M480" s="62"/>
      <c r="N480" s="62"/>
      <c r="O480" s="64"/>
      <c r="P480" s="79" t="s">
        <v>42</v>
      </c>
      <c r="Q480" s="73" t="s">
        <v>43</v>
      </c>
      <c r="R480" s="62"/>
    </row>
    <row r="481" ht="41.4" spans="1:18">
      <c r="A481" s="58">
        <v>458</v>
      </c>
      <c r="B481" s="90">
        <v>45720</v>
      </c>
      <c r="C481" s="69" t="s">
        <v>632</v>
      </c>
      <c r="D481" s="61" t="s">
        <v>72</v>
      </c>
      <c r="E481" s="63" t="s">
        <v>73</v>
      </c>
      <c r="F481" s="62" t="s">
        <v>36</v>
      </c>
      <c r="G481" s="62" t="s">
        <v>65</v>
      </c>
      <c r="H481" s="62" t="s">
        <v>51</v>
      </c>
      <c r="I481" s="83" t="s">
        <v>919</v>
      </c>
      <c r="J481" s="62" t="s">
        <v>53</v>
      </c>
      <c r="K481" s="67" t="s">
        <v>920</v>
      </c>
      <c r="L481" s="70"/>
      <c r="M481" s="62"/>
      <c r="N481" s="62"/>
      <c r="O481" s="64"/>
      <c r="P481" s="79" t="s">
        <v>42</v>
      </c>
      <c r="Q481" s="73" t="s">
        <v>43</v>
      </c>
      <c r="R481" s="62"/>
    </row>
    <row r="482" ht="26.4" spans="1:18">
      <c r="A482" s="58">
        <v>459</v>
      </c>
      <c r="B482" s="90">
        <v>45720</v>
      </c>
      <c r="C482" s="69" t="s">
        <v>632</v>
      </c>
      <c r="D482" s="61" t="s">
        <v>72</v>
      </c>
      <c r="E482" s="62" t="s">
        <v>73</v>
      </c>
      <c r="F482" s="62" t="s">
        <v>50</v>
      </c>
      <c r="G482" s="62" t="s">
        <v>65</v>
      </c>
      <c r="H482" s="63" t="s">
        <v>46</v>
      </c>
      <c r="I482" s="83" t="s">
        <v>915</v>
      </c>
      <c r="J482" s="63" t="s">
        <v>53</v>
      </c>
      <c r="K482" s="67" t="s">
        <v>921</v>
      </c>
      <c r="L482" s="70"/>
      <c r="M482" s="62"/>
      <c r="N482" s="62"/>
      <c r="O482" s="64"/>
      <c r="P482" s="79" t="s">
        <v>42</v>
      </c>
      <c r="Q482" s="73" t="s">
        <v>43</v>
      </c>
      <c r="R482" s="62"/>
    </row>
    <row r="483" ht="41.4" spans="1:18">
      <c r="A483" s="58">
        <v>460</v>
      </c>
      <c r="B483" s="90">
        <v>45717</v>
      </c>
      <c r="C483" s="69" t="s">
        <v>640</v>
      </c>
      <c r="D483" s="61" t="s">
        <v>72</v>
      </c>
      <c r="E483" s="62" t="s">
        <v>73</v>
      </c>
      <c r="F483" s="62" t="s">
        <v>36</v>
      </c>
      <c r="G483" s="62" t="s">
        <v>82</v>
      </c>
      <c r="H483" s="62" t="s">
        <v>56</v>
      </c>
      <c r="I483" s="83" t="s">
        <v>922</v>
      </c>
      <c r="J483" s="63" t="s">
        <v>53</v>
      </c>
      <c r="K483" s="67" t="s">
        <v>923</v>
      </c>
      <c r="L483" s="70"/>
      <c r="M483" s="62"/>
      <c r="N483" s="62"/>
      <c r="O483" s="64"/>
      <c r="P483" s="79" t="s">
        <v>42</v>
      </c>
      <c r="Q483" s="73" t="s">
        <v>43</v>
      </c>
      <c r="R483" s="62"/>
    </row>
    <row r="484" ht="13.8" spans="1:18">
      <c r="A484" s="58">
        <v>461</v>
      </c>
      <c r="B484" s="90">
        <v>45718</v>
      </c>
      <c r="C484" s="69" t="s">
        <v>640</v>
      </c>
      <c r="D484" s="61" t="s">
        <v>72</v>
      </c>
      <c r="E484" s="62" t="s">
        <v>73</v>
      </c>
      <c r="F484" s="62" t="s">
        <v>50</v>
      </c>
      <c r="G484" s="62" t="s">
        <v>65</v>
      </c>
      <c r="H484" s="62" t="s">
        <v>94</v>
      </c>
      <c r="I484" s="83" t="s">
        <v>924</v>
      </c>
      <c r="J484" s="63" t="s">
        <v>53</v>
      </c>
      <c r="K484" s="67" t="s">
        <v>925</v>
      </c>
      <c r="L484" s="70"/>
      <c r="M484" s="62"/>
      <c r="N484" s="62"/>
      <c r="O484" s="64"/>
      <c r="P484" s="79" t="s">
        <v>42</v>
      </c>
      <c r="Q484" s="73" t="s">
        <v>43</v>
      </c>
      <c r="R484" s="62"/>
    </row>
    <row r="485" ht="41.4" spans="1:18">
      <c r="A485" s="58">
        <v>462</v>
      </c>
      <c r="B485" s="90">
        <v>45718</v>
      </c>
      <c r="C485" s="64" t="s">
        <v>640</v>
      </c>
      <c r="D485" s="61" t="s">
        <v>72</v>
      </c>
      <c r="E485" s="63" t="s">
        <v>73</v>
      </c>
      <c r="F485" s="62" t="s">
        <v>36</v>
      </c>
      <c r="G485" s="62" t="s">
        <v>61</v>
      </c>
      <c r="H485" s="62" t="s">
        <v>46</v>
      </c>
      <c r="I485" s="83" t="s">
        <v>926</v>
      </c>
      <c r="J485" s="62" t="s">
        <v>53</v>
      </c>
      <c r="K485" s="67" t="s">
        <v>927</v>
      </c>
      <c r="L485" s="70"/>
      <c r="M485" s="62"/>
      <c r="N485" s="62"/>
      <c r="O485" s="64"/>
      <c r="P485" s="79" t="s">
        <v>42</v>
      </c>
      <c r="Q485" s="73" t="s">
        <v>43</v>
      </c>
      <c r="R485" s="62"/>
    </row>
    <row r="486" ht="41.4" spans="1:18">
      <c r="A486" s="58">
        <v>463</v>
      </c>
      <c r="B486" s="90">
        <v>45720</v>
      </c>
      <c r="C486" s="64" t="s">
        <v>640</v>
      </c>
      <c r="D486" s="61" t="s">
        <v>72</v>
      </c>
      <c r="E486" s="62" t="s">
        <v>73</v>
      </c>
      <c r="F486" s="62" t="s">
        <v>36</v>
      </c>
      <c r="G486" s="62" t="s">
        <v>93</v>
      </c>
      <c r="H486" s="62" t="s">
        <v>94</v>
      </c>
      <c r="I486" s="83" t="s">
        <v>928</v>
      </c>
      <c r="J486" s="62" t="s">
        <v>53</v>
      </c>
      <c r="K486" s="67" t="s">
        <v>929</v>
      </c>
      <c r="L486" s="70"/>
      <c r="M486" s="62"/>
      <c r="N486" s="62"/>
      <c r="O486" s="64"/>
      <c r="P486" s="79" t="s">
        <v>42</v>
      </c>
      <c r="Q486" s="73" t="s">
        <v>43</v>
      </c>
      <c r="R486" s="62"/>
    </row>
    <row r="487" ht="41.4" spans="1:18">
      <c r="A487" s="58">
        <v>464</v>
      </c>
      <c r="B487" s="90">
        <v>45721</v>
      </c>
      <c r="C487" s="64" t="s">
        <v>640</v>
      </c>
      <c r="D487" s="61" t="s">
        <v>72</v>
      </c>
      <c r="E487" s="62" t="s">
        <v>73</v>
      </c>
      <c r="F487" s="62" t="s">
        <v>36</v>
      </c>
      <c r="G487" s="62" t="s">
        <v>37</v>
      </c>
      <c r="H487" s="62" t="s">
        <v>46</v>
      </c>
      <c r="I487" s="83" t="s">
        <v>930</v>
      </c>
      <c r="J487" s="63" t="s">
        <v>53</v>
      </c>
      <c r="K487" s="67" t="s">
        <v>931</v>
      </c>
      <c r="L487" s="70"/>
      <c r="M487" s="62"/>
      <c r="N487" s="62"/>
      <c r="O487" s="64"/>
      <c r="P487" s="79" t="s">
        <v>42</v>
      </c>
      <c r="Q487" s="73" t="s">
        <v>43</v>
      </c>
      <c r="R487" s="62"/>
    </row>
    <row r="488" ht="41.4" spans="1:18">
      <c r="A488" s="58">
        <v>465</v>
      </c>
      <c r="B488" s="90">
        <v>45722</v>
      </c>
      <c r="C488" s="64" t="s">
        <v>640</v>
      </c>
      <c r="D488" s="61" t="s">
        <v>72</v>
      </c>
      <c r="E488" s="62" t="s">
        <v>73</v>
      </c>
      <c r="F488" s="62" t="s">
        <v>36</v>
      </c>
      <c r="G488" s="62" t="s">
        <v>37</v>
      </c>
      <c r="H488" s="62" t="s">
        <v>38</v>
      </c>
      <c r="I488" s="83" t="s">
        <v>932</v>
      </c>
      <c r="J488" s="62" t="s">
        <v>53</v>
      </c>
      <c r="K488" s="67" t="s">
        <v>933</v>
      </c>
      <c r="L488" s="70"/>
      <c r="M488" s="62"/>
      <c r="N488" s="62"/>
      <c r="O488" s="64"/>
      <c r="P488" s="79" t="s">
        <v>42</v>
      </c>
      <c r="Q488" s="73" t="s">
        <v>43</v>
      </c>
      <c r="R488" s="62"/>
    </row>
    <row r="489" ht="26.4" spans="1:18">
      <c r="A489" s="58">
        <v>466</v>
      </c>
      <c r="B489" s="90">
        <v>45723</v>
      </c>
      <c r="C489" s="64" t="s">
        <v>640</v>
      </c>
      <c r="D489" s="61" t="s">
        <v>72</v>
      </c>
      <c r="E489" s="62" t="s">
        <v>73</v>
      </c>
      <c r="F489" s="62" t="s">
        <v>135</v>
      </c>
      <c r="G489" s="62" t="s">
        <v>37</v>
      </c>
      <c r="H489" s="62" t="s">
        <v>66</v>
      </c>
      <c r="I489" s="83" t="s">
        <v>934</v>
      </c>
      <c r="J489" s="62" t="s">
        <v>137</v>
      </c>
      <c r="K489" s="67"/>
      <c r="L489" s="70"/>
      <c r="M489" s="62"/>
      <c r="N489" s="62"/>
      <c r="O489" s="64"/>
      <c r="P489" s="79" t="s">
        <v>42</v>
      </c>
      <c r="Q489" s="62" t="s">
        <v>8</v>
      </c>
      <c r="R489" s="62"/>
    </row>
    <row r="490" ht="13.8" spans="1:18">
      <c r="A490" s="58">
        <v>467</v>
      </c>
      <c r="B490" s="90">
        <v>45717</v>
      </c>
      <c r="C490" s="64" t="s">
        <v>659</v>
      </c>
      <c r="D490" s="61" t="s">
        <v>72</v>
      </c>
      <c r="E490" s="62" t="s">
        <v>73</v>
      </c>
      <c r="F490" s="62" t="s">
        <v>36</v>
      </c>
      <c r="G490" s="63" t="s">
        <v>65</v>
      </c>
      <c r="H490" s="62" t="s">
        <v>132</v>
      </c>
      <c r="I490" s="83" t="s">
        <v>935</v>
      </c>
      <c r="J490" s="63" t="s">
        <v>53</v>
      </c>
      <c r="K490" s="67" t="s">
        <v>936</v>
      </c>
      <c r="L490" s="70"/>
      <c r="M490" s="62"/>
      <c r="N490" s="62"/>
      <c r="O490" s="64"/>
      <c r="P490" s="79" t="s">
        <v>42</v>
      </c>
      <c r="Q490" s="73" t="s">
        <v>43</v>
      </c>
      <c r="R490" s="62"/>
    </row>
    <row r="491" ht="55.2" spans="1:18">
      <c r="A491" s="58">
        <v>468</v>
      </c>
      <c r="B491" s="90">
        <v>45717</v>
      </c>
      <c r="C491" s="64" t="s">
        <v>659</v>
      </c>
      <c r="D491" s="61" t="s">
        <v>72</v>
      </c>
      <c r="E491" s="62" t="s">
        <v>73</v>
      </c>
      <c r="F491" s="62" t="s">
        <v>50</v>
      </c>
      <c r="G491" s="62" t="s">
        <v>65</v>
      </c>
      <c r="H491" s="62" t="s">
        <v>132</v>
      </c>
      <c r="I491" s="83" t="s">
        <v>937</v>
      </c>
      <c r="J491" s="62" t="s">
        <v>53</v>
      </c>
      <c r="K491" s="67" t="s">
        <v>938</v>
      </c>
      <c r="L491" s="70"/>
      <c r="M491" s="62"/>
      <c r="N491" s="62"/>
      <c r="O491" s="64"/>
      <c r="P491" s="79" t="s">
        <v>42</v>
      </c>
      <c r="Q491" s="73" t="s">
        <v>43</v>
      </c>
      <c r="R491" s="62"/>
    </row>
    <row r="492" ht="27.6" spans="1:18">
      <c r="A492" s="58">
        <v>469</v>
      </c>
      <c r="B492" s="90">
        <v>45717</v>
      </c>
      <c r="C492" s="64" t="s">
        <v>659</v>
      </c>
      <c r="D492" s="61" t="s">
        <v>72</v>
      </c>
      <c r="E492" s="62" t="s">
        <v>73</v>
      </c>
      <c r="F492" s="62" t="s">
        <v>36</v>
      </c>
      <c r="G492" s="62" t="s">
        <v>55</v>
      </c>
      <c r="H492" s="62" t="s">
        <v>94</v>
      </c>
      <c r="I492" s="83" t="s">
        <v>939</v>
      </c>
      <c r="J492" s="63" t="s">
        <v>53</v>
      </c>
      <c r="K492" s="67" t="s">
        <v>940</v>
      </c>
      <c r="L492" s="70"/>
      <c r="M492" s="62"/>
      <c r="N492" s="62"/>
      <c r="O492" s="64"/>
      <c r="P492" s="79" t="s">
        <v>42</v>
      </c>
      <c r="Q492" s="73" t="s">
        <v>43</v>
      </c>
      <c r="R492" s="62"/>
    </row>
    <row r="493" ht="27.6" spans="1:18">
      <c r="A493" s="58">
        <v>470</v>
      </c>
      <c r="B493" s="90">
        <v>45717</v>
      </c>
      <c r="C493" s="64" t="s">
        <v>659</v>
      </c>
      <c r="D493" s="61" t="s">
        <v>72</v>
      </c>
      <c r="E493" s="62" t="s">
        <v>73</v>
      </c>
      <c r="F493" s="62" t="s">
        <v>36</v>
      </c>
      <c r="G493" s="62" t="s">
        <v>55</v>
      </c>
      <c r="H493" s="62" t="s">
        <v>94</v>
      </c>
      <c r="I493" s="83" t="s">
        <v>941</v>
      </c>
      <c r="J493" s="63" t="s">
        <v>53</v>
      </c>
      <c r="K493" s="67" t="s">
        <v>942</v>
      </c>
      <c r="L493" s="70"/>
      <c r="M493" s="62"/>
      <c r="N493" s="62"/>
      <c r="O493" s="64"/>
      <c r="P493" s="79" t="s">
        <v>42</v>
      </c>
      <c r="Q493" s="73" t="s">
        <v>43</v>
      </c>
      <c r="R493" s="62"/>
    </row>
    <row r="494" ht="13.8" spans="1:18">
      <c r="A494" s="58">
        <v>471</v>
      </c>
      <c r="B494" s="90">
        <v>45717</v>
      </c>
      <c r="C494" s="69" t="s">
        <v>659</v>
      </c>
      <c r="D494" s="61" t="s">
        <v>72</v>
      </c>
      <c r="E494" s="63" t="s">
        <v>73</v>
      </c>
      <c r="F494" s="62" t="s">
        <v>36</v>
      </c>
      <c r="G494" s="62" t="s">
        <v>37</v>
      </c>
      <c r="H494" s="62" t="s">
        <v>56</v>
      </c>
      <c r="I494" s="83" t="s">
        <v>943</v>
      </c>
      <c r="J494" s="62" t="s">
        <v>53</v>
      </c>
      <c r="K494" s="67" t="s">
        <v>944</v>
      </c>
      <c r="L494" s="70"/>
      <c r="M494" s="62"/>
      <c r="N494" s="62"/>
      <c r="O494" s="64"/>
      <c r="P494" s="79" t="s">
        <v>42</v>
      </c>
      <c r="Q494" s="73" t="s">
        <v>43</v>
      </c>
      <c r="R494" s="62"/>
    </row>
    <row r="495" ht="13.8" spans="1:18">
      <c r="A495" s="58">
        <v>472</v>
      </c>
      <c r="B495" s="90">
        <v>45717</v>
      </c>
      <c r="C495" s="69" t="s">
        <v>659</v>
      </c>
      <c r="D495" s="61" t="s">
        <v>72</v>
      </c>
      <c r="E495" s="63" t="s">
        <v>73</v>
      </c>
      <c r="F495" s="62" t="s">
        <v>36</v>
      </c>
      <c r="G495" s="62" t="s">
        <v>37</v>
      </c>
      <c r="H495" s="62" t="s">
        <v>132</v>
      </c>
      <c r="I495" s="83" t="s">
        <v>945</v>
      </c>
      <c r="J495" s="62" t="s">
        <v>53</v>
      </c>
      <c r="K495" s="67" t="s">
        <v>946</v>
      </c>
      <c r="L495" s="70"/>
      <c r="M495" s="62"/>
      <c r="N495" s="62"/>
      <c r="O495" s="64"/>
      <c r="P495" s="79" t="s">
        <v>42</v>
      </c>
      <c r="Q495" s="73" t="s">
        <v>43</v>
      </c>
      <c r="R495" s="62"/>
    </row>
    <row r="496" ht="13.8" spans="1:18">
      <c r="A496" s="58">
        <v>473</v>
      </c>
      <c r="B496" s="90">
        <v>45717</v>
      </c>
      <c r="C496" s="69" t="s">
        <v>659</v>
      </c>
      <c r="D496" s="61" t="s">
        <v>72</v>
      </c>
      <c r="E496" s="63" t="s">
        <v>73</v>
      </c>
      <c r="F496" s="62" t="s">
        <v>36</v>
      </c>
      <c r="G496" s="62" t="s">
        <v>37</v>
      </c>
      <c r="H496" s="62" t="s">
        <v>94</v>
      </c>
      <c r="I496" s="83" t="s">
        <v>947</v>
      </c>
      <c r="J496" s="62" t="s">
        <v>53</v>
      </c>
      <c r="K496" s="67" t="s">
        <v>948</v>
      </c>
      <c r="L496" s="70"/>
      <c r="M496" s="62"/>
      <c r="N496" s="62"/>
      <c r="O496" s="64"/>
      <c r="P496" s="79" t="s">
        <v>42</v>
      </c>
      <c r="Q496" s="73" t="s">
        <v>43</v>
      </c>
      <c r="R496" s="62"/>
    </row>
    <row r="497" ht="39.6" spans="1:18">
      <c r="A497" s="58">
        <v>474</v>
      </c>
      <c r="B497" s="90">
        <v>45718</v>
      </c>
      <c r="C497" s="69" t="s">
        <v>659</v>
      </c>
      <c r="D497" s="61" t="s">
        <v>72</v>
      </c>
      <c r="E497" s="63" t="s">
        <v>73</v>
      </c>
      <c r="F497" s="62" t="s">
        <v>50</v>
      </c>
      <c r="G497" s="62" t="s">
        <v>55</v>
      </c>
      <c r="H497" s="62" t="s">
        <v>94</v>
      </c>
      <c r="I497" s="83" t="s">
        <v>949</v>
      </c>
      <c r="J497" s="62" t="s">
        <v>53</v>
      </c>
      <c r="K497" s="67" t="s">
        <v>950</v>
      </c>
      <c r="L497" s="70"/>
      <c r="M497" s="62"/>
      <c r="N497" s="62"/>
      <c r="O497" s="64"/>
      <c r="P497" s="79" t="s">
        <v>42</v>
      </c>
      <c r="Q497" s="73" t="s">
        <v>43</v>
      </c>
      <c r="R497" s="62"/>
    </row>
    <row r="498" ht="27.6" spans="1:18">
      <c r="A498" s="58">
        <v>475</v>
      </c>
      <c r="B498" s="90">
        <v>45718</v>
      </c>
      <c r="C498" s="69" t="s">
        <v>659</v>
      </c>
      <c r="D498" s="61" t="s">
        <v>72</v>
      </c>
      <c r="E498" s="63" t="s">
        <v>73</v>
      </c>
      <c r="F498" s="62" t="s">
        <v>36</v>
      </c>
      <c r="G498" s="62" t="s">
        <v>37</v>
      </c>
      <c r="H498" s="63" t="s">
        <v>94</v>
      </c>
      <c r="I498" s="83" t="s">
        <v>951</v>
      </c>
      <c r="J498" s="62" t="s">
        <v>53</v>
      </c>
      <c r="K498" s="67" t="s">
        <v>952</v>
      </c>
      <c r="L498" s="70"/>
      <c r="M498" s="62"/>
      <c r="N498" s="62"/>
      <c r="O498" s="64"/>
      <c r="P498" s="79" t="s">
        <v>42</v>
      </c>
      <c r="Q498" s="73" t="s">
        <v>43</v>
      </c>
      <c r="R498" s="62"/>
    </row>
    <row r="499" ht="13.8" spans="1:18">
      <c r="A499" s="58">
        <v>476</v>
      </c>
      <c r="B499" s="90">
        <v>45718</v>
      </c>
      <c r="C499" s="64" t="s">
        <v>659</v>
      </c>
      <c r="D499" s="61" t="s">
        <v>72</v>
      </c>
      <c r="E499" s="62" t="s">
        <v>73</v>
      </c>
      <c r="F499" s="62" t="s">
        <v>36</v>
      </c>
      <c r="G499" s="62" t="s">
        <v>55</v>
      </c>
      <c r="H499" s="63" t="s">
        <v>132</v>
      </c>
      <c r="I499" s="83" t="s">
        <v>953</v>
      </c>
      <c r="J499" s="62" t="s">
        <v>88</v>
      </c>
      <c r="K499" s="67" t="s">
        <v>954</v>
      </c>
      <c r="L499" s="70"/>
      <c r="M499" s="62"/>
      <c r="N499" s="62"/>
      <c r="O499" s="64"/>
      <c r="P499" s="79" t="s">
        <v>42</v>
      </c>
      <c r="Q499" s="73" t="s">
        <v>43</v>
      </c>
      <c r="R499" s="62"/>
    </row>
    <row r="500" ht="39.6" spans="1:18">
      <c r="A500" s="58">
        <v>477</v>
      </c>
      <c r="B500" s="90">
        <v>45723</v>
      </c>
      <c r="C500" s="64" t="s">
        <v>659</v>
      </c>
      <c r="D500" s="61" t="s">
        <v>72</v>
      </c>
      <c r="E500" s="62" t="s">
        <v>73</v>
      </c>
      <c r="F500" s="62" t="s">
        <v>36</v>
      </c>
      <c r="G500" s="62" t="s">
        <v>65</v>
      </c>
      <c r="H500" s="63" t="s">
        <v>132</v>
      </c>
      <c r="I500" s="83" t="s">
        <v>955</v>
      </c>
      <c r="J500" s="62" t="s">
        <v>88</v>
      </c>
      <c r="K500" s="67" t="s">
        <v>956</v>
      </c>
      <c r="L500" s="70"/>
      <c r="M500" s="62"/>
      <c r="N500" s="62"/>
      <c r="O500" s="64"/>
      <c r="P500" s="79" t="s">
        <v>42</v>
      </c>
      <c r="Q500" s="73" t="s">
        <v>43</v>
      </c>
      <c r="R500" s="62"/>
    </row>
    <row r="501" ht="27.6" spans="1:18">
      <c r="A501" s="58">
        <v>478</v>
      </c>
      <c r="B501" s="90">
        <v>45723</v>
      </c>
      <c r="C501" s="64" t="s">
        <v>659</v>
      </c>
      <c r="D501" s="61" t="s">
        <v>72</v>
      </c>
      <c r="E501" s="62" t="s">
        <v>73</v>
      </c>
      <c r="F501" s="62" t="s">
        <v>36</v>
      </c>
      <c r="G501" s="62" t="s">
        <v>55</v>
      </c>
      <c r="H501" s="63" t="s">
        <v>94</v>
      </c>
      <c r="I501" s="83" t="s">
        <v>957</v>
      </c>
      <c r="J501" s="62" t="s">
        <v>88</v>
      </c>
      <c r="K501" s="67" t="s">
        <v>958</v>
      </c>
      <c r="L501" s="70"/>
      <c r="M501" s="62"/>
      <c r="N501" s="62"/>
      <c r="O501" s="64"/>
      <c r="P501" s="79" t="s">
        <v>42</v>
      </c>
      <c r="Q501" s="73" t="s">
        <v>43</v>
      </c>
      <c r="R501" s="62"/>
    </row>
    <row r="502" ht="13.8" spans="1:18">
      <c r="A502" s="58">
        <v>479</v>
      </c>
      <c r="B502" s="90">
        <v>45723</v>
      </c>
      <c r="C502" s="64" t="s">
        <v>659</v>
      </c>
      <c r="D502" s="61" t="s">
        <v>72</v>
      </c>
      <c r="E502" s="62" t="s">
        <v>73</v>
      </c>
      <c r="F502" s="62" t="s">
        <v>36</v>
      </c>
      <c r="G502" s="62" t="s">
        <v>65</v>
      </c>
      <c r="H502" s="63" t="s">
        <v>66</v>
      </c>
      <c r="I502" s="83" t="s">
        <v>959</v>
      </c>
      <c r="J502" s="62" t="s">
        <v>88</v>
      </c>
      <c r="K502" s="67" t="s">
        <v>960</v>
      </c>
      <c r="L502" s="70"/>
      <c r="M502" s="62"/>
      <c r="N502" s="62"/>
      <c r="O502" s="64"/>
      <c r="P502" s="79" t="s">
        <v>42</v>
      </c>
      <c r="Q502" s="73" t="s">
        <v>43</v>
      </c>
      <c r="R502" s="62"/>
    </row>
    <row r="503" ht="27.6" spans="1:18">
      <c r="A503" s="58">
        <v>480</v>
      </c>
      <c r="B503" s="90">
        <v>45723</v>
      </c>
      <c r="C503" s="64" t="s">
        <v>659</v>
      </c>
      <c r="D503" s="61" t="s">
        <v>72</v>
      </c>
      <c r="E503" s="62" t="s">
        <v>73</v>
      </c>
      <c r="F503" s="62" t="s">
        <v>50</v>
      </c>
      <c r="G503" s="62" t="s">
        <v>55</v>
      </c>
      <c r="H503" s="63" t="s">
        <v>94</v>
      </c>
      <c r="I503" s="83" t="s">
        <v>961</v>
      </c>
      <c r="J503" s="62" t="s">
        <v>53</v>
      </c>
      <c r="K503" s="67" t="s">
        <v>962</v>
      </c>
      <c r="L503" s="70"/>
      <c r="M503" s="62"/>
      <c r="N503" s="62"/>
      <c r="O503" s="64"/>
      <c r="P503" s="79" t="s">
        <v>42</v>
      </c>
      <c r="Q503" s="73" t="s">
        <v>43</v>
      </c>
      <c r="R503" s="62"/>
    </row>
    <row r="504" ht="13.8" spans="1:18">
      <c r="A504" s="58">
        <v>481</v>
      </c>
      <c r="B504" s="90">
        <v>45720</v>
      </c>
      <c r="C504" s="64" t="s">
        <v>659</v>
      </c>
      <c r="D504" s="61" t="s">
        <v>72</v>
      </c>
      <c r="E504" s="62" t="s">
        <v>73</v>
      </c>
      <c r="F504" s="62" t="s">
        <v>50</v>
      </c>
      <c r="G504" s="62" t="s">
        <v>37</v>
      </c>
      <c r="H504" s="63" t="s">
        <v>94</v>
      </c>
      <c r="I504" s="83" t="s">
        <v>963</v>
      </c>
      <c r="J504" s="62" t="s">
        <v>53</v>
      </c>
      <c r="K504" s="67" t="s">
        <v>964</v>
      </c>
      <c r="L504" s="70"/>
      <c r="M504" s="62"/>
      <c r="N504" s="62"/>
      <c r="O504" s="64"/>
      <c r="P504" s="79" t="s">
        <v>42</v>
      </c>
      <c r="Q504" s="73" t="s">
        <v>43</v>
      </c>
      <c r="R504" s="62"/>
    </row>
    <row r="505" ht="26.4" spans="1:18">
      <c r="A505" s="58">
        <v>482</v>
      </c>
      <c r="B505" s="90">
        <v>45725</v>
      </c>
      <c r="C505" s="64" t="s">
        <v>632</v>
      </c>
      <c r="D505" s="61" t="s">
        <v>72</v>
      </c>
      <c r="E505" s="62" t="s">
        <v>73</v>
      </c>
      <c r="F505" s="62" t="s">
        <v>135</v>
      </c>
      <c r="G505" s="62" t="s">
        <v>55</v>
      </c>
      <c r="H505" s="63" t="s">
        <v>56</v>
      </c>
      <c r="I505" s="83" t="s">
        <v>965</v>
      </c>
      <c r="J505" s="62" t="s">
        <v>137</v>
      </c>
      <c r="K505" s="67"/>
      <c r="L505" s="70"/>
      <c r="M505" s="62"/>
      <c r="N505" s="62"/>
      <c r="O505" s="64"/>
      <c r="P505" s="79" t="s">
        <v>42</v>
      </c>
      <c r="Q505" s="62" t="s">
        <v>8</v>
      </c>
      <c r="R505" s="62"/>
    </row>
    <row r="506" ht="41.4" spans="1:18">
      <c r="A506" s="58">
        <v>483</v>
      </c>
      <c r="B506" s="90">
        <v>45725</v>
      </c>
      <c r="C506" s="69" t="s">
        <v>632</v>
      </c>
      <c r="D506" s="61" t="s">
        <v>72</v>
      </c>
      <c r="E506" s="63" t="s">
        <v>73</v>
      </c>
      <c r="F506" s="62" t="s">
        <v>36</v>
      </c>
      <c r="G506" s="62" t="s">
        <v>55</v>
      </c>
      <c r="H506" s="63" t="s">
        <v>38</v>
      </c>
      <c r="I506" s="83" t="s">
        <v>966</v>
      </c>
      <c r="J506" s="62" t="s">
        <v>53</v>
      </c>
      <c r="K506" s="67" t="s">
        <v>967</v>
      </c>
      <c r="L506" s="70"/>
      <c r="M506" s="62"/>
      <c r="N506" s="62"/>
      <c r="O506" s="64"/>
      <c r="P506" s="79" t="s">
        <v>42</v>
      </c>
      <c r="Q506" s="73" t="s">
        <v>43</v>
      </c>
      <c r="R506" s="62"/>
    </row>
    <row r="507" ht="26.4" spans="1:18">
      <c r="A507" s="58">
        <v>484</v>
      </c>
      <c r="B507" s="90">
        <v>45724</v>
      </c>
      <c r="C507" s="64" t="s">
        <v>659</v>
      </c>
      <c r="D507" s="61" t="s">
        <v>72</v>
      </c>
      <c r="E507" s="62" t="s">
        <v>73</v>
      </c>
      <c r="F507" s="62" t="s">
        <v>36</v>
      </c>
      <c r="G507" s="62" t="s">
        <v>37</v>
      </c>
      <c r="H507" s="63" t="s">
        <v>94</v>
      </c>
      <c r="I507" s="83" t="s">
        <v>968</v>
      </c>
      <c r="J507" s="62" t="s">
        <v>53</v>
      </c>
      <c r="K507" s="67" t="s">
        <v>969</v>
      </c>
      <c r="L507" s="70"/>
      <c r="M507" s="62"/>
      <c r="N507" s="62"/>
      <c r="O507" s="64"/>
      <c r="P507" s="79" t="s">
        <v>42</v>
      </c>
      <c r="Q507" s="73" t="s">
        <v>43</v>
      </c>
      <c r="R507" s="62"/>
    </row>
    <row r="508" ht="13.8" spans="1:18">
      <c r="A508" s="58">
        <v>485</v>
      </c>
      <c r="B508" s="90">
        <v>45724</v>
      </c>
      <c r="C508" s="64" t="s">
        <v>659</v>
      </c>
      <c r="D508" s="61" t="s">
        <v>72</v>
      </c>
      <c r="E508" s="62" t="s">
        <v>73</v>
      </c>
      <c r="F508" s="62" t="s">
        <v>36</v>
      </c>
      <c r="G508" s="62" t="s">
        <v>37</v>
      </c>
      <c r="H508" s="63" t="s">
        <v>38</v>
      </c>
      <c r="I508" s="83" t="s">
        <v>970</v>
      </c>
      <c r="J508" s="62" t="s">
        <v>53</v>
      </c>
      <c r="K508" s="67" t="s">
        <v>971</v>
      </c>
      <c r="L508" s="70"/>
      <c r="M508" s="62"/>
      <c r="N508" s="62"/>
      <c r="O508" s="64"/>
      <c r="P508" s="79" t="s">
        <v>42</v>
      </c>
      <c r="Q508" s="73" t="s">
        <v>43</v>
      </c>
      <c r="R508" s="62"/>
    </row>
    <row r="509" ht="27.6" spans="1:18">
      <c r="A509" s="58">
        <v>486</v>
      </c>
      <c r="B509" s="90">
        <v>45724</v>
      </c>
      <c r="C509" s="64" t="s">
        <v>659</v>
      </c>
      <c r="D509" s="61" t="s">
        <v>72</v>
      </c>
      <c r="E509" s="62" t="s">
        <v>73</v>
      </c>
      <c r="F509" s="62" t="s">
        <v>50</v>
      </c>
      <c r="G509" s="62" t="s">
        <v>37</v>
      </c>
      <c r="H509" s="63" t="s">
        <v>46</v>
      </c>
      <c r="I509" s="83" t="s">
        <v>972</v>
      </c>
      <c r="J509" s="62" t="s">
        <v>53</v>
      </c>
      <c r="K509" s="67" t="s">
        <v>973</v>
      </c>
      <c r="L509" s="70"/>
      <c r="M509" s="62"/>
      <c r="N509" s="62"/>
      <c r="O509" s="64"/>
      <c r="P509" s="79" t="s">
        <v>42</v>
      </c>
      <c r="Q509" s="73" t="s">
        <v>43</v>
      </c>
      <c r="R509" s="62"/>
    </row>
    <row r="510" ht="13.8" spans="1:18">
      <c r="A510" s="58">
        <v>487</v>
      </c>
      <c r="B510" s="90">
        <v>45724</v>
      </c>
      <c r="C510" s="69" t="s">
        <v>659</v>
      </c>
      <c r="D510" s="61" t="s">
        <v>72</v>
      </c>
      <c r="E510" s="63" t="s">
        <v>73</v>
      </c>
      <c r="F510" s="62" t="s">
        <v>50</v>
      </c>
      <c r="G510" s="62" t="s">
        <v>37</v>
      </c>
      <c r="H510" s="63" t="s">
        <v>94</v>
      </c>
      <c r="I510" s="83" t="s">
        <v>974</v>
      </c>
      <c r="J510" s="62" t="s">
        <v>53</v>
      </c>
      <c r="K510" s="67" t="s">
        <v>975</v>
      </c>
      <c r="L510" s="70"/>
      <c r="M510" s="62"/>
      <c r="N510" s="62"/>
      <c r="O510" s="64"/>
      <c r="P510" s="79" t="s">
        <v>42</v>
      </c>
      <c r="Q510" s="73" t="s">
        <v>43</v>
      </c>
      <c r="R510" s="62"/>
    </row>
    <row r="511" ht="39.6" spans="1:18">
      <c r="A511" s="58">
        <v>488</v>
      </c>
      <c r="B511" s="90">
        <v>45724</v>
      </c>
      <c r="C511" s="69" t="s">
        <v>659</v>
      </c>
      <c r="D511" s="61" t="s">
        <v>72</v>
      </c>
      <c r="E511" s="63" t="s">
        <v>73</v>
      </c>
      <c r="F511" s="62" t="s">
        <v>192</v>
      </c>
      <c r="G511" s="62" t="s">
        <v>37</v>
      </c>
      <c r="H511" s="63" t="s">
        <v>94</v>
      </c>
      <c r="I511" s="83" t="s">
        <v>976</v>
      </c>
      <c r="J511" s="62" t="s">
        <v>137</v>
      </c>
      <c r="K511" s="67"/>
      <c r="L511" s="70"/>
      <c r="M511" s="62"/>
      <c r="N511" s="62"/>
      <c r="O511" s="64"/>
      <c r="P511" s="79" t="s">
        <v>42</v>
      </c>
      <c r="Q511" s="62" t="s">
        <v>8</v>
      </c>
      <c r="R511" s="62"/>
    </row>
    <row r="512" ht="27.6" spans="1:18">
      <c r="A512" s="58">
        <v>489</v>
      </c>
      <c r="B512" s="90">
        <v>45724</v>
      </c>
      <c r="C512" s="64" t="s">
        <v>659</v>
      </c>
      <c r="D512" s="61" t="s">
        <v>72</v>
      </c>
      <c r="E512" s="62" t="s">
        <v>73</v>
      </c>
      <c r="F512" s="62" t="s">
        <v>36</v>
      </c>
      <c r="G512" s="62" t="s">
        <v>37</v>
      </c>
      <c r="H512" s="63" t="s">
        <v>94</v>
      </c>
      <c r="I512" s="83" t="s">
        <v>977</v>
      </c>
      <c r="J512" s="62" t="s">
        <v>53</v>
      </c>
      <c r="K512" s="67" t="s">
        <v>978</v>
      </c>
      <c r="L512" s="70"/>
      <c r="M512" s="62"/>
      <c r="N512" s="62"/>
      <c r="O512" s="64"/>
      <c r="P512" s="79" t="s">
        <v>42</v>
      </c>
      <c r="Q512" s="73" t="s">
        <v>43</v>
      </c>
      <c r="R512" s="62"/>
    </row>
    <row r="513" ht="27.6" spans="1:18">
      <c r="A513" s="58">
        <v>490</v>
      </c>
      <c r="B513" s="90">
        <v>45725</v>
      </c>
      <c r="C513" s="64" t="s">
        <v>659</v>
      </c>
      <c r="D513" s="61" t="s">
        <v>72</v>
      </c>
      <c r="E513" s="62" t="s">
        <v>73</v>
      </c>
      <c r="F513" s="62" t="s">
        <v>50</v>
      </c>
      <c r="G513" s="62" t="s">
        <v>37</v>
      </c>
      <c r="H513" s="63" t="s">
        <v>46</v>
      </c>
      <c r="I513" s="83" t="s">
        <v>979</v>
      </c>
      <c r="J513" s="62" t="s">
        <v>53</v>
      </c>
      <c r="K513" s="67" t="s">
        <v>980</v>
      </c>
      <c r="L513" s="70"/>
      <c r="M513" s="62"/>
      <c r="N513" s="62"/>
      <c r="O513" s="64"/>
      <c r="P513" s="79" t="s">
        <v>42</v>
      </c>
      <c r="Q513" s="73" t="s">
        <v>43</v>
      </c>
      <c r="R513" s="62"/>
    </row>
    <row r="514" ht="27.6" spans="1:18">
      <c r="A514" s="58">
        <v>491</v>
      </c>
      <c r="B514" s="90">
        <v>45725</v>
      </c>
      <c r="C514" s="64" t="s">
        <v>659</v>
      </c>
      <c r="D514" s="61" t="s">
        <v>72</v>
      </c>
      <c r="E514" s="62" t="s">
        <v>73</v>
      </c>
      <c r="F514" s="62" t="s">
        <v>50</v>
      </c>
      <c r="G514" s="62" t="s">
        <v>45</v>
      </c>
      <c r="H514" s="63" t="s">
        <v>360</v>
      </c>
      <c r="I514" s="83" t="s">
        <v>981</v>
      </c>
      <c r="J514" s="62" t="s">
        <v>88</v>
      </c>
      <c r="K514" s="67" t="s">
        <v>982</v>
      </c>
      <c r="L514" s="70"/>
      <c r="M514" s="62"/>
      <c r="N514" s="62"/>
      <c r="O514" s="64"/>
      <c r="P514" s="79" t="s">
        <v>42</v>
      </c>
      <c r="Q514" s="73" t="s">
        <v>43</v>
      </c>
      <c r="R514" s="62"/>
    </row>
    <row r="515" ht="27.6" spans="1:18">
      <c r="A515" s="58">
        <v>492</v>
      </c>
      <c r="B515" s="90">
        <v>45725</v>
      </c>
      <c r="C515" s="64" t="s">
        <v>659</v>
      </c>
      <c r="D515" s="61" t="s">
        <v>72</v>
      </c>
      <c r="E515" s="62" t="s">
        <v>73</v>
      </c>
      <c r="F515" s="62" t="s">
        <v>36</v>
      </c>
      <c r="G515" s="62" t="s">
        <v>37</v>
      </c>
      <c r="H515" s="63" t="s">
        <v>56</v>
      </c>
      <c r="I515" s="83" t="s">
        <v>983</v>
      </c>
      <c r="J515" s="62" t="s">
        <v>53</v>
      </c>
      <c r="K515" s="67" t="s">
        <v>984</v>
      </c>
      <c r="L515" s="70"/>
      <c r="M515" s="62"/>
      <c r="N515" s="62"/>
      <c r="O515" s="64"/>
      <c r="P515" s="79" t="s">
        <v>42</v>
      </c>
      <c r="Q515" s="73" t="s">
        <v>43</v>
      </c>
      <c r="R515" s="62"/>
    </row>
    <row r="516" ht="13.8" spans="1:18">
      <c r="A516" s="58">
        <v>493</v>
      </c>
      <c r="B516" s="90">
        <v>45725</v>
      </c>
      <c r="C516" s="69" t="s">
        <v>659</v>
      </c>
      <c r="D516" s="61" t="s">
        <v>72</v>
      </c>
      <c r="E516" s="63" t="s">
        <v>73</v>
      </c>
      <c r="F516" s="62" t="s">
        <v>36</v>
      </c>
      <c r="G516" s="62" t="s">
        <v>82</v>
      </c>
      <c r="H516" s="63" t="s">
        <v>94</v>
      </c>
      <c r="I516" s="83" t="s">
        <v>985</v>
      </c>
      <c r="J516" s="62" t="s">
        <v>53</v>
      </c>
      <c r="K516" s="67" t="s">
        <v>986</v>
      </c>
      <c r="L516" s="70"/>
      <c r="M516" s="62"/>
      <c r="N516" s="62"/>
      <c r="O516" s="64"/>
      <c r="P516" s="79" t="s">
        <v>42</v>
      </c>
      <c r="Q516" s="73" t="s">
        <v>43</v>
      </c>
      <c r="R516" s="62"/>
    </row>
    <row r="517" ht="41.4" spans="1:18">
      <c r="A517" s="58">
        <v>494</v>
      </c>
      <c r="B517" s="90">
        <v>45728</v>
      </c>
      <c r="C517" s="64" t="s">
        <v>659</v>
      </c>
      <c r="D517" s="61" t="s">
        <v>72</v>
      </c>
      <c r="E517" s="62" t="s">
        <v>73</v>
      </c>
      <c r="F517" s="62" t="s">
        <v>36</v>
      </c>
      <c r="G517" s="62" t="s">
        <v>65</v>
      </c>
      <c r="H517" s="63" t="s">
        <v>46</v>
      </c>
      <c r="I517" s="83" t="s">
        <v>987</v>
      </c>
      <c r="J517" s="62" t="s">
        <v>53</v>
      </c>
      <c r="K517" s="67" t="s">
        <v>988</v>
      </c>
      <c r="L517" s="70"/>
      <c r="M517" s="62"/>
      <c r="N517" s="62"/>
      <c r="O517" s="64"/>
      <c r="P517" s="79" t="s">
        <v>42</v>
      </c>
      <c r="Q517" s="73" t="s">
        <v>43</v>
      </c>
      <c r="R517" s="62"/>
    </row>
    <row r="518" ht="27.6" spans="1:18">
      <c r="A518" s="58">
        <v>495</v>
      </c>
      <c r="B518" s="90">
        <v>45729</v>
      </c>
      <c r="C518" s="69" t="s">
        <v>659</v>
      </c>
      <c r="D518" s="61" t="s">
        <v>72</v>
      </c>
      <c r="E518" s="62" t="s">
        <v>73</v>
      </c>
      <c r="F518" s="62" t="s">
        <v>50</v>
      </c>
      <c r="G518" s="62" t="s">
        <v>131</v>
      </c>
      <c r="H518" s="63" t="s">
        <v>989</v>
      </c>
      <c r="I518" s="83" t="s">
        <v>990</v>
      </c>
      <c r="J518" s="62" t="s">
        <v>53</v>
      </c>
      <c r="K518" s="67" t="s">
        <v>991</v>
      </c>
      <c r="L518" s="70"/>
      <c r="M518" s="62"/>
      <c r="N518" s="62"/>
      <c r="O518" s="64"/>
      <c r="P518" s="79" t="s">
        <v>42</v>
      </c>
      <c r="Q518" s="73" t="s">
        <v>43</v>
      </c>
      <c r="R518" s="62"/>
    </row>
    <row r="519" ht="27.6" spans="1:18">
      <c r="A519" s="58">
        <v>496</v>
      </c>
      <c r="B519" s="90">
        <v>45729</v>
      </c>
      <c r="C519" s="64" t="s">
        <v>659</v>
      </c>
      <c r="D519" s="61" t="s">
        <v>72</v>
      </c>
      <c r="E519" s="62" t="s">
        <v>73</v>
      </c>
      <c r="F519" s="62" t="s">
        <v>36</v>
      </c>
      <c r="G519" s="62" t="s">
        <v>131</v>
      </c>
      <c r="H519" s="63" t="s">
        <v>94</v>
      </c>
      <c r="I519" s="83" t="s">
        <v>992</v>
      </c>
      <c r="J519" s="62" t="s">
        <v>53</v>
      </c>
      <c r="K519" s="67" t="s">
        <v>993</v>
      </c>
      <c r="L519" s="70"/>
      <c r="M519" s="62"/>
      <c r="N519" s="62"/>
      <c r="O519" s="64"/>
      <c r="P519" s="79" t="s">
        <v>42</v>
      </c>
      <c r="Q519" s="73" t="s">
        <v>43</v>
      </c>
      <c r="R519" s="62"/>
    </row>
    <row r="520" ht="41.4" spans="1:18">
      <c r="A520" s="58">
        <v>497</v>
      </c>
      <c r="B520" s="90">
        <v>45729</v>
      </c>
      <c r="C520" s="64" t="s">
        <v>659</v>
      </c>
      <c r="D520" s="61" t="s">
        <v>72</v>
      </c>
      <c r="E520" s="62" t="s">
        <v>73</v>
      </c>
      <c r="F520" s="62" t="s">
        <v>36</v>
      </c>
      <c r="G520" s="62" t="s">
        <v>37</v>
      </c>
      <c r="H520" s="63" t="s">
        <v>56</v>
      </c>
      <c r="I520" s="83" t="s">
        <v>994</v>
      </c>
      <c r="J520" s="62" t="s">
        <v>53</v>
      </c>
      <c r="K520" s="67" t="s">
        <v>995</v>
      </c>
      <c r="L520" s="70"/>
      <c r="M520" s="62"/>
      <c r="N520" s="62"/>
      <c r="O520" s="64"/>
      <c r="P520" s="79" t="s">
        <v>42</v>
      </c>
      <c r="Q520" s="73" t="s">
        <v>43</v>
      </c>
      <c r="R520" s="62"/>
    </row>
    <row r="521" ht="41.4" spans="1:18">
      <c r="A521" s="58">
        <v>498</v>
      </c>
      <c r="B521" s="90">
        <v>45729</v>
      </c>
      <c r="C521" s="64" t="s">
        <v>659</v>
      </c>
      <c r="D521" s="61" t="s">
        <v>72</v>
      </c>
      <c r="E521" s="62" t="s">
        <v>73</v>
      </c>
      <c r="F521" s="62" t="s">
        <v>36</v>
      </c>
      <c r="G521" s="62" t="s">
        <v>37</v>
      </c>
      <c r="H521" s="63" t="s">
        <v>38</v>
      </c>
      <c r="I521" s="83" t="s">
        <v>996</v>
      </c>
      <c r="J521" s="62" t="s">
        <v>88</v>
      </c>
      <c r="K521" s="67" t="s">
        <v>997</v>
      </c>
      <c r="L521" s="70"/>
      <c r="M521" s="62"/>
      <c r="N521" s="62"/>
      <c r="O521" s="64"/>
      <c r="P521" s="79" t="s">
        <v>42</v>
      </c>
      <c r="Q521" s="73" t="s">
        <v>43</v>
      </c>
      <c r="R521" s="62"/>
    </row>
    <row r="522" ht="27.6" spans="1:18">
      <c r="A522" s="58">
        <v>499</v>
      </c>
      <c r="B522" s="90">
        <v>45729</v>
      </c>
      <c r="C522" s="64" t="s">
        <v>659</v>
      </c>
      <c r="D522" s="61" t="s">
        <v>72</v>
      </c>
      <c r="E522" s="62" t="s">
        <v>73</v>
      </c>
      <c r="F522" s="62" t="s">
        <v>36</v>
      </c>
      <c r="G522" s="62" t="s">
        <v>37</v>
      </c>
      <c r="H522" s="63" t="s">
        <v>132</v>
      </c>
      <c r="I522" s="83" t="s">
        <v>998</v>
      </c>
      <c r="J522" s="62" t="s">
        <v>53</v>
      </c>
      <c r="K522" s="67" t="s">
        <v>999</v>
      </c>
      <c r="L522" s="70"/>
      <c r="M522" s="62"/>
      <c r="N522" s="62"/>
      <c r="O522" s="64"/>
      <c r="P522" s="79" t="s">
        <v>42</v>
      </c>
      <c r="Q522" s="73" t="s">
        <v>43</v>
      </c>
      <c r="R522" s="62"/>
    </row>
    <row r="523" ht="41.4" spans="1:18">
      <c r="A523" s="58">
        <v>500</v>
      </c>
      <c r="B523" s="90">
        <v>45729</v>
      </c>
      <c r="C523" s="69" t="s">
        <v>659</v>
      </c>
      <c r="D523" s="61" t="s">
        <v>72</v>
      </c>
      <c r="E523" s="63" t="s">
        <v>73</v>
      </c>
      <c r="F523" s="62" t="s">
        <v>36</v>
      </c>
      <c r="G523" s="62" t="s">
        <v>131</v>
      </c>
      <c r="H523" s="63" t="s">
        <v>56</v>
      </c>
      <c r="I523" s="83" t="s">
        <v>1000</v>
      </c>
      <c r="J523" s="62" t="s">
        <v>53</v>
      </c>
      <c r="K523" s="67" t="s">
        <v>1001</v>
      </c>
      <c r="L523" s="70"/>
      <c r="M523" s="62"/>
      <c r="N523" s="62"/>
      <c r="O523" s="64"/>
      <c r="P523" s="79" t="s">
        <v>42</v>
      </c>
      <c r="Q523" s="73" t="s">
        <v>43</v>
      </c>
      <c r="R523" s="62"/>
    </row>
    <row r="524" ht="27.6" spans="1:18">
      <c r="A524" s="58">
        <v>501</v>
      </c>
      <c r="B524" s="90">
        <v>45731</v>
      </c>
      <c r="C524" s="64" t="s">
        <v>632</v>
      </c>
      <c r="D524" s="61" t="s">
        <v>72</v>
      </c>
      <c r="E524" s="62" t="s">
        <v>73</v>
      </c>
      <c r="F524" s="62" t="s">
        <v>36</v>
      </c>
      <c r="G524" s="62" t="s">
        <v>45</v>
      </c>
      <c r="H524" s="63" t="s">
        <v>56</v>
      </c>
      <c r="I524" s="83" t="s">
        <v>1002</v>
      </c>
      <c r="J524" s="62" t="s">
        <v>53</v>
      </c>
      <c r="K524" s="67" t="s">
        <v>1003</v>
      </c>
      <c r="L524" s="70"/>
      <c r="M524" s="62"/>
      <c r="N524" s="62"/>
      <c r="O524" s="64"/>
      <c r="P524" s="79" t="s">
        <v>42</v>
      </c>
      <c r="Q524" s="73" t="s">
        <v>43</v>
      </c>
      <c r="R524" s="62"/>
    </row>
    <row r="525" ht="41.4" spans="1:18">
      <c r="A525" s="58">
        <v>502</v>
      </c>
      <c r="B525" s="90">
        <v>45732</v>
      </c>
      <c r="C525" s="64" t="s">
        <v>632</v>
      </c>
      <c r="D525" s="61" t="s">
        <v>72</v>
      </c>
      <c r="E525" s="62" t="s">
        <v>73</v>
      </c>
      <c r="F525" s="62" t="s">
        <v>50</v>
      </c>
      <c r="G525" s="62" t="s">
        <v>131</v>
      </c>
      <c r="H525" s="63" t="s">
        <v>51</v>
      </c>
      <c r="I525" s="83" t="s">
        <v>1004</v>
      </c>
      <c r="J525" s="62" t="s">
        <v>88</v>
      </c>
      <c r="K525" s="67" t="s">
        <v>1005</v>
      </c>
      <c r="L525" s="70"/>
      <c r="M525" s="62"/>
      <c r="N525" s="62"/>
      <c r="O525" s="64"/>
      <c r="P525" s="79" t="s">
        <v>42</v>
      </c>
      <c r="Q525" s="73" t="s">
        <v>43</v>
      </c>
      <c r="R525" s="62"/>
    </row>
    <row r="526" ht="55.2" spans="1:18">
      <c r="A526" s="58">
        <v>503</v>
      </c>
      <c r="B526" s="90">
        <v>45732</v>
      </c>
      <c r="C526" s="60" t="s">
        <v>632</v>
      </c>
      <c r="D526" s="61" t="s">
        <v>72</v>
      </c>
      <c r="E526" s="62" t="s">
        <v>73</v>
      </c>
      <c r="F526" s="62" t="s">
        <v>36</v>
      </c>
      <c r="G526" s="62" t="s">
        <v>45</v>
      </c>
      <c r="H526" s="62" t="s">
        <v>66</v>
      </c>
      <c r="I526" s="66" t="s">
        <v>1006</v>
      </c>
      <c r="J526" s="62" t="s">
        <v>53</v>
      </c>
      <c r="K526" s="67" t="s">
        <v>1007</v>
      </c>
      <c r="L526" s="70"/>
      <c r="M526" s="62"/>
      <c r="N526" s="62"/>
      <c r="O526" s="64"/>
      <c r="P526" s="79" t="s">
        <v>42</v>
      </c>
      <c r="Q526" s="73" t="s">
        <v>43</v>
      </c>
      <c r="R526" s="62"/>
    </row>
    <row r="527" ht="41.4" spans="1:18">
      <c r="A527" s="58">
        <v>504</v>
      </c>
      <c r="B527" s="90">
        <v>45733</v>
      </c>
      <c r="C527" s="64" t="s">
        <v>632</v>
      </c>
      <c r="D527" s="61" t="s">
        <v>72</v>
      </c>
      <c r="E527" s="62" t="s">
        <v>73</v>
      </c>
      <c r="F527" s="62" t="s">
        <v>50</v>
      </c>
      <c r="G527" s="62" t="s">
        <v>61</v>
      </c>
      <c r="H527" s="62" t="s">
        <v>1008</v>
      </c>
      <c r="I527" s="66" t="s">
        <v>1009</v>
      </c>
      <c r="J527" s="62" t="s">
        <v>53</v>
      </c>
      <c r="K527" s="67" t="s">
        <v>1010</v>
      </c>
      <c r="L527" s="70"/>
      <c r="M527" s="62"/>
      <c r="N527" s="62"/>
      <c r="O527" s="64"/>
      <c r="P527" s="79" t="s">
        <v>42</v>
      </c>
      <c r="Q527" s="73" t="s">
        <v>43</v>
      </c>
      <c r="R527" s="62"/>
    </row>
    <row r="528" ht="41.4" spans="1:18">
      <c r="A528" s="58">
        <v>505</v>
      </c>
      <c r="B528" s="90">
        <v>45734</v>
      </c>
      <c r="C528" s="64" t="s">
        <v>632</v>
      </c>
      <c r="D528" s="61" t="s">
        <v>72</v>
      </c>
      <c r="E528" s="62" t="s">
        <v>73</v>
      </c>
      <c r="F528" s="62" t="s">
        <v>36</v>
      </c>
      <c r="G528" s="62" t="s">
        <v>45</v>
      </c>
      <c r="H528" s="62" t="s">
        <v>56</v>
      </c>
      <c r="I528" s="66" t="s">
        <v>1011</v>
      </c>
      <c r="J528" s="62" t="s">
        <v>53</v>
      </c>
      <c r="K528" s="67" t="s">
        <v>1012</v>
      </c>
      <c r="L528" s="70"/>
      <c r="M528" s="62"/>
      <c r="N528" s="62"/>
      <c r="O528" s="64"/>
      <c r="P528" s="79" t="s">
        <v>42</v>
      </c>
      <c r="Q528" s="73" t="s">
        <v>43</v>
      </c>
      <c r="R528" s="62"/>
    </row>
    <row r="529" ht="52.8" spans="1:18">
      <c r="A529" s="58">
        <v>506</v>
      </c>
      <c r="B529" s="90">
        <v>45738</v>
      </c>
      <c r="C529" s="64" t="s">
        <v>640</v>
      </c>
      <c r="D529" s="61" t="s">
        <v>72</v>
      </c>
      <c r="E529" s="62" t="s">
        <v>73</v>
      </c>
      <c r="F529" s="62" t="s">
        <v>135</v>
      </c>
      <c r="G529" s="62" t="s">
        <v>79</v>
      </c>
      <c r="H529" s="62" t="s">
        <v>128</v>
      </c>
      <c r="I529" s="78" t="s">
        <v>1013</v>
      </c>
      <c r="J529" s="62" t="s">
        <v>137</v>
      </c>
      <c r="K529" s="67"/>
      <c r="L529" s="70"/>
      <c r="M529" s="62"/>
      <c r="N529" s="62"/>
      <c r="O529" s="64"/>
      <c r="P529" s="79" t="s">
        <v>42</v>
      </c>
      <c r="Q529" s="62" t="s">
        <v>8</v>
      </c>
      <c r="R529" s="62"/>
    </row>
    <row r="530" ht="27.6" spans="1:18">
      <c r="A530" s="58">
        <v>507</v>
      </c>
      <c r="B530" s="90">
        <v>45736</v>
      </c>
      <c r="C530" s="64" t="s">
        <v>640</v>
      </c>
      <c r="D530" s="61" t="s">
        <v>72</v>
      </c>
      <c r="E530" s="62" t="s">
        <v>73</v>
      </c>
      <c r="F530" s="62" t="s">
        <v>36</v>
      </c>
      <c r="G530" s="62" t="s">
        <v>61</v>
      </c>
      <c r="H530" s="62" t="s">
        <v>94</v>
      </c>
      <c r="I530" s="78" t="s">
        <v>1014</v>
      </c>
      <c r="J530" s="62" t="s">
        <v>88</v>
      </c>
      <c r="K530" s="67" t="s">
        <v>1015</v>
      </c>
      <c r="L530" s="70"/>
      <c r="M530" s="62"/>
      <c r="N530" s="62"/>
      <c r="O530" s="64"/>
      <c r="P530" s="79" t="s">
        <v>42</v>
      </c>
      <c r="Q530" s="73" t="s">
        <v>43</v>
      </c>
      <c r="R530" s="62"/>
    </row>
    <row r="531" ht="27.6" spans="1:18">
      <c r="A531" s="58">
        <v>508</v>
      </c>
      <c r="B531" s="90">
        <v>45737</v>
      </c>
      <c r="C531" s="64" t="s">
        <v>640</v>
      </c>
      <c r="D531" s="61" t="s">
        <v>72</v>
      </c>
      <c r="E531" s="62" t="s">
        <v>73</v>
      </c>
      <c r="F531" s="62" t="s">
        <v>36</v>
      </c>
      <c r="G531" s="62" t="s">
        <v>37</v>
      </c>
      <c r="H531" s="62" t="s">
        <v>56</v>
      </c>
      <c r="I531" s="78" t="s">
        <v>1016</v>
      </c>
      <c r="J531" s="62" t="s">
        <v>53</v>
      </c>
      <c r="K531" s="67" t="s">
        <v>1017</v>
      </c>
      <c r="L531" s="70"/>
      <c r="M531" s="62"/>
      <c r="N531" s="62"/>
      <c r="O531" s="64"/>
      <c r="P531" s="79" t="s">
        <v>42</v>
      </c>
      <c r="Q531" s="73" t="s">
        <v>43</v>
      </c>
      <c r="R531" s="62"/>
    </row>
    <row r="532" ht="55.2" spans="1:18">
      <c r="A532" s="58">
        <v>509</v>
      </c>
      <c r="B532" s="90">
        <v>45731</v>
      </c>
      <c r="C532" s="64" t="s">
        <v>659</v>
      </c>
      <c r="D532" s="61" t="s">
        <v>72</v>
      </c>
      <c r="E532" s="62" t="s">
        <v>73</v>
      </c>
      <c r="F532" s="63" t="s">
        <v>36</v>
      </c>
      <c r="G532" s="62" t="s">
        <v>37</v>
      </c>
      <c r="H532" s="62" t="s">
        <v>46</v>
      </c>
      <c r="I532" s="78" t="s">
        <v>1018</v>
      </c>
      <c r="J532" s="62" t="s">
        <v>53</v>
      </c>
      <c r="K532" s="67" t="s">
        <v>1019</v>
      </c>
      <c r="L532" s="70"/>
      <c r="M532" s="62"/>
      <c r="N532" s="62"/>
      <c r="O532" s="64"/>
      <c r="P532" s="79" t="s">
        <v>42</v>
      </c>
      <c r="Q532" s="73" t="s">
        <v>43</v>
      </c>
      <c r="R532" s="62"/>
    </row>
    <row r="533" ht="13.8" spans="1:18">
      <c r="A533" s="58">
        <v>510</v>
      </c>
      <c r="B533" s="90">
        <v>45732</v>
      </c>
      <c r="C533" s="64" t="s">
        <v>659</v>
      </c>
      <c r="D533" s="61" t="s">
        <v>72</v>
      </c>
      <c r="E533" s="62" t="s">
        <v>73</v>
      </c>
      <c r="F533" s="62" t="s">
        <v>36</v>
      </c>
      <c r="G533" s="62" t="s">
        <v>37</v>
      </c>
      <c r="H533" s="62" t="s">
        <v>132</v>
      </c>
      <c r="I533" s="78" t="s">
        <v>1020</v>
      </c>
      <c r="J533" s="62" t="s">
        <v>53</v>
      </c>
      <c r="K533" s="67" t="s">
        <v>1021</v>
      </c>
      <c r="L533" s="70"/>
      <c r="M533" s="62"/>
      <c r="N533" s="62"/>
      <c r="O533" s="64"/>
      <c r="P533" s="79" t="s">
        <v>42</v>
      </c>
      <c r="Q533" s="73" t="s">
        <v>43</v>
      </c>
      <c r="R533" s="62"/>
    </row>
    <row r="534" ht="27.6" spans="1:18">
      <c r="A534" s="58">
        <v>511</v>
      </c>
      <c r="B534" s="90">
        <v>45732</v>
      </c>
      <c r="C534" s="64" t="s">
        <v>659</v>
      </c>
      <c r="D534" s="61" t="s">
        <v>72</v>
      </c>
      <c r="E534" s="62" t="s">
        <v>73</v>
      </c>
      <c r="F534" s="62" t="s">
        <v>36</v>
      </c>
      <c r="G534" s="62" t="s">
        <v>37</v>
      </c>
      <c r="H534" s="62" t="s">
        <v>66</v>
      </c>
      <c r="I534" s="78" t="s">
        <v>1022</v>
      </c>
      <c r="J534" s="62" t="s">
        <v>53</v>
      </c>
      <c r="K534" s="67" t="s">
        <v>1023</v>
      </c>
      <c r="L534" s="70"/>
      <c r="M534" s="62"/>
      <c r="N534" s="62"/>
      <c r="O534" s="64"/>
      <c r="P534" s="79" t="s">
        <v>42</v>
      </c>
      <c r="Q534" s="73" t="s">
        <v>43</v>
      </c>
      <c r="R534" s="62"/>
    </row>
    <row r="535" ht="13.8" spans="1:18">
      <c r="A535" s="58">
        <v>512</v>
      </c>
      <c r="B535" s="90">
        <v>45717</v>
      </c>
      <c r="C535" s="64" t="s">
        <v>191</v>
      </c>
      <c r="D535" s="62" t="s">
        <v>35</v>
      </c>
      <c r="E535" s="62" t="s">
        <v>73</v>
      </c>
      <c r="F535" s="62" t="s">
        <v>36</v>
      </c>
      <c r="G535" s="62" t="s">
        <v>37</v>
      </c>
      <c r="H535" s="62" t="s">
        <v>56</v>
      </c>
      <c r="I535" s="78" t="s">
        <v>1024</v>
      </c>
      <c r="J535" s="62" t="s">
        <v>40</v>
      </c>
      <c r="K535" s="67" t="s">
        <v>1025</v>
      </c>
      <c r="L535" s="70"/>
      <c r="M535" s="62"/>
      <c r="N535" s="62"/>
      <c r="O535" s="64"/>
      <c r="P535" s="79" t="s">
        <v>42</v>
      </c>
      <c r="Q535" s="73" t="s">
        <v>43</v>
      </c>
      <c r="R535" s="62"/>
    </row>
    <row r="536" ht="13.8" spans="1:18">
      <c r="A536" s="58">
        <v>513</v>
      </c>
      <c r="B536" s="90">
        <v>45717</v>
      </c>
      <c r="C536" s="64" t="s">
        <v>191</v>
      </c>
      <c r="D536" s="62" t="s">
        <v>35</v>
      </c>
      <c r="E536" s="62" t="s">
        <v>73</v>
      </c>
      <c r="F536" s="62" t="s">
        <v>36</v>
      </c>
      <c r="G536" s="62" t="s">
        <v>45</v>
      </c>
      <c r="H536" s="62" t="s">
        <v>46</v>
      </c>
      <c r="I536" s="78" t="s">
        <v>1026</v>
      </c>
      <c r="J536" s="62" t="s">
        <v>91</v>
      </c>
      <c r="K536" s="67" t="s">
        <v>1027</v>
      </c>
      <c r="L536" s="70"/>
      <c r="M536" s="62"/>
      <c r="N536" s="62"/>
      <c r="O536" s="64"/>
      <c r="P536" s="79" t="s">
        <v>42</v>
      </c>
      <c r="Q536" s="73" t="s">
        <v>43</v>
      </c>
      <c r="R536" s="62"/>
    </row>
    <row r="537" ht="13.8" spans="1:18">
      <c r="A537" s="58">
        <v>514</v>
      </c>
      <c r="B537" s="90">
        <v>45717</v>
      </c>
      <c r="C537" s="64" t="s">
        <v>191</v>
      </c>
      <c r="D537" s="62" t="s">
        <v>35</v>
      </c>
      <c r="E537" s="62" t="s">
        <v>73</v>
      </c>
      <c r="F537" s="62" t="s">
        <v>36</v>
      </c>
      <c r="G537" s="62" t="s">
        <v>93</v>
      </c>
      <c r="H537" s="62" t="s">
        <v>97</v>
      </c>
      <c r="I537" s="78" t="s">
        <v>1028</v>
      </c>
      <c r="J537" s="62" t="s">
        <v>91</v>
      </c>
      <c r="K537" s="67" t="s">
        <v>1029</v>
      </c>
      <c r="L537" s="70"/>
      <c r="M537" s="62"/>
      <c r="N537" s="62"/>
      <c r="O537" s="64"/>
      <c r="P537" s="79" t="s">
        <v>42</v>
      </c>
      <c r="Q537" s="73" t="s">
        <v>43</v>
      </c>
      <c r="R537" s="62"/>
    </row>
    <row r="538" ht="13.8" spans="1:18">
      <c r="A538" s="58">
        <v>515</v>
      </c>
      <c r="B538" s="90">
        <v>45717</v>
      </c>
      <c r="C538" s="64" t="s">
        <v>191</v>
      </c>
      <c r="D538" s="62" t="s">
        <v>35</v>
      </c>
      <c r="E538" s="62" t="s">
        <v>73</v>
      </c>
      <c r="F538" s="62" t="s">
        <v>135</v>
      </c>
      <c r="G538" s="62" t="s">
        <v>61</v>
      </c>
      <c r="H538" s="62" t="s">
        <v>56</v>
      </c>
      <c r="I538" s="78" t="s">
        <v>1030</v>
      </c>
      <c r="J538" s="62" t="s">
        <v>137</v>
      </c>
      <c r="K538" s="67"/>
      <c r="L538" s="70"/>
      <c r="M538" s="62"/>
      <c r="N538" s="62"/>
      <c r="O538" s="64"/>
      <c r="P538" s="79" t="s">
        <v>42</v>
      </c>
      <c r="Q538" s="62" t="s">
        <v>8</v>
      </c>
      <c r="R538" s="62"/>
    </row>
    <row r="539" ht="27.6" spans="1:18">
      <c r="A539" s="58">
        <v>516</v>
      </c>
      <c r="B539" s="90">
        <v>45717</v>
      </c>
      <c r="C539" s="64" t="s">
        <v>49</v>
      </c>
      <c r="D539" s="62" t="s">
        <v>35</v>
      </c>
      <c r="E539" s="62" t="s">
        <v>73</v>
      </c>
      <c r="F539" s="62" t="s">
        <v>36</v>
      </c>
      <c r="G539" s="62" t="s">
        <v>82</v>
      </c>
      <c r="H539" s="62" t="s">
        <v>94</v>
      </c>
      <c r="I539" s="78" t="s">
        <v>422</v>
      </c>
      <c r="J539" s="62" t="s">
        <v>40</v>
      </c>
      <c r="K539" s="67" t="s">
        <v>423</v>
      </c>
      <c r="L539" s="70"/>
      <c r="M539" s="62"/>
      <c r="N539" s="62"/>
      <c r="O539" s="64"/>
      <c r="P539" s="79" t="s">
        <v>42</v>
      </c>
      <c r="Q539" s="73" t="s">
        <v>43</v>
      </c>
      <c r="R539" s="62"/>
    </row>
    <row r="540" ht="13.8" spans="1:18">
      <c r="A540" s="58">
        <v>517</v>
      </c>
      <c r="B540" s="90">
        <v>45717</v>
      </c>
      <c r="C540" s="64" t="s">
        <v>49</v>
      </c>
      <c r="D540" s="62" t="s">
        <v>35</v>
      </c>
      <c r="E540" s="62" t="s">
        <v>73</v>
      </c>
      <c r="F540" s="62" t="s">
        <v>36</v>
      </c>
      <c r="G540" s="62" t="s">
        <v>131</v>
      </c>
      <c r="H540" s="62" t="s">
        <v>56</v>
      </c>
      <c r="I540" s="78" t="s">
        <v>431</v>
      </c>
      <c r="J540" s="62" t="s">
        <v>88</v>
      </c>
      <c r="K540" s="67" t="s">
        <v>430</v>
      </c>
      <c r="L540" s="70"/>
      <c r="M540" s="62"/>
      <c r="N540" s="62"/>
      <c r="O540" s="64"/>
      <c r="P540" s="79" t="s">
        <v>42</v>
      </c>
      <c r="Q540" s="73" t="s">
        <v>43</v>
      </c>
      <c r="R540" s="62"/>
    </row>
    <row r="541" ht="13.8" spans="1:18">
      <c r="A541" s="58">
        <v>518</v>
      </c>
      <c r="B541" s="90">
        <v>45717</v>
      </c>
      <c r="C541" s="64" t="s">
        <v>191</v>
      </c>
      <c r="D541" s="62" t="s">
        <v>35</v>
      </c>
      <c r="E541" s="62" t="s">
        <v>73</v>
      </c>
      <c r="F541" s="62" t="s">
        <v>36</v>
      </c>
      <c r="G541" s="62" t="s">
        <v>61</v>
      </c>
      <c r="H541" s="62" t="s">
        <v>66</v>
      </c>
      <c r="I541" s="78" t="s">
        <v>1031</v>
      </c>
      <c r="J541" s="62" t="s">
        <v>53</v>
      </c>
      <c r="K541" s="67" t="s">
        <v>1032</v>
      </c>
      <c r="L541" s="70"/>
      <c r="M541" s="62"/>
      <c r="N541" s="62"/>
      <c r="O541" s="64"/>
      <c r="P541" s="79" t="s">
        <v>42</v>
      </c>
      <c r="Q541" s="73" t="s">
        <v>43</v>
      </c>
      <c r="R541" s="62"/>
    </row>
    <row r="542" ht="13.8" spans="1:18">
      <c r="A542" s="58">
        <v>519</v>
      </c>
      <c r="B542" s="90">
        <v>45717</v>
      </c>
      <c r="C542" s="64" t="s">
        <v>208</v>
      </c>
      <c r="D542" s="62" t="s">
        <v>35</v>
      </c>
      <c r="E542" s="62" t="s">
        <v>73</v>
      </c>
      <c r="F542" s="62" t="s">
        <v>36</v>
      </c>
      <c r="G542" s="62" t="s">
        <v>61</v>
      </c>
      <c r="H542" s="62" t="s">
        <v>94</v>
      </c>
      <c r="I542" s="78" t="s">
        <v>196</v>
      </c>
      <c r="J542" s="62" t="s">
        <v>53</v>
      </c>
      <c r="K542" s="67" t="s">
        <v>197</v>
      </c>
      <c r="L542" s="70"/>
      <c r="M542" s="62"/>
      <c r="N542" s="62"/>
      <c r="O542" s="64"/>
      <c r="P542" s="79" t="s">
        <v>42</v>
      </c>
      <c r="Q542" s="73" t="s">
        <v>43</v>
      </c>
      <c r="R542" s="62"/>
    </row>
    <row r="543" ht="27.6" spans="1:18">
      <c r="A543" s="58">
        <v>520</v>
      </c>
      <c r="B543" s="90">
        <v>45717</v>
      </c>
      <c r="C543" s="64" t="s">
        <v>208</v>
      </c>
      <c r="D543" s="62" t="s">
        <v>35</v>
      </c>
      <c r="E543" s="62" t="s">
        <v>73</v>
      </c>
      <c r="F543" s="62" t="s">
        <v>36</v>
      </c>
      <c r="G543" s="62" t="s">
        <v>61</v>
      </c>
      <c r="H543" s="62" t="s">
        <v>97</v>
      </c>
      <c r="I543" s="78" t="s">
        <v>1033</v>
      </c>
      <c r="J543" s="62" t="s">
        <v>53</v>
      </c>
      <c r="K543" s="67" t="s">
        <v>1034</v>
      </c>
      <c r="L543" s="70"/>
      <c r="M543" s="62"/>
      <c r="N543" s="62"/>
      <c r="O543" s="64"/>
      <c r="P543" s="79" t="s">
        <v>42</v>
      </c>
      <c r="Q543" s="73" t="s">
        <v>43</v>
      </c>
      <c r="R543" s="62"/>
    </row>
    <row r="544" ht="13.8" spans="1:18">
      <c r="A544" s="58">
        <v>521</v>
      </c>
      <c r="B544" s="90">
        <v>45717</v>
      </c>
      <c r="C544" s="64" t="s">
        <v>49</v>
      </c>
      <c r="D544" s="62" t="s">
        <v>35</v>
      </c>
      <c r="E544" s="62" t="s">
        <v>73</v>
      </c>
      <c r="F544" s="62" t="s">
        <v>36</v>
      </c>
      <c r="G544" s="62" t="s">
        <v>131</v>
      </c>
      <c r="H544" s="62" t="s">
        <v>56</v>
      </c>
      <c r="I544" s="78" t="s">
        <v>1035</v>
      </c>
      <c r="J544" s="62" t="s">
        <v>53</v>
      </c>
      <c r="K544" s="67" t="s">
        <v>1036</v>
      </c>
      <c r="L544" s="70"/>
      <c r="M544" s="62"/>
      <c r="N544" s="62"/>
      <c r="O544" s="64"/>
      <c r="P544" s="79" t="s">
        <v>42</v>
      </c>
      <c r="Q544" s="73" t="s">
        <v>43</v>
      </c>
      <c r="R544" s="62"/>
    </row>
    <row r="545" ht="27.6" spans="1:18">
      <c r="A545" s="58">
        <v>522</v>
      </c>
      <c r="B545" s="90">
        <v>45717</v>
      </c>
      <c r="C545" s="64" t="s">
        <v>208</v>
      </c>
      <c r="D545" s="62" t="s">
        <v>35</v>
      </c>
      <c r="E545" s="62" t="s">
        <v>73</v>
      </c>
      <c r="F545" s="62" t="s">
        <v>36</v>
      </c>
      <c r="G545" s="62" t="s">
        <v>131</v>
      </c>
      <c r="H545" s="62" t="s">
        <v>56</v>
      </c>
      <c r="I545" s="78" t="s">
        <v>178</v>
      </c>
      <c r="J545" s="62" t="s">
        <v>53</v>
      </c>
      <c r="K545" s="67" t="s">
        <v>179</v>
      </c>
      <c r="L545" s="70"/>
      <c r="M545" s="62"/>
      <c r="N545" s="62"/>
      <c r="O545" s="64"/>
      <c r="P545" s="79" t="s">
        <v>42</v>
      </c>
      <c r="Q545" s="73" t="s">
        <v>43</v>
      </c>
      <c r="R545" s="62"/>
    </row>
    <row r="546" ht="27.6" spans="1:18">
      <c r="A546" s="58">
        <v>523</v>
      </c>
      <c r="B546" s="90">
        <v>45717</v>
      </c>
      <c r="C546" s="64" t="s">
        <v>208</v>
      </c>
      <c r="D546" s="62" t="s">
        <v>35</v>
      </c>
      <c r="E546" s="62" t="s">
        <v>73</v>
      </c>
      <c r="F546" s="62" t="s">
        <v>36</v>
      </c>
      <c r="G546" s="62" t="s">
        <v>55</v>
      </c>
      <c r="H546" s="62" t="s">
        <v>38</v>
      </c>
      <c r="I546" s="78" t="s">
        <v>419</v>
      </c>
      <c r="J546" s="62" t="s">
        <v>40</v>
      </c>
      <c r="K546" s="67" t="s">
        <v>420</v>
      </c>
      <c r="L546" s="70"/>
      <c r="M546" s="62"/>
      <c r="N546" s="62"/>
      <c r="O546" s="64"/>
      <c r="P546" s="79" t="s">
        <v>42</v>
      </c>
      <c r="Q546" s="73" t="s">
        <v>43</v>
      </c>
      <c r="R546" s="62"/>
    </row>
    <row r="547" ht="41.4" spans="1:18">
      <c r="A547" s="58">
        <v>524</v>
      </c>
      <c r="B547" s="90">
        <v>45717</v>
      </c>
      <c r="C547" s="64" t="s">
        <v>191</v>
      </c>
      <c r="D547" s="62" t="s">
        <v>35</v>
      </c>
      <c r="E547" s="62" t="s">
        <v>73</v>
      </c>
      <c r="F547" s="65" t="s">
        <v>36</v>
      </c>
      <c r="G547" s="65" t="s">
        <v>55</v>
      </c>
      <c r="H547" s="65" t="s">
        <v>38</v>
      </c>
      <c r="I547" s="80" t="s">
        <v>1037</v>
      </c>
      <c r="J547" s="62" t="s">
        <v>40</v>
      </c>
      <c r="K547" s="91" t="s">
        <v>1038</v>
      </c>
      <c r="L547" s="87"/>
      <c r="M547" s="65"/>
      <c r="N547" s="65"/>
      <c r="O547" s="81"/>
      <c r="P547" s="82" t="s">
        <v>42</v>
      </c>
      <c r="Q547" s="73" t="s">
        <v>43</v>
      </c>
      <c r="R547" s="65"/>
    </row>
    <row r="548" ht="27.6" spans="1:18">
      <c r="A548" s="58">
        <v>525</v>
      </c>
      <c r="B548" s="90">
        <v>45717</v>
      </c>
      <c r="C548" s="64" t="s">
        <v>208</v>
      </c>
      <c r="D548" s="62" t="s">
        <v>35</v>
      </c>
      <c r="E548" s="62" t="s">
        <v>73</v>
      </c>
      <c r="F548" s="65" t="s">
        <v>36</v>
      </c>
      <c r="G548" s="65" t="s">
        <v>131</v>
      </c>
      <c r="H548" s="62" t="s">
        <v>56</v>
      </c>
      <c r="I548" s="78" t="s">
        <v>1039</v>
      </c>
      <c r="J548" s="62" t="s">
        <v>40</v>
      </c>
      <c r="K548" s="67" t="s">
        <v>1040</v>
      </c>
      <c r="L548" s="70"/>
      <c r="M548" s="62"/>
      <c r="N548" s="62"/>
      <c r="O548" s="64"/>
      <c r="P548" s="79" t="s">
        <v>42</v>
      </c>
      <c r="Q548" s="73" t="s">
        <v>43</v>
      </c>
      <c r="R548" s="62"/>
    </row>
    <row r="549" ht="41.4" spans="1:18">
      <c r="A549" s="58">
        <v>526</v>
      </c>
      <c r="B549" s="90">
        <v>45717</v>
      </c>
      <c r="C549" s="64" t="s">
        <v>191</v>
      </c>
      <c r="D549" s="62" t="s">
        <v>35</v>
      </c>
      <c r="E549" s="62" t="s">
        <v>73</v>
      </c>
      <c r="F549" s="65" t="s">
        <v>36</v>
      </c>
      <c r="G549" s="65" t="s">
        <v>45</v>
      </c>
      <c r="H549" s="62" t="s">
        <v>56</v>
      </c>
      <c r="I549" s="78" t="s">
        <v>1041</v>
      </c>
      <c r="J549" s="62" t="s">
        <v>40</v>
      </c>
      <c r="K549" s="67" t="s">
        <v>1042</v>
      </c>
      <c r="L549" s="70"/>
      <c r="M549" s="62"/>
      <c r="N549" s="62"/>
      <c r="O549" s="64"/>
      <c r="P549" s="79" t="s">
        <v>42</v>
      </c>
      <c r="Q549" s="73" t="s">
        <v>43</v>
      </c>
      <c r="R549" s="62"/>
    </row>
    <row r="550" ht="13.8" spans="1:18">
      <c r="A550" s="58">
        <v>527</v>
      </c>
      <c r="B550" s="90">
        <v>45718</v>
      </c>
      <c r="C550" s="60" t="s">
        <v>191</v>
      </c>
      <c r="D550" s="62" t="s">
        <v>35</v>
      </c>
      <c r="E550" s="62" t="s">
        <v>73</v>
      </c>
      <c r="F550" s="65" t="s">
        <v>36</v>
      </c>
      <c r="G550" s="65" t="s">
        <v>131</v>
      </c>
      <c r="H550" s="62" t="s">
        <v>94</v>
      </c>
      <c r="I550" s="78" t="s">
        <v>1043</v>
      </c>
      <c r="J550" s="62" t="s">
        <v>91</v>
      </c>
      <c r="K550" s="67" t="s">
        <v>1044</v>
      </c>
      <c r="L550" s="70"/>
      <c r="M550" s="62"/>
      <c r="N550" s="62"/>
      <c r="O550" s="64"/>
      <c r="P550" s="79" t="s">
        <v>42</v>
      </c>
      <c r="Q550" s="73" t="s">
        <v>43</v>
      </c>
      <c r="R550" s="62"/>
    </row>
    <row r="551" ht="13.8" spans="1:18">
      <c r="A551" s="58">
        <v>528</v>
      </c>
      <c r="B551" s="90">
        <v>45718</v>
      </c>
      <c r="C551" s="60" t="s">
        <v>49</v>
      </c>
      <c r="D551" s="62" t="s">
        <v>35</v>
      </c>
      <c r="E551" s="62" t="s">
        <v>73</v>
      </c>
      <c r="F551" s="65" t="s">
        <v>50</v>
      </c>
      <c r="G551" s="65" t="s">
        <v>55</v>
      </c>
      <c r="H551" s="62" t="s">
        <v>97</v>
      </c>
      <c r="I551" s="78" t="s">
        <v>1045</v>
      </c>
      <c r="J551" s="62" t="s">
        <v>53</v>
      </c>
      <c r="K551" s="67" t="s">
        <v>1046</v>
      </c>
      <c r="L551" s="70"/>
      <c r="M551" s="62"/>
      <c r="N551" s="62"/>
      <c r="O551" s="64"/>
      <c r="P551" s="79" t="s">
        <v>42</v>
      </c>
      <c r="Q551" s="73" t="s">
        <v>43</v>
      </c>
      <c r="R551" s="62"/>
    </row>
    <row r="552" ht="13.8" spans="1:18">
      <c r="A552" s="58">
        <v>529</v>
      </c>
      <c r="B552" s="90">
        <v>45718</v>
      </c>
      <c r="C552" s="60" t="s">
        <v>191</v>
      </c>
      <c r="D552" s="62" t="s">
        <v>35</v>
      </c>
      <c r="E552" s="62" t="s">
        <v>73</v>
      </c>
      <c r="F552" s="65" t="s">
        <v>36</v>
      </c>
      <c r="G552" s="65" t="s">
        <v>65</v>
      </c>
      <c r="H552" s="62" t="s">
        <v>97</v>
      </c>
      <c r="I552" s="78" t="s">
        <v>1047</v>
      </c>
      <c r="J552" s="62" t="s">
        <v>40</v>
      </c>
      <c r="K552" s="67" t="s">
        <v>1048</v>
      </c>
      <c r="L552" s="70"/>
      <c r="M552" s="62"/>
      <c r="N552" s="62"/>
      <c r="O552" s="64"/>
      <c r="P552" s="79" t="s">
        <v>42</v>
      </c>
      <c r="Q552" s="73" t="s">
        <v>43</v>
      </c>
      <c r="R552" s="62"/>
    </row>
    <row r="553" ht="13.8" spans="1:18">
      <c r="A553" s="58">
        <v>530</v>
      </c>
      <c r="B553" s="90">
        <v>45718</v>
      </c>
      <c r="C553" s="64" t="s">
        <v>49</v>
      </c>
      <c r="D553" s="62" t="s">
        <v>35</v>
      </c>
      <c r="E553" s="62" t="s">
        <v>73</v>
      </c>
      <c r="F553" s="65" t="s">
        <v>36</v>
      </c>
      <c r="G553" s="65" t="s">
        <v>37</v>
      </c>
      <c r="H553" s="62" t="s">
        <v>56</v>
      </c>
      <c r="I553" s="78" t="s">
        <v>1049</v>
      </c>
      <c r="J553" s="62" t="s">
        <v>40</v>
      </c>
      <c r="K553" s="67" t="s">
        <v>1050</v>
      </c>
      <c r="L553" s="70"/>
      <c r="M553" s="62"/>
      <c r="N553" s="62"/>
      <c r="O553" s="64"/>
      <c r="P553" s="79" t="s">
        <v>42</v>
      </c>
      <c r="Q553" s="73" t="s">
        <v>43</v>
      </c>
      <c r="R553" s="62"/>
    </row>
    <row r="554" ht="13.8" spans="1:18">
      <c r="A554" s="58">
        <v>531</v>
      </c>
      <c r="B554" s="90">
        <v>45718</v>
      </c>
      <c r="C554" s="64" t="s">
        <v>49</v>
      </c>
      <c r="D554" s="62" t="s">
        <v>35</v>
      </c>
      <c r="E554" s="62" t="s">
        <v>73</v>
      </c>
      <c r="F554" s="65" t="s">
        <v>50</v>
      </c>
      <c r="G554" s="65" t="s">
        <v>65</v>
      </c>
      <c r="H554" s="62" t="s">
        <v>97</v>
      </c>
      <c r="I554" s="78" t="s">
        <v>1051</v>
      </c>
      <c r="J554" s="62" t="s">
        <v>91</v>
      </c>
      <c r="K554" s="67" t="s">
        <v>1052</v>
      </c>
      <c r="L554" s="70"/>
      <c r="M554" s="62"/>
      <c r="N554" s="62"/>
      <c r="O554" s="64"/>
      <c r="P554" s="79" t="s">
        <v>42</v>
      </c>
      <c r="Q554" s="73" t="s">
        <v>43</v>
      </c>
      <c r="R554" s="62"/>
    </row>
    <row r="555" ht="13.8" spans="1:18">
      <c r="A555" s="58">
        <v>532</v>
      </c>
      <c r="B555" s="90">
        <v>45718</v>
      </c>
      <c r="C555" s="64" t="s">
        <v>191</v>
      </c>
      <c r="D555" s="62" t="s">
        <v>35</v>
      </c>
      <c r="E555" s="62" t="s">
        <v>73</v>
      </c>
      <c r="F555" s="65" t="s">
        <v>135</v>
      </c>
      <c r="G555" s="65" t="s">
        <v>45</v>
      </c>
      <c r="H555" s="62" t="s">
        <v>56</v>
      </c>
      <c r="I555" s="78" t="s">
        <v>1053</v>
      </c>
      <c r="J555" s="62" t="s">
        <v>137</v>
      </c>
      <c r="K555" s="67" t="s">
        <v>1054</v>
      </c>
      <c r="L555" s="70"/>
      <c r="M555" s="62"/>
      <c r="N555" s="62"/>
      <c r="O555" s="64"/>
      <c r="P555" s="79" t="s">
        <v>42</v>
      </c>
      <c r="Q555" s="62" t="s">
        <v>8</v>
      </c>
      <c r="R555" s="62"/>
    </row>
    <row r="556" ht="13.8" spans="1:18">
      <c r="A556" s="58">
        <v>533</v>
      </c>
      <c r="B556" s="90">
        <v>45718</v>
      </c>
      <c r="C556" s="64" t="s">
        <v>191</v>
      </c>
      <c r="D556" s="62" t="s">
        <v>35</v>
      </c>
      <c r="E556" s="62" t="s">
        <v>73</v>
      </c>
      <c r="F556" s="65" t="s">
        <v>135</v>
      </c>
      <c r="G556" s="65" t="s">
        <v>45</v>
      </c>
      <c r="H556" s="62" t="s">
        <v>66</v>
      </c>
      <c r="I556" s="78" t="s">
        <v>1055</v>
      </c>
      <c r="J556" s="62" t="s">
        <v>137</v>
      </c>
      <c r="K556" s="67" t="s">
        <v>1056</v>
      </c>
      <c r="L556" s="70"/>
      <c r="M556" s="62"/>
      <c r="N556" s="62"/>
      <c r="O556" s="64"/>
      <c r="P556" s="79" t="s">
        <v>42</v>
      </c>
      <c r="Q556" s="62" t="s">
        <v>8</v>
      </c>
      <c r="R556" s="62"/>
    </row>
    <row r="557" ht="13.8" spans="1:18">
      <c r="A557" s="58">
        <v>534</v>
      </c>
      <c r="B557" s="90">
        <v>45719</v>
      </c>
      <c r="C557" s="64" t="s">
        <v>34</v>
      </c>
      <c r="D557" s="62" t="s">
        <v>35</v>
      </c>
      <c r="E557" s="62" t="s">
        <v>73</v>
      </c>
      <c r="F557" s="65" t="s">
        <v>36</v>
      </c>
      <c r="G557" s="65" t="s">
        <v>55</v>
      </c>
      <c r="H557" s="62" t="s">
        <v>56</v>
      </c>
      <c r="I557" s="78" t="s">
        <v>1057</v>
      </c>
      <c r="J557" s="62" t="s">
        <v>40</v>
      </c>
      <c r="K557" s="67" t="s">
        <v>1046</v>
      </c>
      <c r="L557" s="70"/>
      <c r="M557" s="62"/>
      <c r="N557" s="62"/>
      <c r="O557" s="64"/>
      <c r="P557" s="79" t="s">
        <v>42</v>
      </c>
      <c r="Q557" s="73" t="s">
        <v>43</v>
      </c>
      <c r="R557" s="62"/>
    </row>
    <row r="558" ht="39.6" spans="1:18">
      <c r="A558" s="58">
        <v>535</v>
      </c>
      <c r="B558" s="90">
        <v>45719</v>
      </c>
      <c r="C558" s="64" t="s">
        <v>191</v>
      </c>
      <c r="D558" s="62" t="s">
        <v>35</v>
      </c>
      <c r="E558" s="62" t="s">
        <v>73</v>
      </c>
      <c r="F558" s="65" t="s">
        <v>36</v>
      </c>
      <c r="G558" s="65" t="s">
        <v>93</v>
      </c>
      <c r="H558" s="62" t="s">
        <v>56</v>
      </c>
      <c r="I558" s="78" t="s">
        <v>1058</v>
      </c>
      <c r="J558" s="62" t="s">
        <v>40</v>
      </c>
      <c r="K558" s="67" t="s">
        <v>1059</v>
      </c>
      <c r="L558" s="70"/>
      <c r="M558" s="62"/>
      <c r="N558" s="62"/>
      <c r="O558" s="64"/>
      <c r="P558" s="79" t="s">
        <v>42</v>
      </c>
      <c r="Q558" s="73" t="s">
        <v>43</v>
      </c>
      <c r="R558" s="62"/>
    </row>
    <row r="559" ht="13.8" spans="1:18">
      <c r="A559" s="58">
        <v>536</v>
      </c>
      <c r="B559" s="90">
        <v>45719</v>
      </c>
      <c r="C559" s="64" t="s">
        <v>191</v>
      </c>
      <c r="D559" s="62" t="s">
        <v>35</v>
      </c>
      <c r="E559" s="62" t="s">
        <v>73</v>
      </c>
      <c r="F559" s="65" t="s">
        <v>50</v>
      </c>
      <c r="G559" s="65" t="s">
        <v>65</v>
      </c>
      <c r="H559" s="62" t="s">
        <v>97</v>
      </c>
      <c r="I559" s="78" t="s">
        <v>1060</v>
      </c>
      <c r="J559" s="62" t="s">
        <v>88</v>
      </c>
      <c r="K559" s="67" t="s">
        <v>194</v>
      </c>
      <c r="L559" s="70"/>
      <c r="M559" s="62"/>
      <c r="N559" s="62"/>
      <c r="O559" s="64"/>
      <c r="P559" s="79" t="s">
        <v>42</v>
      </c>
      <c r="Q559" s="73" t="s">
        <v>43</v>
      </c>
      <c r="R559" s="62"/>
    </row>
    <row r="560" ht="27.6" spans="1:18">
      <c r="A560" s="58">
        <v>537</v>
      </c>
      <c r="B560" s="90">
        <v>45719</v>
      </c>
      <c r="C560" s="64" t="s">
        <v>191</v>
      </c>
      <c r="D560" s="62" t="s">
        <v>35</v>
      </c>
      <c r="E560" s="62" t="s">
        <v>73</v>
      </c>
      <c r="F560" s="65" t="s">
        <v>36</v>
      </c>
      <c r="G560" s="65" t="s">
        <v>61</v>
      </c>
      <c r="H560" s="62" t="s">
        <v>132</v>
      </c>
      <c r="I560" s="78" t="s">
        <v>1061</v>
      </c>
      <c r="J560" s="62" t="s">
        <v>91</v>
      </c>
      <c r="K560" s="67" t="s">
        <v>1062</v>
      </c>
      <c r="L560" s="70"/>
      <c r="M560" s="62"/>
      <c r="N560" s="62"/>
      <c r="O560" s="64"/>
      <c r="P560" s="79" t="s">
        <v>42</v>
      </c>
      <c r="Q560" s="73" t="s">
        <v>43</v>
      </c>
      <c r="R560" s="62"/>
    </row>
    <row r="561" ht="27.6" spans="1:18">
      <c r="A561" s="58">
        <v>538</v>
      </c>
      <c r="B561" s="90">
        <v>45719</v>
      </c>
      <c r="C561" s="64" t="s">
        <v>49</v>
      </c>
      <c r="D561" s="62" t="s">
        <v>35</v>
      </c>
      <c r="E561" s="62" t="s">
        <v>73</v>
      </c>
      <c r="F561" s="65" t="s">
        <v>36</v>
      </c>
      <c r="G561" s="65" t="s">
        <v>131</v>
      </c>
      <c r="H561" s="62" t="s">
        <v>97</v>
      </c>
      <c r="I561" s="78" t="s">
        <v>1063</v>
      </c>
      <c r="J561" s="62" t="s">
        <v>91</v>
      </c>
      <c r="K561" s="67" t="s">
        <v>1064</v>
      </c>
      <c r="L561" s="70"/>
      <c r="M561" s="62"/>
      <c r="N561" s="62"/>
      <c r="O561" s="64"/>
      <c r="P561" s="79" t="s">
        <v>42</v>
      </c>
      <c r="Q561" s="73" t="s">
        <v>43</v>
      </c>
      <c r="R561" s="62"/>
    </row>
    <row r="562" ht="13.8" spans="1:18">
      <c r="A562" s="58">
        <v>539</v>
      </c>
      <c r="B562" s="90">
        <v>45720</v>
      </c>
      <c r="C562" s="64" t="s">
        <v>49</v>
      </c>
      <c r="D562" s="62" t="s">
        <v>35</v>
      </c>
      <c r="E562" s="62" t="s">
        <v>73</v>
      </c>
      <c r="F562" s="65" t="s">
        <v>135</v>
      </c>
      <c r="G562" s="65" t="s">
        <v>45</v>
      </c>
      <c r="H562" s="62" t="s">
        <v>46</v>
      </c>
      <c r="I562" s="78" t="s">
        <v>1065</v>
      </c>
      <c r="J562" s="62" t="s">
        <v>137</v>
      </c>
      <c r="K562" s="67" t="s">
        <v>194</v>
      </c>
      <c r="L562" s="70"/>
      <c r="M562" s="62"/>
      <c r="N562" s="62"/>
      <c r="O562" s="64"/>
      <c r="P562" s="79" t="s">
        <v>42</v>
      </c>
      <c r="Q562" s="62" t="s">
        <v>8</v>
      </c>
      <c r="R562" s="62"/>
    </row>
    <row r="563" ht="13.8" spans="1:18">
      <c r="A563" s="58">
        <v>540</v>
      </c>
      <c r="B563" s="90">
        <v>45720</v>
      </c>
      <c r="C563" s="64" t="s">
        <v>191</v>
      </c>
      <c r="D563" s="62" t="s">
        <v>35</v>
      </c>
      <c r="E563" s="62" t="s">
        <v>73</v>
      </c>
      <c r="F563" s="65" t="s">
        <v>36</v>
      </c>
      <c r="G563" s="65" t="s">
        <v>93</v>
      </c>
      <c r="H563" s="62" t="s">
        <v>56</v>
      </c>
      <c r="I563" s="78" t="s">
        <v>1066</v>
      </c>
      <c r="J563" s="62" t="s">
        <v>40</v>
      </c>
      <c r="K563" s="67" t="s">
        <v>356</v>
      </c>
      <c r="L563" s="70"/>
      <c r="M563" s="62"/>
      <c r="N563" s="62"/>
      <c r="O563" s="64"/>
      <c r="P563" s="79" t="s">
        <v>42</v>
      </c>
      <c r="Q563" s="73" t="s">
        <v>43</v>
      </c>
      <c r="R563" s="62"/>
    </row>
    <row r="564" ht="13.8" spans="1:18">
      <c r="A564" s="58">
        <v>541</v>
      </c>
      <c r="B564" s="90">
        <v>45721</v>
      </c>
      <c r="C564" s="64" t="s">
        <v>191</v>
      </c>
      <c r="D564" s="62" t="s">
        <v>35</v>
      </c>
      <c r="E564" s="62" t="s">
        <v>73</v>
      </c>
      <c r="F564" s="65" t="s">
        <v>36</v>
      </c>
      <c r="G564" s="65" t="s">
        <v>61</v>
      </c>
      <c r="H564" s="62" t="s">
        <v>66</v>
      </c>
      <c r="I564" s="78" t="s">
        <v>1067</v>
      </c>
      <c r="J564" s="62" t="s">
        <v>40</v>
      </c>
      <c r="K564" s="67" t="s">
        <v>1046</v>
      </c>
      <c r="L564" s="70"/>
      <c r="M564" s="62"/>
      <c r="N564" s="62"/>
      <c r="O564" s="64"/>
      <c r="P564" s="79" t="s">
        <v>42</v>
      </c>
      <c r="Q564" s="73" t="s">
        <v>43</v>
      </c>
      <c r="R564" s="62"/>
    </row>
    <row r="565" ht="13.8" spans="1:18">
      <c r="A565" s="58">
        <v>542</v>
      </c>
      <c r="B565" s="90">
        <v>45721</v>
      </c>
      <c r="C565" s="64" t="s">
        <v>49</v>
      </c>
      <c r="D565" s="62" t="s">
        <v>35</v>
      </c>
      <c r="E565" s="62" t="s">
        <v>73</v>
      </c>
      <c r="F565" s="65" t="s">
        <v>36</v>
      </c>
      <c r="G565" s="65" t="s">
        <v>82</v>
      </c>
      <c r="H565" s="62" t="s">
        <v>46</v>
      </c>
      <c r="I565" s="78" t="s">
        <v>434</v>
      </c>
      <c r="J565" s="62" t="s">
        <v>91</v>
      </c>
      <c r="K565" s="67" t="s">
        <v>435</v>
      </c>
      <c r="L565" s="70"/>
      <c r="M565" s="62"/>
      <c r="N565" s="62"/>
      <c r="O565" s="64"/>
      <c r="P565" s="79" t="s">
        <v>42</v>
      </c>
      <c r="Q565" s="73" t="s">
        <v>43</v>
      </c>
      <c r="R565" s="62"/>
    </row>
    <row r="566" ht="13.8" spans="1:18">
      <c r="A566" s="58">
        <v>543</v>
      </c>
      <c r="B566" s="90">
        <v>45721</v>
      </c>
      <c r="C566" s="64" t="s">
        <v>191</v>
      </c>
      <c r="D566" s="62" t="s">
        <v>35</v>
      </c>
      <c r="E566" s="62" t="s">
        <v>73</v>
      </c>
      <c r="F566" s="65" t="s">
        <v>50</v>
      </c>
      <c r="G566" s="65" t="s">
        <v>65</v>
      </c>
      <c r="H566" s="62" t="s">
        <v>51</v>
      </c>
      <c r="I566" s="78" t="s">
        <v>1068</v>
      </c>
      <c r="J566" s="62" t="s">
        <v>40</v>
      </c>
      <c r="K566" s="67" t="s">
        <v>548</v>
      </c>
      <c r="L566" s="70"/>
      <c r="M566" s="62"/>
      <c r="N566" s="62"/>
      <c r="O566" s="64"/>
      <c r="P566" s="79" t="s">
        <v>42</v>
      </c>
      <c r="Q566" s="73" t="s">
        <v>43</v>
      </c>
      <c r="R566" s="62"/>
    </row>
    <row r="567" ht="13.8" spans="1:18">
      <c r="A567" s="58">
        <v>544</v>
      </c>
      <c r="B567" s="90">
        <v>45721</v>
      </c>
      <c r="C567" s="64" t="s">
        <v>49</v>
      </c>
      <c r="D567" s="62" t="s">
        <v>35</v>
      </c>
      <c r="E567" s="62" t="s">
        <v>73</v>
      </c>
      <c r="F567" s="65" t="s">
        <v>50</v>
      </c>
      <c r="G567" s="65" t="s">
        <v>93</v>
      </c>
      <c r="H567" s="62" t="s">
        <v>51</v>
      </c>
      <c r="I567" s="78" t="s">
        <v>1069</v>
      </c>
      <c r="J567" s="62" t="s">
        <v>40</v>
      </c>
      <c r="K567" s="67" t="s">
        <v>548</v>
      </c>
      <c r="L567" s="70"/>
      <c r="M567" s="62"/>
      <c r="N567" s="62"/>
      <c r="O567" s="64"/>
      <c r="P567" s="79" t="s">
        <v>42</v>
      </c>
      <c r="Q567" s="73" t="s">
        <v>43</v>
      </c>
      <c r="R567" s="62"/>
    </row>
    <row r="568" ht="13.8" spans="1:18">
      <c r="A568" s="58">
        <v>545</v>
      </c>
      <c r="B568" s="90">
        <v>45721</v>
      </c>
      <c r="C568" s="64" t="s">
        <v>191</v>
      </c>
      <c r="D568" s="62" t="s">
        <v>35</v>
      </c>
      <c r="E568" s="62" t="s">
        <v>73</v>
      </c>
      <c r="F568" s="65" t="s">
        <v>36</v>
      </c>
      <c r="G568" s="65" t="s">
        <v>45</v>
      </c>
      <c r="H568" s="62" t="s">
        <v>66</v>
      </c>
      <c r="I568" s="78" t="s">
        <v>1070</v>
      </c>
      <c r="J568" s="62" t="s">
        <v>40</v>
      </c>
      <c r="K568" s="67" t="s">
        <v>1071</v>
      </c>
      <c r="L568" s="70"/>
      <c r="M568" s="62"/>
      <c r="N568" s="62"/>
      <c r="O568" s="64"/>
      <c r="P568" s="79" t="s">
        <v>42</v>
      </c>
      <c r="Q568" s="73" t="s">
        <v>43</v>
      </c>
      <c r="R568" s="62"/>
    </row>
    <row r="569" ht="26.4" spans="1:18">
      <c r="A569" s="58">
        <v>546</v>
      </c>
      <c r="B569" s="90">
        <v>45721</v>
      </c>
      <c r="C569" s="64" t="s">
        <v>49</v>
      </c>
      <c r="D569" s="62" t="s">
        <v>35</v>
      </c>
      <c r="E569" s="62" t="s">
        <v>73</v>
      </c>
      <c r="F569" s="65" t="s">
        <v>36</v>
      </c>
      <c r="G569" s="65" t="s">
        <v>131</v>
      </c>
      <c r="H569" s="62" t="s">
        <v>56</v>
      </c>
      <c r="I569" s="78" t="s">
        <v>1072</v>
      </c>
      <c r="J569" s="62" t="s">
        <v>40</v>
      </c>
      <c r="K569" s="67" t="s">
        <v>1073</v>
      </c>
      <c r="L569" s="70"/>
      <c r="M569" s="62"/>
      <c r="N569" s="62"/>
      <c r="O569" s="64"/>
      <c r="P569" s="79" t="s">
        <v>42</v>
      </c>
      <c r="Q569" s="73" t="s">
        <v>43</v>
      </c>
      <c r="R569" s="62"/>
    </row>
    <row r="570" ht="27.6" spans="1:18">
      <c r="A570" s="58">
        <v>547</v>
      </c>
      <c r="B570" s="90">
        <v>45721</v>
      </c>
      <c r="C570" s="64" t="s">
        <v>191</v>
      </c>
      <c r="D570" s="62" t="s">
        <v>35</v>
      </c>
      <c r="E570" s="62" t="s">
        <v>73</v>
      </c>
      <c r="F570" s="65" t="s">
        <v>36</v>
      </c>
      <c r="G570" s="65" t="s">
        <v>65</v>
      </c>
      <c r="H570" s="62" t="s">
        <v>66</v>
      </c>
      <c r="I570" s="80" t="s">
        <v>1074</v>
      </c>
      <c r="J570" s="65" t="s">
        <v>40</v>
      </c>
      <c r="K570" s="91" t="s">
        <v>1075</v>
      </c>
      <c r="L570" s="87"/>
      <c r="M570" s="65"/>
      <c r="N570" s="65"/>
      <c r="O570" s="81"/>
      <c r="P570" s="82" t="s">
        <v>42</v>
      </c>
      <c r="Q570" s="73" t="s">
        <v>43</v>
      </c>
      <c r="R570" s="65"/>
    </row>
    <row r="571" ht="13.8" spans="1:18">
      <c r="A571" s="58">
        <v>548</v>
      </c>
      <c r="B571" s="90">
        <v>45721</v>
      </c>
      <c r="C571" s="64" t="s">
        <v>49</v>
      </c>
      <c r="D571" s="62" t="s">
        <v>35</v>
      </c>
      <c r="E571" s="62" t="s">
        <v>73</v>
      </c>
      <c r="F571" s="65" t="s">
        <v>50</v>
      </c>
      <c r="G571" s="65" t="s">
        <v>131</v>
      </c>
      <c r="H571" s="62" t="s">
        <v>51</v>
      </c>
      <c r="I571" s="78" t="s">
        <v>1069</v>
      </c>
      <c r="J571" s="62" t="s">
        <v>88</v>
      </c>
      <c r="K571" s="67" t="s">
        <v>548</v>
      </c>
      <c r="L571" s="70"/>
      <c r="M571" s="62"/>
      <c r="N571" s="62"/>
      <c r="O571" s="64"/>
      <c r="P571" s="79" t="s">
        <v>42</v>
      </c>
      <c r="Q571" s="73" t="s">
        <v>43</v>
      </c>
      <c r="R571" s="62"/>
    </row>
    <row r="572" ht="13.8" spans="1:18">
      <c r="A572" s="58">
        <v>549</v>
      </c>
      <c r="B572" s="90">
        <v>45722</v>
      </c>
      <c r="C572" s="64" t="s">
        <v>191</v>
      </c>
      <c r="D572" s="62" t="s">
        <v>35</v>
      </c>
      <c r="E572" s="62" t="s">
        <v>73</v>
      </c>
      <c r="F572" s="65" t="s">
        <v>36</v>
      </c>
      <c r="G572" s="65" t="s">
        <v>131</v>
      </c>
      <c r="H572" s="62" t="s">
        <v>94</v>
      </c>
      <c r="I572" s="78" t="s">
        <v>187</v>
      </c>
      <c r="J572" s="62" t="s">
        <v>40</v>
      </c>
      <c r="K572" s="67" t="s">
        <v>188</v>
      </c>
      <c r="L572" s="70"/>
      <c r="M572" s="62"/>
      <c r="N572" s="62"/>
      <c r="O572" s="64"/>
      <c r="P572" s="79" t="s">
        <v>42</v>
      </c>
      <c r="Q572" s="73" t="s">
        <v>43</v>
      </c>
      <c r="R572" s="62"/>
    </row>
    <row r="573" ht="13.8" spans="1:18">
      <c r="A573" s="58">
        <v>550</v>
      </c>
      <c r="B573" s="90">
        <v>45722</v>
      </c>
      <c r="C573" s="64" t="s">
        <v>191</v>
      </c>
      <c r="D573" s="62" t="s">
        <v>35</v>
      </c>
      <c r="E573" s="62" t="s">
        <v>73</v>
      </c>
      <c r="F573" s="65" t="s">
        <v>36</v>
      </c>
      <c r="G573" s="65" t="s">
        <v>55</v>
      </c>
      <c r="H573" s="62" t="s">
        <v>94</v>
      </c>
      <c r="I573" s="78" t="s">
        <v>184</v>
      </c>
      <c r="J573" s="62" t="s">
        <v>40</v>
      </c>
      <c r="K573" s="67" t="s">
        <v>185</v>
      </c>
      <c r="L573" s="70"/>
      <c r="M573" s="62"/>
      <c r="N573" s="62"/>
      <c r="O573" s="64"/>
      <c r="P573" s="79" t="s">
        <v>42</v>
      </c>
      <c r="Q573" s="73" t="s">
        <v>43</v>
      </c>
      <c r="R573" s="62"/>
    </row>
    <row r="574" ht="13.8" spans="1:18">
      <c r="A574" s="58">
        <v>551</v>
      </c>
      <c r="B574" s="90">
        <v>45722</v>
      </c>
      <c r="C574" s="69" t="s">
        <v>1076</v>
      </c>
      <c r="D574" s="62" t="s">
        <v>35</v>
      </c>
      <c r="E574" s="62" t="s">
        <v>1077</v>
      </c>
      <c r="F574" s="65" t="s">
        <v>36</v>
      </c>
      <c r="G574" s="65" t="s">
        <v>45</v>
      </c>
      <c r="H574" s="62" t="s">
        <v>56</v>
      </c>
      <c r="I574" s="78" t="s">
        <v>1078</v>
      </c>
      <c r="J574" s="62" t="s">
        <v>88</v>
      </c>
      <c r="K574" s="67" t="s">
        <v>1079</v>
      </c>
      <c r="L574" s="70"/>
      <c r="M574" s="62"/>
      <c r="N574" s="62"/>
      <c r="O574" s="64"/>
      <c r="P574" s="79" t="s">
        <v>42</v>
      </c>
      <c r="Q574" s="73" t="s">
        <v>43</v>
      </c>
      <c r="R574" s="62"/>
    </row>
    <row r="575" ht="13.8" spans="1:18">
      <c r="A575" s="58">
        <v>552</v>
      </c>
      <c r="B575" s="90">
        <v>45722</v>
      </c>
      <c r="C575" s="69" t="s">
        <v>1076</v>
      </c>
      <c r="D575" s="62" t="s">
        <v>35</v>
      </c>
      <c r="E575" s="62" t="s">
        <v>73</v>
      </c>
      <c r="F575" s="65" t="s">
        <v>36</v>
      </c>
      <c r="G575" s="65" t="s">
        <v>61</v>
      </c>
      <c r="H575" s="62" t="s">
        <v>56</v>
      </c>
      <c r="I575" s="78" t="s">
        <v>1080</v>
      </c>
      <c r="J575" s="62" t="s">
        <v>40</v>
      </c>
      <c r="K575" s="67" t="s">
        <v>1079</v>
      </c>
      <c r="L575" s="70"/>
      <c r="M575" s="62"/>
      <c r="N575" s="62"/>
      <c r="O575" s="64"/>
      <c r="P575" s="79" t="s">
        <v>42</v>
      </c>
      <c r="Q575" s="73" t="s">
        <v>43</v>
      </c>
      <c r="R575" s="62"/>
    </row>
    <row r="576" ht="27.6" spans="1:18">
      <c r="A576" s="58">
        <v>553</v>
      </c>
      <c r="B576" s="90">
        <v>45722</v>
      </c>
      <c r="C576" s="64" t="s">
        <v>49</v>
      </c>
      <c r="D576" s="62" t="s">
        <v>35</v>
      </c>
      <c r="E576" s="62" t="s">
        <v>73</v>
      </c>
      <c r="F576" s="65" t="s">
        <v>36</v>
      </c>
      <c r="G576" s="65" t="s">
        <v>82</v>
      </c>
      <c r="H576" s="62" t="s">
        <v>56</v>
      </c>
      <c r="I576" s="78" t="s">
        <v>1081</v>
      </c>
      <c r="J576" s="62" t="s">
        <v>40</v>
      </c>
      <c r="K576" s="67" t="s">
        <v>207</v>
      </c>
      <c r="L576" s="70"/>
      <c r="M576" s="62"/>
      <c r="N576" s="62"/>
      <c r="O576" s="64"/>
      <c r="P576" s="79" t="s">
        <v>42</v>
      </c>
      <c r="Q576" s="73" t="s">
        <v>43</v>
      </c>
      <c r="R576" s="62"/>
    </row>
    <row r="577" ht="13.8" spans="1:18">
      <c r="A577" s="58">
        <v>554</v>
      </c>
      <c r="B577" s="90">
        <v>45722</v>
      </c>
      <c r="C577" s="64" t="s">
        <v>191</v>
      </c>
      <c r="D577" s="62" t="s">
        <v>35</v>
      </c>
      <c r="E577" s="62" t="s">
        <v>73</v>
      </c>
      <c r="F577" s="65" t="s">
        <v>36</v>
      </c>
      <c r="G577" s="65" t="s">
        <v>82</v>
      </c>
      <c r="H577" s="62" t="s">
        <v>46</v>
      </c>
      <c r="I577" s="78" t="s">
        <v>444</v>
      </c>
      <c r="J577" s="62" t="s">
        <v>40</v>
      </c>
      <c r="K577" s="67" t="s">
        <v>445</v>
      </c>
      <c r="L577" s="70"/>
      <c r="M577" s="62"/>
      <c r="N577" s="62"/>
      <c r="O577" s="64"/>
      <c r="P577" s="79" t="s">
        <v>42</v>
      </c>
      <c r="Q577" s="73" t="s">
        <v>43</v>
      </c>
      <c r="R577" s="62"/>
    </row>
    <row r="578" ht="13.8" spans="1:18">
      <c r="A578" s="58">
        <v>555</v>
      </c>
      <c r="B578" s="90">
        <v>45722</v>
      </c>
      <c r="C578" s="62" t="s">
        <v>49</v>
      </c>
      <c r="D578" s="62" t="s">
        <v>35</v>
      </c>
      <c r="E578" s="62" t="s">
        <v>73</v>
      </c>
      <c r="F578" s="65" t="s">
        <v>36</v>
      </c>
      <c r="G578" s="65" t="s">
        <v>131</v>
      </c>
      <c r="H578" s="62" t="s">
        <v>271</v>
      </c>
      <c r="I578" s="78" t="s">
        <v>1082</v>
      </c>
      <c r="J578" s="62" t="s">
        <v>40</v>
      </c>
      <c r="K578" s="92" t="s">
        <v>1083</v>
      </c>
      <c r="L578" s="78"/>
      <c r="M578" s="62"/>
      <c r="N578" s="62"/>
      <c r="O578" s="62"/>
      <c r="P578" s="79" t="s">
        <v>42</v>
      </c>
      <c r="Q578" s="73" t="s">
        <v>43</v>
      </c>
      <c r="R578" s="62"/>
    </row>
    <row r="579" ht="27.6" spans="1:18">
      <c r="A579" s="58">
        <v>556</v>
      </c>
      <c r="B579" s="90">
        <v>45722</v>
      </c>
      <c r="C579" s="69" t="s">
        <v>1076</v>
      </c>
      <c r="D579" s="62" t="s">
        <v>35</v>
      </c>
      <c r="E579" s="62" t="s">
        <v>73</v>
      </c>
      <c r="F579" s="65" t="s">
        <v>36</v>
      </c>
      <c r="G579" s="65" t="s">
        <v>65</v>
      </c>
      <c r="H579" s="62" t="s">
        <v>66</v>
      </c>
      <c r="I579" s="78" t="s">
        <v>1067</v>
      </c>
      <c r="J579" s="62" t="s">
        <v>40</v>
      </c>
      <c r="K579" s="67" t="s">
        <v>1084</v>
      </c>
      <c r="L579" s="70"/>
      <c r="M579" s="62"/>
      <c r="N579" s="62"/>
      <c r="O579" s="64"/>
      <c r="P579" s="79" t="s">
        <v>42</v>
      </c>
      <c r="Q579" s="73" t="s">
        <v>43</v>
      </c>
      <c r="R579" s="62"/>
    </row>
    <row r="580" ht="13.8" spans="1:18">
      <c r="A580" s="58">
        <v>557</v>
      </c>
      <c r="B580" s="90">
        <v>45722</v>
      </c>
      <c r="C580" s="69" t="s">
        <v>1076</v>
      </c>
      <c r="D580" s="62" t="s">
        <v>35</v>
      </c>
      <c r="E580" s="62" t="s">
        <v>1077</v>
      </c>
      <c r="F580" s="65" t="s">
        <v>36</v>
      </c>
      <c r="G580" s="65" t="s">
        <v>65</v>
      </c>
      <c r="H580" s="62" t="s">
        <v>97</v>
      </c>
      <c r="I580" s="78" t="s">
        <v>1085</v>
      </c>
      <c r="J580" s="62" t="s">
        <v>88</v>
      </c>
      <c r="K580" s="67" t="s">
        <v>1086</v>
      </c>
      <c r="L580" s="70"/>
      <c r="M580" s="62"/>
      <c r="N580" s="62"/>
      <c r="O580" s="64"/>
      <c r="P580" s="79" t="s">
        <v>42</v>
      </c>
      <c r="Q580" s="73" t="s">
        <v>43</v>
      </c>
      <c r="R580" s="62"/>
    </row>
    <row r="581" ht="13.8" spans="1:18">
      <c r="A581" s="58">
        <v>558</v>
      </c>
      <c r="B581" s="90">
        <v>45722</v>
      </c>
      <c r="C581" s="62" t="s">
        <v>34</v>
      </c>
      <c r="D581" s="62" t="s">
        <v>35</v>
      </c>
      <c r="E581" s="62" t="s">
        <v>73</v>
      </c>
      <c r="F581" s="65" t="s">
        <v>135</v>
      </c>
      <c r="G581" s="65" t="s">
        <v>65</v>
      </c>
      <c r="H581" s="62" t="s">
        <v>360</v>
      </c>
      <c r="I581" s="78" t="s">
        <v>1087</v>
      </c>
      <c r="J581" s="62" t="s">
        <v>137</v>
      </c>
      <c r="K581" s="67"/>
      <c r="L581" s="70"/>
      <c r="M581" s="62"/>
      <c r="N581" s="62"/>
      <c r="O581" s="64"/>
      <c r="P581" s="79" t="s">
        <v>42</v>
      </c>
      <c r="Q581" s="62" t="s">
        <v>8</v>
      </c>
      <c r="R581" s="62"/>
    </row>
    <row r="582" ht="26.4" spans="1:18">
      <c r="A582" s="58">
        <v>559</v>
      </c>
      <c r="B582" s="90">
        <v>45722</v>
      </c>
      <c r="C582" s="64" t="s">
        <v>34</v>
      </c>
      <c r="D582" s="62" t="s">
        <v>35</v>
      </c>
      <c r="E582" s="62" t="s">
        <v>73</v>
      </c>
      <c r="F582" s="65" t="s">
        <v>192</v>
      </c>
      <c r="G582" s="65" t="s">
        <v>65</v>
      </c>
      <c r="H582" s="62" t="s">
        <v>51</v>
      </c>
      <c r="I582" s="78" t="s">
        <v>321</v>
      </c>
      <c r="J582" s="62" t="s">
        <v>137</v>
      </c>
      <c r="K582" s="67"/>
      <c r="L582" s="70"/>
      <c r="M582" s="62"/>
      <c r="N582" s="62"/>
      <c r="O582" s="64"/>
      <c r="P582" s="79" t="s">
        <v>42</v>
      </c>
      <c r="Q582" s="62" t="s">
        <v>8</v>
      </c>
      <c r="R582" s="62"/>
    </row>
    <row r="583" ht="13.8" spans="1:18">
      <c r="A583" s="58">
        <v>560</v>
      </c>
      <c r="B583" s="90">
        <v>45724</v>
      </c>
      <c r="C583" s="64" t="s">
        <v>34</v>
      </c>
      <c r="D583" s="62" t="s">
        <v>35</v>
      </c>
      <c r="E583" s="62" t="s">
        <v>73</v>
      </c>
      <c r="F583" s="65" t="s">
        <v>192</v>
      </c>
      <c r="G583" s="65" t="s">
        <v>65</v>
      </c>
      <c r="H583" s="62" t="s">
        <v>46</v>
      </c>
      <c r="I583" s="78" t="s">
        <v>1088</v>
      </c>
      <c r="J583" s="62" t="s">
        <v>137</v>
      </c>
      <c r="K583" s="67"/>
      <c r="L583" s="70"/>
      <c r="M583" s="62"/>
      <c r="N583" s="62"/>
      <c r="O583" s="64"/>
      <c r="P583" s="79" t="s">
        <v>42</v>
      </c>
      <c r="Q583" s="62" t="s">
        <v>8</v>
      </c>
      <c r="R583" s="62"/>
    </row>
    <row r="584" ht="69" spans="1:18">
      <c r="A584" s="58">
        <v>561</v>
      </c>
      <c r="B584" s="90">
        <v>45724</v>
      </c>
      <c r="C584" s="64" t="s">
        <v>191</v>
      </c>
      <c r="D584" s="62" t="s">
        <v>35</v>
      </c>
      <c r="E584" s="62" t="s">
        <v>73</v>
      </c>
      <c r="F584" s="65" t="s">
        <v>36</v>
      </c>
      <c r="G584" s="65" t="s">
        <v>82</v>
      </c>
      <c r="H584" s="62" t="s">
        <v>46</v>
      </c>
      <c r="I584" s="78" t="s">
        <v>1089</v>
      </c>
      <c r="J584" s="62" t="s">
        <v>40</v>
      </c>
      <c r="K584" s="67" t="s">
        <v>1090</v>
      </c>
      <c r="L584" s="70"/>
      <c r="M584" s="62"/>
      <c r="N584" s="62"/>
      <c r="O584" s="64"/>
      <c r="P584" s="79" t="s">
        <v>42</v>
      </c>
      <c r="Q584" s="73" t="s">
        <v>43</v>
      </c>
      <c r="R584" s="62"/>
    </row>
    <row r="585" ht="41.4" spans="1:18">
      <c r="A585" s="58">
        <v>562</v>
      </c>
      <c r="B585" s="90">
        <v>45724</v>
      </c>
      <c r="C585" s="64" t="s">
        <v>208</v>
      </c>
      <c r="D585" s="62" t="s">
        <v>35</v>
      </c>
      <c r="E585" s="62" t="s">
        <v>73</v>
      </c>
      <c r="F585" s="65" t="s">
        <v>36</v>
      </c>
      <c r="G585" s="65" t="s">
        <v>65</v>
      </c>
      <c r="H585" s="62" t="s">
        <v>132</v>
      </c>
      <c r="I585" s="78" t="s">
        <v>1091</v>
      </c>
      <c r="J585" s="62" t="s">
        <v>91</v>
      </c>
      <c r="K585" s="67" t="s">
        <v>1092</v>
      </c>
      <c r="L585" s="70"/>
      <c r="M585" s="62"/>
      <c r="N585" s="62"/>
      <c r="O585" s="64"/>
      <c r="P585" s="79" t="s">
        <v>42</v>
      </c>
      <c r="Q585" s="73" t="s">
        <v>43</v>
      </c>
      <c r="R585" s="62"/>
    </row>
    <row r="586" ht="27.6" spans="1:18">
      <c r="A586" s="58">
        <v>563</v>
      </c>
      <c r="B586" s="90">
        <v>45724</v>
      </c>
      <c r="C586" s="64" t="s">
        <v>191</v>
      </c>
      <c r="D586" s="62" t="s">
        <v>35</v>
      </c>
      <c r="E586" s="62" t="s">
        <v>73</v>
      </c>
      <c r="F586" s="65" t="s">
        <v>36</v>
      </c>
      <c r="G586" s="65" t="s">
        <v>37</v>
      </c>
      <c r="H586" s="62" t="s">
        <v>94</v>
      </c>
      <c r="I586" s="78" t="s">
        <v>1093</v>
      </c>
      <c r="J586" s="62" t="s">
        <v>91</v>
      </c>
      <c r="K586" s="67" t="s">
        <v>1094</v>
      </c>
      <c r="L586" s="70"/>
      <c r="M586" s="62"/>
      <c r="N586" s="62"/>
      <c r="O586" s="64"/>
      <c r="P586" s="79" t="s">
        <v>42</v>
      </c>
      <c r="Q586" s="73" t="s">
        <v>43</v>
      </c>
      <c r="R586" s="62"/>
    </row>
    <row r="587" ht="41.4" spans="1:18">
      <c r="A587" s="58">
        <v>564</v>
      </c>
      <c r="B587" s="90">
        <v>45724</v>
      </c>
      <c r="C587" s="64" t="s">
        <v>49</v>
      </c>
      <c r="D587" s="62" t="s">
        <v>35</v>
      </c>
      <c r="E587" s="62" t="s">
        <v>73</v>
      </c>
      <c r="F587" s="65" t="s">
        <v>36</v>
      </c>
      <c r="G587" s="65" t="s">
        <v>61</v>
      </c>
      <c r="H587" s="62" t="s">
        <v>38</v>
      </c>
      <c r="I587" s="78" t="s">
        <v>1095</v>
      </c>
      <c r="J587" s="62" t="s">
        <v>88</v>
      </c>
      <c r="K587" s="67" t="s">
        <v>1096</v>
      </c>
      <c r="L587" s="70" t="s">
        <v>1097</v>
      </c>
      <c r="M587" s="62" t="s">
        <v>115</v>
      </c>
      <c r="N587" s="62" t="s">
        <v>115</v>
      </c>
      <c r="O587" s="64" t="s">
        <v>583</v>
      </c>
      <c r="P587" s="79">
        <v>45731</v>
      </c>
      <c r="Q587" s="73" t="s">
        <v>43</v>
      </c>
      <c r="R587" s="62"/>
    </row>
    <row r="588" ht="39.6" spans="1:18">
      <c r="A588" s="58">
        <v>565</v>
      </c>
      <c r="B588" s="90">
        <v>45724</v>
      </c>
      <c r="C588" s="64" t="s">
        <v>191</v>
      </c>
      <c r="D588" s="62" t="s">
        <v>35</v>
      </c>
      <c r="E588" s="62" t="s">
        <v>73</v>
      </c>
      <c r="F588" s="65" t="s">
        <v>36</v>
      </c>
      <c r="G588" s="65" t="s">
        <v>37</v>
      </c>
      <c r="H588" s="62" t="s">
        <v>66</v>
      </c>
      <c r="I588" s="78" t="s">
        <v>1098</v>
      </c>
      <c r="J588" s="62" t="s">
        <v>88</v>
      </c>
      <c r="K588" s="67" t="s">
        <v>1099</v>
      </c>
      <c r="L588" s="70"/>
      <c r="M588" s="62"/>
      <c r="N588" s="62"/>
      <c r="O588" s="64"/>
      <c r="P588" s="79" t="s">
        <v>42</v>
      </c>
      <c r="Q588" s="73" t="s">
        <v>43</v>
      </c>
      <c r="R588" s="62"/>
    </row>
    <row r="589" ht="41.4" spans="1:18">
      <c r="A589" s="58">
        <v>566</v>
      </c>
      <c r="B589" s="90">
        <v>45724</v>
      </c>
      <c r="C589" s="64" t="s">
        <v>49</v>
      </c>
      <c r="D589" s="62" t="s">
        <v>35</v>
      </c>
      <c r="E589" s="62" t="s">
        <v>73</v>
      </c>
      <c r="F589" s="65" t="s">
        <v>36</v>
      </c>
      <c r="G589" s="65" t="s">
        <v>65</v>
      </c>
      <c r="H589" s="62" t="s">
        <v>56</v>
      </c>
      <c r="I589" s="78" t="s">
        <v>1100</v>
      </c>
      <c r="J589" s="62" t="s">
        <v>88</v>
      </c>
      <c r="K589" s="67" t="s">
        <v>1101</v>
      </c>
      <c r="L589" s="70"/>
      <c r="M589" s="62"/>
      <c r="N589" s="62"/>
      <c r="O589" s="64"/>
      <c r="P589" s="79" t="s">
        <v>42</v>
      </c>
      <c r="Q589" s="73" t="s">
        <v>43</v>
      </c>
      <c r="R589" s="62"/>
    </row>
    <row r="590" ht="27.6" spans="1:18">
      <c r="A590" s="58">
        <v>567</v>
      </c>
      <c r="B590" s="90">
        <v>45724</v>
      </c>
      <c r="C590" s="64" t="s">
        <v>208</v>
      </c>
      <c r="D590" s="62" t="s">
        <v>35</v>
      </c>
      <c r="E590" s="62" t="s">
        <v>73</v>
      </c>
      <c r="F590" s="65" t="s">
        <v>36</v>
      </c>
      <c r="G590" s="65" t="s">
        <v>65</v>
      </c>
      <c r="H590" s="62" t="s">
        <v>38</v>
      </c>
      <c r="I590" s="78" t="s">
        <v>1102</v>
      </c>
      <c r="J590" s="62" t="s">
        <v>91</v>
      </c>
      <c r="K590" s="67" t="s">
        <v>1103</v>
      </c>
      <c r="L590" s="70"/>
      <c r="M590" s="62"/>
      <c r="N590" s="62"/>
      <c r="O590" s="64"/>
      <c r="P590" s="79" t="s">
        <v>42</v>
      </c>
      <c r="Q590" s="73" t="s">
        <v>43</v>
      </c>
      <c r="R590" s="62"/>
    </row>
    <row r="591" ht="27.6" spans="1:18">
      <c r="A591" s="58">
        <v>568</v>
      </c>
      <c r="B591" s="90">
        <v>45724</v>
      </c>
      <c r="C591" s="64" t="s">
        <v>49</v>
      </c>
      <c r="D591" s="62" t="s">
        <v>35</v>
      </c>
      <c r="E591" s="62" t="s">
        <v>73</v>
      </c>
      <c r="F591" s="65" t="s">
        <v>36</v>
      </c>
      <c r="G591" s="65" t="s">
        <v>65</v>
      </c>
      <c r="H591" s="62" t="s">
        <v>38</v>
      </c>
      <c r="I591" s="78" t="s">
        <v>1104</v>
      </c>
      <c r="J591" s="62" t="s">
        <v>91</v>
      </c>
      <c r="K591" s="67" t="s">
        <v>1105</v>
      </c>
      <c r="L591" s="70"/>
      <c r="M591" s="62"/>
      <c r="N591" s="62"/>
      <c r="O591" s="64"/>
      <c r="P591" s="79" t="s">
        <v>42</v>
      </c>
      <c r="Q591" s="73" t="s">
        <v>43</v>
      </c>
      <c r="R591" s="62"/>
    </row>
    <row r="592" ht="55.2" spans="1:18">
      <c r="A592" s="58">
        <v>569</v>
      </c>
      <c r="B592" s="90">
        <v>45724</v>
      </c>
      <c r="C592" s="64" t="s">
        <v>49</v>
      </c>
      <c r="D592" s="62" t="s">
        <v>35</v>
      </c>
      <c r="E592" s="62" t="s">
        <v>73</v>
      </c>
      <c r="F592" s="65" t="s">
        <v>36</v>
      </c>
      <c r="G592" s="65" t="s">
        <v>65</v>
      </c>
      <c r="H592" s="62" t="s">
        <v>56</v>
      </c>
      <c r="I592" s="78" t="s">
        <v>1106</v>
      </c>
      <c r="J592" s="62" t="s">
        <v>40</v>
      </c>
      <c r="K592" s="67" t="s">
        <v>1107</v>
      </c>
      <c r="L592" s="70"/>
      <c r="M592" s="62"/>
      <c r="N592" s="62"/>
      <c r="O592" s="64"/>
      <c r="P592" s="79" t="s">
        <v>42</v>
      </c>
      <c r="Q592" s="73" t="s">
        <v>43</v>
      </c>
      <c r="R592" s="62"/>
    </row>
    <row r="593" ht="13.8" spans="1:18">
      <c r="A593" s="58">
        <v>570</v>
      </c>
      <c r="B593" s="90">
        <v>45724</v>
      </c>
      <c r="C593" s="64" t="s">
        <v>49</v>
      </c>
      <c r="D593" s="62" t="s">
        <v>35</v>
      </c>
      <c r="E593" s="62" t="s">
        <v>73</v>
      </c>
      <c r="F593" s="65" t="s">
        <v>36</v>
      </c>
      <c r="G593" s="65" t="s">
        <v>45</v>
      </c>
      <c r="H593" s="62" t="s">
        <v>38</v>
      </c>
      <c r="I593" s="78" t="s">
        <v>1108</v>
      </c>
      <c r="J593" s="62" t="s">
        <v>40</v>
      </c>
      <c r="K593" s="67" t="s">
        <v>1109</v>
      </c>
      <c r="L593" s="70"/>
      <c r="M593" s="62"/>
      <c r="N593" s="62"/>
      <c r="O593" s="64"/>
      <c r="P593" s="79" t="s">
        <v>42</v>
      </c>
      <c r="Q593" s="73" t="s">
        <v>43</v>
      </c>
      <c r="R593" s="62"/>
    </row>
    <row r="594" ht="41.4" spans="1:18">
      <c r="A594" s="58">
        <v>571</v>
      </c>
      <c r="B594" s="90">
        <v>45724</v>
      </c>
      <c r="C594" s="64" t="s">
        <v>49</v>
      </c>
      <c r="D594" s="62" t="s">
        <v>35</v>
      </c>
      <c r="E594" s="62" t="s">
        <v>73</v>
      </c>
      <c r="F594" s="65" t="s">
        <v>36</v>
      </c>
      <c r="G594" s="65" t="s">
        <v>45</v>
      </c>
      <c r="H594" s="62" t="s">
        <v>38</v>
      </c>
      <c r="I594" s="78" t="s">
        <v>1110</v>
      </c>
      <c r="J594" s="62" t="s">
        <v>91</v>
      </c>
      <c r="K594" s="67" t="s">
        <v>1111</v>
      </c>
      <c r="L594" s="70" t="s">
        <v>1112</v>
      </c>
      <c r="M594" s="62" t="s">
        <v>582</v>
      </c>
      <c r="N594" s="62" t="s">
        <v>115</v>
      </c>
      <c r="O594" s="64" t="s">
        <v>116</v>
      </c>
      <c r="P594" s="79">
        <v>45729</v>
      </c>
      <c r="Q594" s="73" t="s">
        <v>43</v>
      </c>
      <c r="R594" s="62"/>
    </row>
    <row r="595" ht="27.6" spans="1:18">
      <c r="A595" s="58">
        <v>572</v>
      </c>
      <c r="B595" s="90">
        <v>45724</v>
      </c>
      <c r="C595" s="69" t="s">
        <v>1076</v>
      </c>
      <c r="D595" s="62" t="s">
        <v>35</v>
      </c>
      <c r="E595" s="62" t="s">
        <v>73</v>
      </c>
      <c r="F595" s="65" t="s">
        <v>36</v>
      </c>
      <c r="G595" s="65" t="s">
        <v>45</v>
      </c>
      <c r="H595" s="62" t="s">
        <v>56</v>
      </c>
      <c r="I595" s="78" t="s">
        <v>1113</v>
      </c>
      <c r="J595" s="62" t="s">
        <v>40</v>
      </c>
      <c r="K595" s="67" t="s">
        <v>1114</v>
      </c>
      <c r="L595" s="70"/>
      <c r="M595" s="62"/>
      <c r="N595" s="62"/>
      <c r="O595" s="64"/>
      <c r="P595" s="79" t="s">
        <v>42</v>
      </c>
      <c r="Q595" s="73" t="s">
        <v>43</v>
      </c>
      <c r="R595" s="62"/>
    </row>
    <row r="596" ht="27.6" spans="1:18">
      <c r="A596" s="58">
        <v>573</v>
      </c>
      <c r="B596" s="90">
        <v>45724</v>
      </c>
      <c r="C596" s="64" t="s">
        <v>49</v>
      </c>
      <c r="D596" s="62" t="s">
        <v>35</v>
      </c>
      <c r="E596" s="62" t="s">
        <v>73</v>
      </c>
      <c r="F596" s="65" t="s">
        <v>36</v>
      </c>
      <c r="G596" s="65" t="s">
        <v>45</v>
      </c>
      <c r="H596" s="62" t="s">
        <v>128</v>
      </c>
      <c r="I596" s="78" t="s">
        <v>1115</v>
      </c>
      <c r="J596" s="62" t="s">
        <v>40</v>
      </c>
      <c r="K596" s="67" t="s">
        <v>1116</v>
      </c>
      <c r="L596" s="70"/>
      <c r="M596" s="62"/>
      <c r="N596" s="62"/>
      <c r="O596" s="64"/>
      <c r="P596" s="79" t="s">
        <v>42</v>
      </c>
      <c r="Q596" s="73" t="s">
        <v>43</v>
      </c>
      <c r="R596" s="62"/>
    </row>
    <row r="597" ht="27.6" spans="1:18">
      <c r="A597" s="58">
        <v>574</v>
      </c>
      <c r="B597" s="90">
        <v>45724</v>
      </c>
      <c r="C597" s="69" t="s">
        <v>1076</v>
      </c>
      <c r="D597" s="62" t="s">
        <v>35</v>
      </c>
      <c r="E597" s="62" t="s">
        <v>73</v>
      </c>
      <c r="F597" s="65" t="s">
        <v>36</v>
      </c>
      <c r="G597" s="65" t="s">
        <v>55</v>
      </c>
      <c r="H597" s="62" t="s">
        <v>56</v>
      </c>
      <c r="I597" s="78" t="s">
        <v>1117</v>
      </c>
      <c r="J597" s="62" t="s">
        <v>40</v>
      </c>
      <c r="K597" s="67" t="s">
        <v>1114</v>
      </c>
      <c r="L597" s="70"/>
      <c r="M597" s="62"/>
      <c r="N597" s="62"/>
      <c r="O597" s="64"/>
      <c r="P597" s="79" t="s">
        <v>42</v>
      </c>
      <c r="Q597" s="73" t="s">
        <v>43</v>
      </c>
      <c r="R597" s="62"/>
    </row>
    <row r="598" ht="27.6" spans="1:18">
      <c r="A598" s="58">
        <v>575</v>
      </c>
      <c r="B598" s="90">
        <v>45724</v>
      </c>
      <c r="C598" s="64" t="s">
        <v>208</v>
      </c>
      <c r="D598" s="62" t="s">
        <v>35</v>
      </c>
      <c r="E598" s="62" t="s">
        <v>73</v>
      </c>
      <c r="F598" s="65" t="s">
        <v>36</v>
      </c>
      <c r="G598" s="65" t="s">
        <v>82</v>
      </c>
      <c r="H598" s="62" t="s">
        <v>989</v>
      </c>
      <c r="I598" s="78" t="s">
        <v>1118</v>
      </c>
      <c r="J598" s="62" t="s">
        <v>40</v>
      </c>
      <c r="K598" s="67" t="s">
        <v>1119</v>
      </c>
      <c r="L598" s="70"/>
      <c r="M598" s="62"/>
      <c r="N598" s="62"/>
      <c r="O598" s="64"/>
      <c r="P598" s="79" t="s">
        <v>42</v>
      </c>
      <c r="Q598" s="73" t="s">
        <v>43</v>
      </c>
      <c r="R598" s="62"/>
    </row>
    <row r="599" ht="27.6" spans="1:18">
      <c r="A599" s="58">
        <v>576</v>
      </c>
      <c r="B599" s="90">
        <v>45724</v>
      </c>
      <c r="C599" s="69" t="s">
        <v>1076</v>
      </c>
      <c r="D599" s="62" t="s">
        <v>35</v>
      </c>
      <c r="E599" s="62" t="s">
        <v>73</v>
      </c>
      <c r="F599" s="65" t="s">
        <v>36</v>
      </c>
      <c r="G599" s="65" t="s">
        <v>37</v>
      </c>
      <c r="H599" s="62" t="s">
        <v>38</v>
      </c>
      <c r="I599" s="78" t="s">
        <v>1120</v>
      </c>
      <c r="J599" s="62" t="s">
        <v>40</v>
      </c>
      <c r="K599" s="67" t="s">
        <v>1121</v>
      </c>
      <c r="L599" s="70"/>
      <c r="M599" s="62"/>
      <c r="N599" s="62"/>
      <c r="O599" s="64"/>
      <c r="P599" s="79" t="s">
        <v>42</v>
      </c>
      <c r="Q599" s="73" t="s">
        <v>43</v>
      </c>
      <c r="R599" s="62"/>
    </row>
    <row r="600" ht="41.4" spans="1:18">
      <c r="A600" s="58">
        <v>577</v>
      </c>
      <c r="B600" s="90">
        <v>45724</v>
      </c>
      <c r="C600" s="64" t="s">
        <v>208</v>
      </c>
      <c r="D600" s="62" t="s">
        <v>35</v>
      </c>
      <c r="E600" s="62" t="s">
        <v>73</v>
      </c>
      <c r="F600" s="65" t="s">
        <v>50</v>
      </c>
      <c r="G600" s="65" t="s">
        <v>61</v>
      </c>
      <c r="H600" s="62" t="s">
        <v>46</v>
      </c>
      <c r="I600" s="78" t="s">
        <v>1122</v>
      </c>
      <c r="J600" s="62" t="s">
        <v>91</v>
      </c>
      <c r="K600" s="67" t="s">
        <v>1123</v>
      </c>
      <c r="L600" s="70"/>
      <c r="M600" s="62"/>
      <c r="N600" s="62"/>
      <c r="O600" s="64"/>
      <c r="P600" s="79" t="s">
        <v>42</v>
      </c>
      <c r="Q600" s="73" t="s">
        <v>43</v>
      </c>
      <c r="R600" s="62"/>
    </row>
    <row r="601" ht="27.6" spans="1:18">
      <c r="A601" s="58">
        <v>578</v>
      </c>
      <c r="B601" s="90">
        <v>45724</v>
      </c>
      <c r="C601" s="64" t="s">
        <v>191</v>
      </c>
      <c r="D601" s="62" t="s">
        <v>35</v>
      </c>
      <c r="E601" s="62" t="s">
        <v>73</v>
      </c>
      <c r="F601" s="65" t="s">
        <v>50</v>
      </c>
      <c r="G601" s="65" t="s">
        <v>37</v>
      </c>
      <c r="H601" s="62" t="s">
        <v>46</v>
      </c>
      <c r="I601" s="78" t="s">
        <v>1124</v>
      </c>
      <c r="J601" s="62" t="s">
        <v>53</v>
      </c>
      <c r="K601" s="67" t="s">
        <v>1125</v>
      </c>
      <c r="L601" s="70"/>
      <c r="M601" s="62"/>
      <c r="N601" s="62"/>
      <c r="O601" s="64"/>
      <c r="P601" s="79" t="s">
        <v>42</v>
      </c>
      <c r="Q601" s="73" t="s">
        <v>43</v>
      </c>
      <c r="R601" s="62"/>
    </row>
    <row r="602" ht="13.8" spans="1:18">
      <c r="A602" s="58">
        <v>579</v>
      </c>
      <c r="B602" s="90">
        <v>45724</v>
      </c>
      <c r="C602" s="64" t="s">
        <v>191</v>
      </c>
      <c r="D602" s="62" t="s">
        <v>35</v>
      </c>
      <c r="E602" s="62" t="s">
        <v>73</v>
      </c>
      <c r="F602" s="65" t="s">
        <v>50</v>
      </c>
      <c r="G602" s="65" t="s">
        <v>65</v>
      </c>
      <c r="H602" s="62" t="s">
        <v>51</v>
      </c>
      <c r="I602" s="78" t="s">
        <v>1126</v>
      </c>
      <c r="J602" s="62" t="s">
        <v>53</v>
      </c>
      <c r="K602" s="67" t="s">
        <v>1127</v>
      </c>
      <c r="L602" s="70"/>
      <c r="M602" s="62"/>
      <c r="N602" s="62"/>
      <c r="O602" s="64"/>
      <c r="P602" s="79" t="s">
        <v>42</v>
      </c>
      <c r="Q602" s="73" t="s">
        <v>43</v>
      </c>
      <c r="R602" s="62"/>
    </row>
    <row r="603" ht="13.8" spans="1:18">
      <c r="A603" s="58">
        <v>580</v>
      </c>
      <c r="B603" s="90">
        <v>45724</v>
      </c>
      <c r="C603" s="64" t="s">
        <v>49</v>
      </c>
      <c r="D603" s="62" t="s">
        <v>35</v>
      </c>
      <c r="E603" s="62" t="s">
        <v>73</v>
      </c>
      <c r="F603" s="65" t="s">
        <v>50</v>
      </c>
      <c r="G603" s="65" t="s">
        <v>61</v>
      </c>
      <c r="H603" s="62" t="s">
        <v>51</v>
      </c>
      <c r="I603" s="78" t="s">
        <v>432</v>
      </c>
      <c r="J603" s="62" t="s">
        <v>88</v>
      </c>
      <c r="K603" s="67" t="s">
        <v>433</v>
      </c>
      <c r="L603" s="70"/>
      <c r="M603" s="62"/>
      <c r="N603" s="62"/>
      <c r="O603" s="64"/>
      <c r="P603" s="79" t="s">
        <v>42</v>
      </c>
      <c r="Q603" s="73" t="s">
        <v>43</v>
      </c>
      <c r="R603" s="62"/>
    </row>
    <row r="604" ht="26.4" spans="1:18">
      <c r="A604" s="58">
        <v>581</v>
      </c>
      <c r="B604" s="90">
        <v>45724</v>
      </c>
      <c r="C604" s="64" t="s">
        <v>208</v>
      </c>
      <c r="D604" s="62" t="s">
        <v>35</v>
      </c>
      <c r="E604" s="62" t="s">
        <v>73</v>
      </c>
      <c r="F604" s="65" t="s">
        <v>36</v>
      </c>
      <c r="G604" s="65" t="s">
        <v>45</v>
      </c>
      <c r="H604" s="62" t="s">
        <v>56</v>
      </c>
      <c r="I604" s="78" t="s">
        <v>1128</v>
      </c>
      <c r="J604" s="62" t="s">
        <v>40</v>
      </c>
      <c r="K604" s="67" t="s">
        <v>1129</v>
      </c>
      <c r="L604" s="70"/>
      <c r="M604" s="62"/>
      <c r="N604" s="62"/>
      <c r="O604" s="64"/>
      <c r="P604" s="79" t="s">
        <v>42</v>
      </c>
      <c r="Q604" s="73" t="s">
        <v>43</v>
      </c>
      <c r="R604" s="62"/>
    </row>
    <row r="605" ht="26.4" spans="1:18">
      <c r="A605" s="58">
        <v>582</v>
      </c>
      <c r="B605" s="90">
        <v>45724</v>
      </c>
      <c r="C605" s="64" t="s">
        <v>208</v>
      </c>
      <c r="D605" s="62" t="s">
        <v>35</v>
      </c>
      <c r="E605" s="62" t="s">
        <v>73</v>
      </c>
      <c r="F605" s="65" t="s">
        <v>36</v>
      </c>
      <c r="G605" s="65" t="s">
        <v>93</v>
      </c>
      <c r="H605" s="62" t="s">
        <v>46</v>
      </c>
      <c r="I605" s="78" t="s">
        <v>1130</v>
      </c>
      <c r="J605" s="62" t="s">
        <v>40</v>
      </c>
      <c r="K605" s="67" t="s">
        <v>1131</v>
      </c>
      <c r="L605" s="70" t="s">
        <v>1132</v>
      </c>
      <c r="M605" s="62" t="s">
        <v>582</v>
      </c>
      <c r="N605" s="62" t="s">
        <v>115</v>
      </c>
      <c r="O605" s="64" t="s">
        <v>116</v>
      </c>
      <c r="P605" s="79">
        <v>45729</v>
      </c>
      <c r="Q605" s="73" t="s">
        <v>43</v>
      </c>
      <c r="R605" s="62"/>
    </row>
    <row r="606" ht="27.6" spans="1:18">
      <c r="A606" s="58">
        <v>583</v>
      </c>
      <c r="B606" s="90">
        <v>45724</v>
      </c>
      <c r="C606" s="64" t="s">
        <v>208</v>
      </c>
      <c r="D606" s="62" t="s">
        <v>35</v>
      </c>
      <c r="E606" s="62" t="s">
        <v>73</v>
      </c>
      <c r="F606" s="65" t="s">
        <v>36</v>
      </c>
      <c r="G606" s="65" t="s">
        <v>65</v>
      </c>
      <c r="H606" s="62" t="s">
        <v>38</v>
      </c>
      <c r="I606" s="78" t="s">
        <v>1133</v>
      </c>
      <c r="J606" s="62" t="s">
        <v>40</v>
      </c>
      <c r="K606" s="67" t="s">
        <v>1134</v>
      </c>
      <c r="L606" s="70"/>
      <c r="M606" s="62"/>
      <c r="N606" s="62"/>
      <c r="O606" s="64"/>
      <c r="P606" s="79" t="s">
        <v>42</v>
      </c>
      <c r="Q606" s="73" t="s">
        <v>43</v>
      </c>
      <c r="R606" s="62"/>
    </row>
    <row r="607" ht="13.8" spans="1:18">
      <c r="A607" s="58">
        <v>584</v>
      </c>
      <c r="B607" s="90">
        <v>45724</v>
      </c>
      <c r="C607" s="64" t="s">
        <v>49</v>
      </c>
      <c r="D607" s="62" t="s">
        <v>35</v>
      </c>
      <c r="E607" s="62" t="s">
        <v>73</v>
      </c>
      <c r="F607" s="65" t="s">
        <v>36</v>
      </c>
      <c r="G607" s="65" t="s">
        <v>61</v>
      </c>
      <c r="H607" s="62" t="s">
        <v>56</v>
      </c>
      <c r="I607" s="78" t="s">
        <v>1135</v>
      </c>
      <c r="J607" s="62" t="s">
        <v>40</v>
      </c>
      <c r="K607" s="67" t="s">
        <v>1136</v>
      </c>
      <c r="L607" s="70"/>
      <c r="M607" s="62"/>
      <c r="N607" s="62"/>
      <c r="O607" s="64"/>
      <c r="P607" s="79" t="s">
        <v>42</v>
      </c>
      <c r="Q607" s="73" t="s">
        <v>43</v>
      </c>
      <c r="R607" s="62"/>
    </row>
    <row r="608" ht="27.6" spans="1:18">
      <c r="A608" s="58">
        <v>585</v>
      </c>
      <c r="B608" s="90">
        <v>45724</v>
      </c>
      <c r="C608" s="64" t="s">
        <v>208</v>
      </c>
      <c r="D608" s="62" t="s">
        <v>35</v>
      </c>
      <c r="E608" s="62" t="s">
        <v>73</v>
      </c>
      <c r="F608" s="65" t="s">
        <v>36</v>
      </c>
      <c r="G608" s="65" t="s">
        <v>131</v>
      </c>
      <c r="H608" s="62" t="s">
        <v>38</v>
      </c>
      <c r="I608" s="78" t="s">
        <v>1137</v>
      </c>
      <c r="J608" s="62" t="s">
        <v>40</v>
      </c>
      <c r="K608" s="67" t="s">
        <v>1138</v>
      </c>
      <c r="L608" s="70"/>
      <c r="M608" s="62"/>
      <c r="N608" s="62"/>
      <c r="O608" s="64"/>
      <c r="P608" s="79" t="s">
        <v>42</v>
      </c>
      <c r="Q608" s="73" t="s">
        <v>43</v>
      </c>
      <c r="R608" s="62"/>
    </row>
    <row r="609" ht="13.8" spans="1:18">
      <c r="A609" s="58">
        <v>586</v>
      </c>
      <c r="B609" s="90">
        <v>45724</v>
      </c>
      <c r="C609" s="64" t="s">
        <v>208</v>
      </c>
      <c r="D609" s="62" t="s">
        <v>35</v>
      </c>
      <c r="E609" s="62" t="s">
        <v>73</v>
      </c>
      <c r="F609" s="65" t="s">
        <v>50</v>
      </c>
      <c r="G609" s="65" t="s">
        <v>65</v>
      </c>
      <c r="H609" s="62" t="s">
        <v>97</v>
      </c>
      <c r="I609" s="78" t="s">
        <v>1139</v>
      </c>
      <c r="J609" s="62" t="s">
        <v>40</v>
      </c>
      <c r="K609" s="67" t="s">
        <v>1140</v>
      </c>
      <c r="L609" s="70"/>
      <c r="M609" s="62"/>
      <c r="N609" s="62"/>
      <c r="O609" s="64"/>
      <c r="P609" s="79" t="s">
        <v>42</v>
      </c>
      <c r="Q609" s="73" t="s">
        <v>43</v>
      </c>
      <c r="R609" s="62"/>
    </row>
    <row r="610" ht="27.6" spans="1:18">
      <c r="A610" s="58">
        <v>587</v>
      </c>
      <c r="B610" s="90">
        <v>45724</v>
      </c>
      <c r="C610" s="64" t="s">
        <v>49</v>
      </c>
      <c r="D610" s="62" t="s">
        <v>35</v>
      </c>
      <c r="E610" s="62" t="s">
        <v>73</v>
      </c>
      <c r="F610" s="65" t="s">
        <v>50</v>
      </c>
      <c r="G610" s="65" t="s">
        <v>131</v>
      </c>
      <c r="H610" s="62" t="s">
        <v>132</v>
      </c>
      <c r="I610" s="78" t="s">
        <v>336</v>
      </c>
      <c r="J610" s="62" t="s">
        <v>91</v>
      </c>
      <c r="K610" s="67" t="s">
        <v>337</v>
      </c>
      <c r="L610" s="70"/>
      <c r="M610" s="62"/>
      <c r="N610" s="62"/>
      <c r="O610" s="64"/>
      <c r="P610" s="79" t="s">
        <v>42</v>
      </c>
      <c r="Q610" s="73" t="s">
        <v>43</v>
      </c>
      <c r="R610" s="62"/>
    </row>
    <row r="611" ht="26.4" spans="1:18">
      <c r="A611" s="58">
        <v>588</v>
      </c>
      <c r="B611" s="90">
        <v>45724</v>
      </c>
      <c r="C611" s="64" t="s">
        <v>208</v>
      </c>
      <c r="D611" s="62" t="s">
        <v>35</v>
      </c>
      <c r="E611" s="62" t="s">
        <v>73</v>
      </c>
      <c r="F611" s="65" t="s">
        <v>135</v>
      </c>
      <c r="G611" s="65" t="s">
        <v>37</v>
      </c>
      <c r="H611" s="62" t="s">
        <v>94</v>
      </c>
      <c r="I611" s="78" t="s">
        <v>1141</v>
      </c>
      <c r="J611" s="62" t="s">
        <v>137</v>
      </c>
      <c r="K611" s="67"/>
      <c r="L611" s="70"/>
      <c r="M611" s="62"/>
      <c r="N611" s="62"/>
      <c r="O611" s="64"/>
      <c r="P611" s="79" t="s">
        <v>42</v>
      </c>
      <c r="Q611" s="62" t="s">
        <v>8</v>
      </c>
      <c r="R611" s="62"/>
    </row>
    <row r="612" ht="13.8" spans="1:18">
      <c r="A612" s="58">
        <v>589</v>
      </c>
      <c r="B612" s="90">
        <v>45724</v>
      </c>
      <c r="C612" s="69" t="s">
        <v>208</v>
      </c>
      <c r="D612" s="62" t="s">
        <v>35</v>
      </c>
      <c r="E612" s="62" t="s">
        <v>73</v>
      </c>
      <c r="F612" s="65" t="s">
        <v>192</v>
      </c>
      <c r="G612" s="65" t="s">
        <v>55</v>
      </c>
      <c r="H612" s="62" t="s">
        <v>38</v>
      </c>
      <c r="I612" s="78" t="s">
        <v>1142</v>
      </c>
      <c r="J612" s="62" t="s">
        <v>137</v>
      </c>
      <c r="K612" s="67"/>
      <c r="L612" s="70"/>
      <c r="M612" s="62"/>
      <c r="N612" s="62"/>
      <c r="O612" s="64"/>
      <c r="P612" s="79" t="s">
        <v>42</v>
      </c>
      <c r="Q612" s="62" t="s">
        <v>8</v>
      </c>
      <c r="R612" s="62"/>
    </row>
    <row r="613" ht="13.8" spans="1:18">
      <c r="A613" s="58">
        <v>590</v>
      </c>
      <c r="B613" s="90">
        <v>45724</v>
      </c>
      <c r="C613" s="69" t="s">
        <v>191</v>
      </c>
      <c r="D613" s="62" t="s">
        <v>35</v>
      </c>
      <c r="E613" s="62" t="s">
        <v>73</v>
      </c>
      <c r="F613" s="65" t="s">
        <v>135</v>
      </c>
      <c r="G613" s="65" t="s">
        <v>131</v>
      </c>
      <c r="H613" s="62" t="s">
        <v>271</v>
      </c>
      <c r="I613" s="78" t="s">
        <v>1143</v>
      </c>
      <c r="J613" s="62" t="s">
        <v>137</v>
      </c>
      <c r="K613" s="67"/>
      <c r="L613" s="70"/>
      <c r="M613" s="62"/>
      <c r="N613" s="62"/>
      <c r="O613" s="64"/>
      <c r="P613" s="79" t="s">
        <v>42</v>
      </c>
      <c r="Q613" s="62" t="s">
        <v>8</v>
      </c>
      <c r="R613" s="62"/>
    </row>
    <row r="614" ht="13.8" spans="1:18">
      <c r="A614" s="58">
        <v>591</v>
      </c>
      <c r="B614" s="90">
        <v>45725</v>
      </c>
      <c r="C614" s="69" t="s">
        <v>208</v>
      </c>
      <c r="D614" s="62" t="s">
        <v>35</v>
      </c>
      <c r="E614" s="62" t="s">
        <v>73</v>
      </c>
      <c r="F614" s="65" t="s">
        <v>36</v>
      </c>
      <c r="G614" s="65" t="s">
        <v>131</v>
      </c>
      <c r="H614" s="62" t="s">
        <v>38</v>
      </c>
      <c r="I614" s="78" t="s">
        <v>425</v>
      </c>
      <c r="J614" s="62" t="s">
        <v>91</v>
      </c>
      <c r="K614" s="67" t="s">
        <v>426</v>
      </c>
      <c r="L614" s="70"/>
      <c r="M614" s="62"/>
      <c r="N614" s="62"/>
      <c r="O614" s="64"/>
      <c r="P614" s="79" t="s">
        <v>42</v>
      </c>
      <c r="Q614" s="73" t="s">
        <v>43</v>
      </c>
      <c r="R614" s="62"/>
    </row>
    <row r="615" ht="13.8" spans="1:18">
      <c r="A615" s="58">
        <v>592</v>
      </c>
      <c r="B615" s="90">
        <v>45725</v>
      </c>
      <c r="C615" s="69" t="s">
        <v>49</v>
      </c>
      <c r="D615" s="62" t="s">
        <v>35</v>
      </c>
      <c r="E615" s="62" t="s">
        <v>73</v>
      </c>
      <c r="F615" s="65" t="s">
        <v>36</v>
      </c>
      <c r="G615" s="65" t="s">
        <v>131</v>
      </c>
      <c r="H615" s="62" t="s">
        <v>56</v>
      </c>
      <c r="I615" s="78" t="s">
        <v>455</v>
      </c>
      <c r="J615" s="62" t="s">
        <v>40</v>
      </c>
      <c r="K615" s="67" t="s">
        <v>456</v>
      </c>
      <c r="L615" s="70"/>
      <c r="M615" s="62"/>
      <c r="N615" s="62"/>
      <c r="O615" s="64"/>
      <c r="P615" s="79" t="s">
        <v>42</v>
      </c>
      <c r="Q615" s="73" t="s">
        <v>43</v>
      </c>
      <c r="R615" s="62"/>
    </row>
    <row r="616" ht="27.6" spans="1:18">
      <c r="A616" s="58">
        <v>593</v>
      </c>
      <c r="B616" s="90">
        <v>45725</v>
      </c>
      <c r="C616" s="69" t="s">
        <v>49</v>
      </c>
      <c r="D616" s="62" t="s">
        <v>35</v>
      </c>
      <c r="E616" s="62" t="s">
        <v>73</v>
      </c>
      <c r="F616" s="65" t="s">
        <v>36</v>
      </c>
      <c r="G616" s="65" t="s">
        <v>37</v>
      </c>
      <c r="H616" s="62" t="s">
        <v>66</v>
      </c>
      <c r="I616" s="78" t="s">
        <v>457</v>
      </c>
      <c r="J616" s="62" t="s">
        <v>40</v>
      </c>
      <c r="K616" s="67" t="s">
        <v>1144</v>
      </c>
      <c r="L616" s="70"/>
      <c r="M616" s="62"/>
      <c r="N616" s="62"/>
      <c r="O616" s="64"/>
      <c r="P616" s="79" t="s">
        <v>42</v>
      </c>
      <c r="Q616" s="73" t="s">
        <v>43</v>
      </c>
      <c r="R616" s="62"/>
    </row>
    <row r="617" ht="41.4" spans="1:18">
      <c r="A617" s="58">
        <v>594</v>
      </c>
      <c r="B617" s="90">
        <v>45725</v>
      </c>
      <c r="C617" s="69" t="s">
        <v>191</v>
      </c>
      <c r="D617" s="62" t="s">
        <v>35</v>
      </c>
      <c r="E617" s="62" t="s">
        <v>73</v>
      </c>
      <c r="F617" s="65" t="s">
        <v>36</v>
      </c>
      <c r="G617" s="65" t="s">
        <v>131</v>
      </c>
      <c r="H617" s="62" t="s">
        <v>56</v>
      </c>
      <c r="I617" s="78" t="s">
        <v>346</v>
      </c>
      <c r="J617" s="62" t="s">
        <v>40</v>
      </c>
      <c r="K617" s="67" t="s">
        <v>1145</v>
      </c>
      <c r="L617" s="70"/>
      <c r="M617" s="62"/>
      <c r="N617" s="62"/>
      <c r="O617" s="64"/>
      <c r="P617" s="79" t="s">
        <v>42</v>
      </c>
      <c r="Q617" s="73" t="s">
        <v>43</v>
      </c>
      <c r="R617" s="62"/>
    </row>
    <row r="618" ht="27.6" spans="1:18">
      <c r="A618" s="58">
        <v>595</v>
      </c>
      <c r="B618" s="90">
        <v>45725</v>
      </c>
      <c r="C618" s="64" t="s">
        <v>49</v>
      </c>
      <c r="D618" s="62" t="s">
        <v>35</v>
      </c>
      <c r="E618" s="62" t="s">
        <v>73</v>
      </c>
      <c r="F618" s="65" t="s">
        <v>36</v>
      </c>
      <c r="G618" s="65" t="s">
        <v>61</v>
      </c>
      <c r="H618" s="62" t="s">
        <v>97</v>
      </c>
      <c r="I618" s="78" t="s">
        <v>189</v>
      </c>
      <c r="J618" s="62" t="s">
        <v>53</v>
      </c>
      <c r="K618" s="67" t="s">
        <v>190</v>
      </c>
      <c r="L618" s="70"/>
      <c r="M618" s="62"/>
      <c r="N618" s="62"/>
      <c r="O618" s="64"/>
      <c r="P618" s="79" t="s">
        <v>42</v>
      </c>
      <c r="Q618" s="73" t="s">
        <v>43</v>
      </c>
      <c r="R618" s="62"/>
    </row>
    <row r="619" ht="41.4" spans="1:18">
      <c r="A619" s="58">
        <v>596</v>
      </c>
      <c r="B619" s="90">
        <v>45717</v>
      </c>
      <c r="C619" s="64" t="s">
        <v>208</v>
      </c>
      <c r="D619" s="62" t="s">
        <v>35</v>
      </c>
      <c r="E619" s="62" t="s">
        <v>73</v>
      </c>
      <c r="F619" s="65" t="s">
        <v>50</v>
      </c>
      <c r="G619" s="65" t="s">
        <v>65</v>
      </c>
      <c r="H619" s="62" t="s">
        <v>46</v>
      </c>
      <c r="I619" s="78" t="s">
        <v>1146</v>
      </c>
      <c r="J619" s="62" t="s">
        <v>53</v>
      </c>
      <c r="K619" s="67" t="s">
        <v>1147</v>
      </c>
      <c r="L619" s="70"/>
      <c r="M619" s="62"/>
      <c r="N619" s="62"/>
      <c r="O619" s="64"/>
      <c r="P619" s="79" t="s">
        <v>42</v>
      </c>
      <c r="Q619" s="73" t="s">
        <v>43</v>
      </c>
      <c r="R619" s="62"/>
    </row>
    <row r="620" ht="26.4" spans="1:18">
      <c r="A620" s="58">
        <v>597</v>
      </c>
      <c r="B620" s="90">
        <v>45717</v>
      </c>
      <c r="C620" s="64" t="s">
        <v>191</v>
      </c>
      <c r="D620" s="62" t="s">
        <v>35</v>
      </c>
      <c r="E620" s="62" t="s">
        <v>73</v>
      </c>
      <c r="F620" s="65" t="s">
        <v>50</v>
      </c>
      <c r="G620" s="65" t="s">
        <v>37</v>
      </c>
      <c r="H620" s="62" t="s">
        <v>132</v>
      </c>
      <c r="I620" s="78" t="s">
        <v>1148</v>
      </c>
      <c r="J620" s="62" t="s">
        <v>53</v>
      </c>
      <c r="K620" s="67"/>
      <c r="L620" s="70"/>
      <c r="M620" s="62"/>
      <c r="N620" s="62"/>
      <c r="O620" s="64"/>
      <c r="P620" s="79" t="s">
        <v>42</v>
      </c>
      <c r="Q620" s="73" t="s">
        <v>43</v>
      </c>
      <c r="R620" s="62"/>
    </row>
    <row r="621" ht="13.8" spans="1:18">
      <c r="A621" s="58">
        <v>598</v>
      </c>
      <c r="B621" s="90">
        <v>45725</v>
      </c>
      <c r="C621" s="64" t="s">
        <v>191</v>
      </c>
      <c r="D621" s="62" t="s">
        <v>35</v>
      </c>
      <c r="E621" s="62" t="s">
        <v>73</v>
      </c>
      <c r="F621" s="65" t="s">
        <v>36</v>
      </c>
      <c r="G621" s="65" t="s">
        <v>131</v>
      </c>
      <c r="H621" s="62" t="s">
        <v>56</v>
      </c>
      <c r="I621" s="78" t="s">
        <v>1149</v>
      </c>
      <c r="J621" s="62" t="s">
        <v>53</v>
      </c>
      <c r="K621" s="67" t="s">
        <v>1150</v>
      </c>
      <c r="L621" s="70"/>
      <c r="M621" s="62"/>
      <c r="N621" s="62"/>
      <c r="O621" s="64"/>
      <c r="P621" s="79" t="s">
        <v>42</v>
      </c>
      <c r="Q621" s="73" t="s">
        <v>43</v>
      </c>
      <c r="R621" s="62"/>
    </row>
    <row r="622" ht="13.8" spans="1:18">
      <c r="A622" s="58">
        <v>599</v>
      </c>
      <c r="B622" s="90">
        <v>45725</v>
      </c>
      <c r="C622" s="64" t="s">
        <v>208</v>
      </c>
      <c r="D622" s="62" t="s">
        <v>35</v>
      </c>
      <c r="E622" s="62" t="s">
        <v>73</v>
      </c>
      <c r="F622" s="65" t="s">
        <v>36</v>
      </c>
      <c r="G622" s="65" t="s">
        <v>131</v>
      </c>
      <c r="H622" s="62" t="s">
        <v>56</v>
      </c>
      <c r="I622" s="78" t="s">
        <v>1151</v>
      </c>
      <c r="J622" s="62" t="s">
        <v>53</v>
      </c>
      <c r="K622" s="67" t="s">
        <v>1152</v>
      </c>
      <c r="L622" s="70"/>
      <c r="M622" s="62"/>
      <c r="N622" s="62"/>
      <c r="O622" s="64"/>
      <c r="P622" s="79" t="s">
        <v>42</v>
      </c>
      <c r="Q622" s="73" t="s">
        <v>43</v>
      </c>
      <c r="R622" s="62"/>
    </row>
    <row r="623" ht="27.6" spans="1:18">
      <c r="A623" s="58">
        <v>600</v>
      </c>
      <c r="B623" s="90">
        <v>45725</v>
      </c>
      <c r="C623" s="64" t="s">
        <v>191</v>
      </c>
      <c r="D623" s="62" t="s">
        <v>35</v>
      </c>
      <c r="E623" s="62" t="s">
        <v>73</v>
      </c>
      <c r="F623" s="65" t="s">
        <v>36</v>
      </c>
      <c r="G623" s="65" t="s">
        <v>61</v>
      </c>
      <c r="H623" s="62" t="s">
        <v>66</v>
      </c>
      <c r="I623" s="78" t="s">
        <v>215</v>
      </c>
      <c r="J623" s="62" t="s">
        <v>53</v>
      </c>
      <c r="K623" s="67" t="s">
        <v>216</v>
      </c>
      <c r="L623" s="70"/>
      <c r="M623" s="62"/>
      <c r="N623" s="62"/>
      <c r="O623" s="64"/>
      <c r="P623" s="79" t="s">
        <v>42</v>
      </c>
      <c r="Q623" s="73" t="s">
        <v>43</v>
      </c>
      <c r="R623" s="62"/>
    </row>
    <row r="624" ht="27.6" spans="1:18">
      <c r="A624" s="58">
        <v>601</v>
      </c>
      <c r="B624" s="90">
        <v>45725</v>
      </c>
      <c r="C624" s="64" t="s">
        <v>1153</v>
      </c>
      <c r="D624" s="62" t="s">
        <v>35</v>
      </c>
      <c r="E624" s="62" t="s">
        <v>73</v>
      </c>
      <c r="F624" s="65" t="s">
        <v>50</v>
      </c>
      <c r="G624" s="65" t="s">
        <v>588</v>
      </c>
      <c r="H624" s="62" t="s">
        <v>51</v>
      </c>
      <c r="I624" s="78" t="s">
        <v>1154</v>
      </c>
      <c r="J624" s="62" t="s">
        <v>91</v>
      </c>
      <c r="K624" s="67" t="s">
        <v>1155</v>
      </c>
      <c r="L624" s="70"/>
      <c r="M624" s="62"/>
      <c r="N624" s="62"/>
      <c r="O624" s="64"/>
      <c r="P624" s="79" t="s">
        <v>42</v>
      </c>
      <c r="Q624" s="73" t="s">
        <v>43</v>
      </c>
      <c r="R624" s="62"/>
    </row>
    <row r="625" ht="27.6" spans="1:18">
      <c r="A625" s="58">
        <v>602</v>
      </c>
      <c r="B625" s="90">
        <v>45725</v>
      </c>
      <c r="C625" s="64" t="s">
        <v>1153</v>
      </c>
      <c r="D625" s="62" t="s">
        <v>35</v>
      </c>
      <c r="E625" s="62" t="s">
        <v>73</v>
      </c>
      <c r="F625" s="65" t="s">
        <v>50</v>
      </c>
      <c r="G625" s="65" t="s">
        <v>65</v>
      </c>
      <c r="H625" s="62" t="s">
        <v>38</v>
      </c>
      <c r="I625" s="78" t="s">
        <v>1156</v>
      </c>
      <c r="J625" s="62" t="s">
        <v>91</v>
      </c>
      <c r="K625" s="67" t="s">
        <v>1157</v>
      </c>
      <c r="L625" s="70"/>
      <c r="M625" s="62"/>
      <c r="N625" s="62"/>
      <c r="O625" s="64"/>
      <c r="P625" s="79" t="s">
        <v>42</v>
      </c>
      <c r="Q625" s="73" t="s">
        <v>43</v>
      </c>
      <c r="R625" s="62"/>
    </row>
    <row r="626" ht="26.4" spans="1:18">
      <c r="A626" s="58">
        <v>603</v>
      </c>
      <c r="B626" s="90">
        <v>45726</v>
      </c>
      <c r="C626" s="64" t="s">
        <v>208</v>
      </c>
      <c r="D626" s="62" t="s">
        <v>35</v>
      </c>
      <c r="E626" s="62" t="s">
        <v>73</v>
      </c>
      <c r="F626" s="65" t="s">
        <v>192</v>
      </c>
      <c r="G626" s="65" t="s">
        <v>131</v>
      </c>
      <c r="H626" s="62" t="s">
        <v>94</v>
      </c>
      <c r="I626" s="78" t="s">
        <v>1158</v>
      </c>
      <c r="J626" s="62" t="s">
        <v>137</v>
      </c>
      <c r="K626" s="67"/>
      <c r="L626" s="70"/>
      <c r="M626" s="62"/>
      <c r="N626" s="62"/>
      <c r="O626" s="64"/>
      <c r="P626" s="79" t="s">
        <v>42</v>
      </c>
      <c r="Q626" s="62" t="s">
        <v>8</v>
      </c>
      <c r="R626" s="62"/>
    </row>
    <row r="627" ht="13.8" spans="1:18">
      <c r="A627" s="58">
        <v>604</v>
      </c>
      <c r="B627" s="90">
        <v>45727</v>
      </c>
      <c r="C627" s="64" t="s">
        <v>49</v>
      </c>
      <c r="D627" s="62" t="s">
        <v>35</v>
      </c>
      <c r="E627" s="62" t="s">
        <v>73</v>
      </c>
      <c r="F627" s="65" t="s">
        <v>36</v>
      </c>
      <c r="G627" s="65" t="s">
        <v>61</v>
      </c>
      <c r="H627" s="62" t="s">
        <v>132</v>
      </c>
      <c r="I627" s="78" t="s">
        <v>1159</v>
      </c>
      <c r="J627" s="62" t="s">
        <v>91</v>
      </c>
      <c r="K627" s="67" t="s">
        <v>1160</v>
      </c>
      <c r="L627" s="70"/>
      <c r="M627" s="62"/>
      <c r="N627" s="62"/>
      <c r="O627" s="64"/>
      <c r="P627" s="79" t="s">
        <v>42</v>
      </c>
      <c r="Q627" s="73" t="s">
        <v>43</v>
      </c>
      <c r="R627" s="62"/>
    </row>
    <row r="628" ht="27.6" spans="1:18">
      <c r="A628" s="58">
        <v>605</v>
      </c>
      <c r="B628" s="90">
        <v>45727</v>
      </c>
      <c r="C628" s="64" t="s">
        <v>191</v>
      </c>
      <c r="D628" s="62" t="s">
        <v>35</v>
      </c>
      <c r="E628" s="62" t="s">
        <v>73</v>
      </c>
      <c r="F628" s="65" t="s">
        <v>36</v>
      </c>
      <c r="G628" s="65" t="s">
        <v>82</v>
      </c>
      <c r="H628" s="62" t="s">
        <v>56</v>
      </c>
      <c r="I628" s="78" t="s">
        <v>1161</v>
      </c>
      <c r="J628" s="62" t="s">
        <v>40</v>
      </c>
      <c r="K628" s="67" t="s">
        <v>1162</v>
      </c>
      <c r="L628" s="70"/>
      <c r="M628" s="62"/>
      <c r="N628" s="62"/>
      <c r="O628" s="64"/>
      <c r="P628" s="79" t="s">
        <v>42</v>
      </c>
      <c r="Q628" s="73" t="s">
        <v>43</v>
      </c>
      <c r="R628" s="62"/>
    </row>
    <row r="629" ht="13.8" spans="1:18">
      <c r="A629" s="58">
        <v>606</v>
      </c>
      <c r="B629" s="90">
        <v>45728</v>
      </c>
      <c r="C629" s="64" t="s">
        <v>49</v>
      </c>
      <c r="D629" s="62" t="s">
        <v>35</v>
      </c>
      <c r="E629" s="62" t="s">
        <v>73</v>
      </c>
      <c r="F629" s="65" t="s">
        <v>36</v>
      </c>
      <c r="G629" s="65" t="s">
        <v>65</v>
      </c>
      <c r="H629" s="62" t="s">
        <v>56</v>
      </c>
      <c r="I629" s="78" t="s">
        <v>1163</v>
      </c>
      <c r="J629" s="62" t="s">
        <v>40</v>
      </c>
      <c r="K629" s="67" t="s">
        <v>1164</v>
      </c>
      <c r="L629" s="70"/>
      <c r="M629" s="62"/>
      <c r="N629" s="62"/>
      <c r="O629" s="64"/>
      <c r="P629" s="79" t="s">
        <v>42</v>
      </c>
      <c r="Q629" s="73" t="s">
        <v>43</v>
      </c>
      <c r="R629" s="62"/>
    </row>
    <row r="630" ht="13.8" spans="1:18">
      <c r="A630" s="58">
        <v>607</v>
      </c>
      <c r="B630" s="90">
        <v>45728</v>
      </c>
      <c r="C630" s="69" t="s">
        <v>1076</v>
      </c>
      <c r="D630" s="62" t="s">
        <v>35</v>
      </c>
      <c r="E630" s="62" t="s">
        <v>73</v>
      </c>
      <c r="F630" s="65" t="s">
        <v>135</v>
      </c>
      <c r="G630" s="65" t="s">
        <v>37</v>
      </c>
      <c r="H630" s="62" t="s">
        <v>56</v>
      </c>
      <c r="I630" s="78" t="s">
        <v>1165</v>
      </c>
      <c r="J630" s="62" t="s">
        <v>137</v>
      </c>
      <c r="K630" s="67" t="s">
        <v>1056</v>
      </c>
      <c r="L630" s="70"/>
      <c r="M630" s="62"/>
      <c r="N630" s="62"/>
      <c r="O630" s="64"/>
      <c r="P630" s="79" t="s">
        <v>42</v>
      </c>
      <c r="Q630" s="62" t="s">
        <v>8</v>
      </c>
      <c r="R630" s="62"/>
    </row>
    <row r="631" ht="13.8" spans="1:18">
      <c r="A631" s="58">
        <v>608</v>
      </c>
      <c r="B631" s="90">
        <v>45728</v>
      </c>
      <c r="C631" s="64" t="s">
        <v>49</v>
      </c>
      <c r="D631" s="62" t="s">
        <v>35</v>
      </c>
      <c r="E631" s="62" t="s">
        <v>73</v>
      </c>
      <c r="F631" s="65" t="s">
        <v>36</v>
      </c>
      <c r="G631" s="65" t="s">
        <v>82</v>
      </c>
      <c r="H631" s="62" t="s">
        <v>56</v>
      </c>
      <c r="I631" s="78" t="s">
        <v>1166</v>
      </c>
      <c r="J631" s="62" t="s">
        <v>40</v>
      </c>
      <c r="K631" s="67" t="s">
        <v>1025</v>
      </c>
      <c r="L631" s="70"/>
      <c r="M631" s="62"/>
      <c r="N631" s="62"/>
      <c r="O631" s="64"/>
      <c r="P631" s="79" t="s">
        <v>42</v>
      </c>
      <c r="Q631" s="73" t="s">
        <v>43</v>
      </c>
      <c r="R631" s="62"/>
    </row>
    <row r="632" ht="26.4" spans="1:18">
      <c r="A632" s="58">
        <v>609</v>
      </c>
      <c r="B632" s="90">
        <v>45728</v>
      </c>
      <c r="C632" s="64" t="s">
        <v>49</v>
      </c>
      <c r="D632" s="62" t="s">
        <v>35</v>
      </c>
      <c r="E632" s="62" t="s">
        <v>73</v>
      </c>
      <c r="F632" s="65" t="s">
        <v>36</v>
      </c>
      <c r="G632" s="65" t="s">
        <v>55</v>
      </c>
      <c r="H632" s="62" t="s">
        <v>56</v>
      </c>
      <c r="I632" s="78" t="s">
        <v>1167</v>
      </c>
      <c r="J632" s="62" t="s">
        <v>40</v>
      </c>
      <c r="K632" s="67" t="s">
        <v>1164</v>
      </c>
      <c r="L632" s="70"/>
      <c r="M632" s="62"/>
      <c r="N632" s="62"/>
      <c r="O632" s="64"/>
      <c r="P632" s="79" t="s">
        <v>42</v>
      </c>
      <c r="Q632" s="73" t="s">
        <v>43</v>
      </c>
      <c r="R632" s="62"/>
    </row>
    <row r="633" ht="13.8" spans="1:18">
      <c r="A633" s="58">
        <v>610</v>
      </c>
      <c r="B633" s="90">
        <v>45729</v>
      </c>
      <c r="C633" s="64" t="s">
        <v>49</v>
      </c>
      <c r="D633" s="62" t="s">
        <v>35</v>
      </c>
      <c r="E633" s="62" t="s">
        <v>73</v>
      </c>
      <c r="F633" s="65" t="s">
        <v>135</v>
      </c>
      <c r="G633" s="65" t="s">
        <v>61</v>
      </c>
      <c r="H633" s="62" t="s">
        <v>56</v>
      </c>
      <c r="I633" s="78" t="s">
        <v>1168</v>
      </c>
      <c r="J633" s="62" t="s">
        <v>137</v>
      </c>
      <c r="K633" s="67" t="s">
        <v>194</v>
      </c>
      <c r="L633" s="70"/>
      <c r="M633" s="62"/>
      <c r="N633" s="62"/>
      <c r="O633" s="64"/>
      <c r="P633" s="79" t="s">
        <v>42</v>
      </c>
      <c r="Q633" s="62" t="s">
        <v>8</v>
      </c>
      <c r="R633" s="62"/>
    </row>
    <row r="634" ht="26.4" spans="1:18">
      <c r="A634" s="58">
        <v>611</v>
      </c>
      <c r="B634" s="90">
        <v>45729</v>
      </c>
      <c r="C634" s="64" t="s">
        <v>49</v>
      </c>
      <c r="D634" s="62" t="s">
        <v>35</v>
      </c>
      <c r="E634" s="62" t="s">
        <v>73</v>
      </c>
      <c r="F634" s="65" t="s">
        <v>192</v>
      </c>
      <c r="G634" s="65" t="s">
        <v>45</v>
      </c>
      <c r="H634" s="62" t="s">
        <v>94</v>
      </c>
      <c r="I634" s="78" t="s">
        <v>1169</v>
      </c>
      <c r="J634" s="62" t="s">
        <v>137</v>
      </c>
      <c r="K634" s="67" t="s">
        <v>194</v>
      </c>
      <c r="L634" s="70"/>
      <c r="M634" s="62"/>
      <c r="N634" s="62"/>
      <c r="O634" s="64"/>
      <c r="P634" s="79" t="s">
        <v>42</v>
      </c>
      <c r="Q634" s="62" t="s">
        <v>8</v>
      </c>
      <c r="R634" s="62"/>
    </row>
    <row r="635" ht="27.6" spans="1:18">
      <c r="A635" s="58">
        <v>612</v>
      </c>
      <c r="B635" s="90">
        <v>45729</v>
      </c>
      <c r="C635" s="64" t="s">
        <v>191</v>
      </c>
      <c r="D635" s="62" t="s">
        <v>35</v>
      </c>
      <c r="E635" s="62" t="s">
        <v>73</v>
      </c>
      <c r="F635" s="65" t="s">
        <v>36</v>
      </c>
      <c r="G635" s="65" t="s">
        <v>61</v>
      </c>
      <c r="H635" s="62" t="s">
        <v>56</v>
      </c>
      <c r="I635" s="78" t="s">
        <v>1170</v>
      </c>
      <c r="J635" s="62" t="s">
        <v>40</v>
      </c>
      <c r="K635" s="67" t="s">
        <v>1171</v>
      </c>
      <c r="L635" s="70"/>
      <c r="M635" s="62"/>
      <c r="N635" s="62"/>
      <c r="O635" s="64"/>
      <c r="P635" s="79" t="s">
        <v>42</v>
      </c>
      <c r="Q635" s="73" t="s">
        <v>43</v>
      </c>
      <c r="R635" s="62"/>
    </row>
    <row r="636" ht="27.6" spans="1:18">
      <c r="A636" s="58">
        <v>613</v>
      </c>
      <c r="B636" s="90">
        <v>45731</v>
      </c>
      <c r="C636" s="64" t="s">
        <v>49</v>
      </c>
      <c r="D636" s="62" t="s">
        <v>35</v>
      </c>
      <c r="E636" s="62" t="s">
        <v>73</v>
      </c>
      <c r="F636" s="65" t="s">
        <v>36</v>
      </c>
      <c r="G636" s="65" t="s">
        <v>61</v>
      </c>
      <c r="H636" s="62" t="s">
        <v>56</v>
      </c>
      <c r="I636" s="78" t="s">
        <v>1172</v>
      </c>
      <c r="J636" s="62" t="s">
        <v>40</v>
      </c>
      <c r="K636" s="67" t="s">
        <v>1173</v>
      </c>
      <c r="L636" s="70"/>
      <c r="M636" s="62"/>
      <c r="N636" s="62"/>
      <c r="O636" s="64"/>
      <c r="P636" s="79" t="s">
        <v>42</v>
      </c>
      <c r="Q636" s="73" t="s">
        <v>43</v>
      </c>
      <c r="R636" s="62"/>
    </row>
    <row r="637" ht="27.6" spans="1:18">
      <c r="A637" s="58">
        <v>614</v>
      </c>
      <c r="B637" s="90">
        <v>45731</v>
      </c>
      <c r="C637" s="64" t="s">
        <v>49</v>
      </c>
      <c r="D637" s="62" t="s">
        <v>35</v>
      </c>
      <c r="E637" s="62" t="s">
        <v>73</v>
      </c>
      <c r="F637" s="65" t="s">
        <v>36</v>
      </c>
      <c r="G637" s="65" t="s">
        <v>93</v>
      </c>
      <c r="H637" s="62" t="s">
        <v>97</v>
      </c>
      <c r="I637" s="78" t="s">
        <v>1174</v>
      </c>
      <c r="J637" s="62" t="s">
        <v>40</v>
      </c>
      <c r="K637" s="67" t="s">
        <v>1175</v>
      </c>
      <c r="L637" s="70"/>
      <c r="M637" s="62"/>
      <c r="N637" s="62"/>
      <c r="O637" s="64"/>
      <c r="P637" s="79" t="s">
        <v>42</v>
      </c>
      <c r="Q637" s="73" t="s">
        <v>43</v>
      </c>
      <c r="R637" s="62"/>
    </row>
    <row r="638" ht="13.8" spans="1:18">
      <c r="A638" s="58">
        <v>615</v>
      </c>
      <c r="B638" s="90">
        <v>45731</v>
      </c>
      <c r="C638" s="64" t="s">
        <v>191</v>
      </c>
      <c r="D638" s="62" t="s">
        <v>35</v>
      </c>
      <c r="E638" s="62" t="s">
        <v>73</v>
      </c>
      <c r="F638" s="65" t="s">
        <v>36</v>
      </c>
      <c r="G638" s="65" t="s">
        <v>93</v>
      </c>
      <c r="H638" s="62" t="s">
        <v>38</v>
      </c>
      <c r="I638" s="78" t="s">
        <v>448</v>
      </c>
      <c r="J638" s="62" t="s">
        <v>91</v>
      </c>
      <c r="K638" s="67" t="s">
        <v>449</v>
      </c>
      <c r="L638" s="70"/>
      <c r="M638" s="62"/>
      <c r="N638" s="62"/>
      <c r="O638" s="64"/>
      <c r="P638" s="79" t="s">
        <v>42</v>
      </c>
      <c r="Q638" s="73" t="s">
        <v>43</v>
      </c>
      <c r="R638" s="62"/>
    </row>
    <row r="639" ht="13.8" spans="1:18">
      <c r="A639" s="58">
        <v>616</v>
      </c>
      <c r="B639" s="90">
        <v>45731</v>
      </c>
      <c r="C639" s="64" t="s">
        <v>49</v>
      </c>
      <c r="D639" s="62" t="s">
        <v>35</v>
      </c>
      <c r="E639" s="62" t="s">
        <v>73</v>
      </c>
      <c r="F639" s="65" t="s">
        <v>36</v>
      </c>
      <c r="G639" s="65" t="s">
        <v>61</v>
      </c>
      <c r="H639" s="62" t="s">
        <v>56</v>
      </c>
      <c r="I639" s="78" t="s">
        <v>1176</v>
      </c>
      <c r="J639" s="62" t="s">
        <v>88</v>
      </c>
      <c r="K639" s="67" t="s">
        <v>1177</v>
      </c>
      <c r="L639" s="70"/>
      <c r="M639" s="62"/>
      <c r="N639" s="62"/>
      <c r="O639" s="64"/>
      <c r="P639" s="79" t="s">
        <v>42</v>
      </c>
      <c r="Q639" s="73" t="s">
        <v>43</v>
      </c>
      <c r="R639" s="62"/>
    </row>
    <row r="640" ht="13.8" spans="1:18">
      <c r="A640" s="58">
        <v>617</v>
      </c>
      <c r="B640" s="90">
        <v>45731</v>
      </c>
      <c r="C640" s="64" t="s">
        <v>208</v>
      </c>
      <c r="D640" s="62" t="s">
        <v>35</v>
      </c>
      <c r="E640" s="62" t="s">
        <v>73</v>
      </c>
      <c r="F640" s="65" t="s">
        <v>36</v>
      </c>
      <c r="G640" s="65" t="s">
        <v>131</v>
      </c>
      <c r="H640" s="62" t="s">
        <v>56</v>
      </c>
      <c r="I640" s="78" t="s">
        <v>1178</v>
      </c>
      <c r="J640" s="62" t="s">
        <v>40</v>
      </c>
      <c r="K640" s="67" t="s">
        <v>1179</v>
      </c>
      <c r="L640" s="70"/>
      <c r="M640" s="62"/>
      <c r="N640" s="62"/>
      <c r="O640" s="64"/>
      <c r="P640" s="79" t="s">
        <v>42</v>
      </c>
      <c r="Q640" s="73" t="s">
        <v>43</v>
      </c>
      <c r="R640" s="62"/>
    </row>
    <row r="641" ht="13.8" spans="1:18">
      <c r="A641" s="58">
        <v>618</v>
      </c>
      <c r="B641" s="90">
        <v>45732</v>
      </c>
      <c r="C641" s="64" t="s">
        <v>208</v>
      </c>
      <c r="D641" s="62" t="s">
        <v>35</v>
      </c>
      <c r="E641" s="62" t="s">
        <v>73</v>
      </c>
      <c r="F641" s="65" t="s">
        <v>36</v>
      </c>
      <c r="G641" s="65" t="s">
        <v>65</v>
      </c>
      <c r="H641" s="62" t="s">
        <v>56</v>
      </c>
      <c r="I641" s="78" t="s">
        <v>1180</v>
      </c>
      <c r="J641" s="62" t="s">
        <v>40</v>
      </c>
      <c r="K641" s="67" t="s">
        <v>1181</v>
      </c>
      <c r="L641" s="70"/>
      <c r="M641" s="62"/>
      <c r="N641" s="62"/>
      <c r="O641" s="64"/>
      <c r="P641" s="79" t="s">
        <v>42</v>
      </c>
      <c r="Q641" s="73" t="s">
        <v>43</v>
      </c>
      <c r="R641" s="62"/>
    </row>
    <row r="642" ht="26.4" spans="1:18">
      <c r="A642" s="58">
        <v>619</v>
      </c>
      <c r="B642" s="90">
        <v>45732</v>
      </c>
      <c r="C642" s="64" t="s">
        <v>49</v>
      </c>
      <c r="D642" s="62" t="s">
        <v>35</v>
      </c>
      <c r="E642" s="62" t="s">
        <v>73</v>
      </c>
      <c r="F642" s="65" t="s">
        <v>36</v>
      </c>
      <c r="G642" s="65" t="s">
        <v>131</v>
      </c>
      <c r="H642" s="62" t="s">
        <v>46</v>
      </c>
      <c r="I642" s="78" t="s">
        <v>1182</v>
      </c>
      <c r="J642" s="62" t="s">
        <v>40</v>
      </c>
      <c r="K642" s="67" t="s">
        <v>1183</v>
      </c>
      <c r="L642" s="70"/>
      <c r="M642" s="62"/>
      <c r="N642" s="62"/>
      <c r="O642" s="64"/>
      <c r="P642" s="79" t="s">
        <v>42</v>
      </c>
      <c r="Q642" s="73" t="s">
        <v>43</v>
      </c>
      <c r="R642" s="62"/>
    </row>
    <row r="643" ht="13.8" spans="1:18">
      <c r="A643" s="58">
        <v>620</v>
      </c>
      <c r="B643" s="90">
        <v>45733</v>
      </c>
      <c r="C643" s="64" t="s">
        <v>208</v>
      </c>
      <c r="D643" s="62" t="s">
        <v>35</v>
      </c>
      <c r="E643" s="62" t="s">
        <v>73</v>
      </c>
      <c r="F643" s="65" t="s">
        <v>36</v>
      </c>
      <c r="G643" s="65" t="s">
        <v>65</v>
      </c>
      <c r="H643" s="62" t="s">
        <v>128</v>
      </c>
      <c r="I643" s="78" t="s">
        <v>1184</v>
      </c>
      <c r="J643" s="62" t="s">
        <v>40</v>
      </c>
      <c r="K643" s="67" t="s">
        <v>1185</v>
      </c>
      <c r="L643" s="70"/>
      <c r="M643" s="62"/>
      <c r="N643" s="62"/>
      <c r="O643" s="64"/>
      <c r="P643" s="79" t="s">
        <v>42</v>
      </c>
      <c r="Q643" s="73" t="s">
        <v>43</v>
      </c>
      <c r="R643" s="62"/>
    </row>
    <row r="644" ht="13.8" spans="1:18">
      <c r="A644" s="58">
        <v>621</v>
      </c>
      <c r="B644" s="90">
        <v>45734</v>
      </c>
      <c r="C644" s="64" t="s">
        <v>191</v>
      </c>
      <c r="D644" s="62" t="s">
        <v>35</v>
      </c>
      <c r="E644" s="62" t="s">
        <v>73</v>
      </c>
      <c r="F644" s="65" t="s">
        <v>36</v>
      </c>
      <c r="G644" s="65" t="s">
        <v>65</v>
      </c>
      <c r="H644" s="62" t="s">
        <v>56</v>
      </c>
      <c r="I644" s="78" t="s">
        <v>1186</v>
      </c>
      <c r="J644" s="62" t="s">
        <v>40</v>
      </c>
      <c r="K644" s="67" t="s">
        <v>1187</v>
      </c>
      <c r="L644" s="70"/>
      <c r="M644" s="62"/>
      <c r="N644" s="62"/>
      <c r="O644" s="64"/>
      <c r="P644" s="79" t="s">
        <v>42</v>
      </c>
      <c r="Q644" s="73" t="s">
        <v>43</v>
      </c>
      <c r="R644" s="62"/>
    </row>
    <row r="645" ht="13.8" spans="1:18">
      <c r="A645" s="58">
        <v>622</v>
      </c>
      <c r="B645" s="90">
        <v>45735</v>
      </c>
      <c r="C645" s="64" t="s">
        <v>191</v>
      </c>
      <c r="D645" s="62" t="s">
        <v>35</v>
      </c>
      <c r="E645" s="62" t="s">
        <v>73</v>
      </c>
      <c r="F645" s="65" t="s">
        <v>36</v>
      </c>
      <c r="G645" s="65" t="s">
        <v>61</v>
      </c>
      <c r="H645" s="62" t="s">
        <v>38</v>
      </c>
      <c r="I645" s="78" t="s">
        <v>1188</v>
      </c>
      <c r="J645" s="62" t="s">
        <v>40</v>
      </c>
      <c r="K645" s="67" t="s">
        <v>1189</v>
      </c>
      <c r="L645" s="70"/>
      <c r="M645" s="62"/>
      <c r="N645" s="62"/>
      <c r="O645" s="64"/>
      <c r="P645" s="79" t="s">
        <v>42</v>
      </c>
      <c r="Q645" s="73" t="s">
        <v>43</v>
      </c>
      <c r="R645" s="62"/>
    </row>
    <row r="646" ht="41.4" spans="1:18">
      <c r="A646" s="58">
        <v>623</v>
      </c>
      <c r="B646" s="90">
        <v>45736</v>
      </c>
      <c r="C646" s="64" t="s">
        <v>208</v>
      </c>
      <c r="D646" s="62" t="s">
        <v>35</v>
      </c>
      <c r="E646" s="62" t="s">
        <v>73</v>
      </c>
      <c r="F646" s="65" t="s">
        <v>50</v>
      </c>
      <c r="G646" s="65" t="s">
        <v>65</v>
      </c>
      <c r="H646" s="62" t="s">
        <v>94</v>
      </c>
      <c r="I646" s="78" t="s">
        <v>1190</v>
      </c>
      <c r="J646" s="62" t="s">
        <v>91</v>
      </c>
      <c r="K646" s="67" t="s">
        <v>1191</v>
      </c>
      <c r="L646" s="70"/>
      <c r="M646" s="62"/>
      <c r="N646" s="62"/>
      <c r="O646" s="64"/>
      <c r="P646" s="79" t="s">
        <v>42</v>
      </c>
      <c r="Q646" s="73" t="s">
        <v>43</v>
      </c>
      <c r="R646" s="62"/>
    </row>
    <row r="647" ht="13.8" spans="1:18">
      <c r="A647" s="58">
        <v>624</v>
      </c>
      <c r="B647" s="90">
        <v>45738</v>
      </c>
      <c r="C647" s="64" t="s">
        <v>49</v>
      </c>
      <c r="D647" s="62" t="s">
        <v>35</v>
      </c>
      <c r="E647" s="62" t="s">
        <v>73</v>
      </c>
      <c r="F647" s="65" t="s">
        <v>36</v>
      </c>
      <c r="G647" s="65" t="s">
        <v>131</v>
      </c>
      <c r="H647" s="62" t="s">
        <v>56</v>
      </c>
      <c r="I647" s="78" t="s">
        <v>431</v>
      </c>
      <c r="J647" s="62" t="s">
        <v>53</v>
      </c>
      <c r="K647" s="67"/>
      <c r="L647" s="70"/>
      <c r="M647" s="62"/>
      <c r="N647" s="62"/>
      <c r="O647" s="64"/>
      <c r="P647" s="79" t="s">
        <v>42</v>
      </c>
      <c r="Q647" s="73" t="s">
        <v>43</v>
      </c>
      <c r="R647" s="62"/>
    </row>
    <row r="648" ht="27.6" spans="1:18">
      <c r="A648" s="58">
        <v>625</v>
      </c>
      <c r="B648" s="90">
        <v>45739</v>
      </c>
      <c r="C648" s="69" t="s">
        <v>1076</v>
      </c>
      <c r="D648" s="62" t="s">
        <v>35</v>
      </c>
      <c r="E648" s="62" t="s">
        <v>73</v>
      </c>
      <c r="F648" s="65" t="s">
        <v>36</v>
      </c>
      <c r="G648" s="65" t="s">
        <v>65</v>
      </c>
      <c r="H648" s="62" t="s">
        <v>46</v>
      </c>
      <c r="I648" s="78" t="s">
        <v>1192</v>
      </c>
      <c r="J648" s="62" t="s">
        <v>40</v>
      </c>
      <c r="K648" s="67" t="s">
        <v>1193</v>
      </c>
      <c r="L648" s="70"/>
      <c r="M648" s="62"/>
      <c r="N648" s="62"/>
      <c r="O648" s="64"/>
      <c r="P648" s="79" t="s">
        <v>42</v>
      </c>
      <c r="Q648" s="73" t="s">
        <v>43</v>
      </c>
      <c r="R648" s="62"/>
    </row>
    <row r="649" ht="41.4" spans="1:18">
      <c r="A649" s="58">
        <v>626</v>
      </c>
      <c r="B649" s="90">
        <v>45739</v>
      </c>
      <c r="C649" s="64" t="s">
        <v>208</v>
      </c>
      <c r="D649" s="62" t="s">
        <v>35</v>
      </c>
      <c r="E649" s="62" t="s">
        <v>73</v>
      </c>
      <c r="F649" s="65" t="s">
        <v>36</v>
      </c>
      <c r="G649" s="65" t="s">
        <v>65</v>
      </c>
      <c r="H649" s="62" t="s">
        <v>38</v>
      </c>
      <c r="I649" s="78" t="s">
        <v>1194</v>
      </c>
      <c r="J649" s="62" t="s">
        <v>40</v>
      </c>
      <c r="K649" s="67" t="s">
        <v>1195</v>
      </c>
      <c r="L649" s="70"/>
      <c r="M649" s="62"/>
      <c r="N649" s="62"/>
      <c r="O649" s="64"/>
      <c r="P649" s="79" t="s">
        <v>42</v>
      </c>
      <c r="Q649" s="73" t="s">
        <v>43</v>
      </c>
      <c r="R649" s="62"/>
    </row>
    <row r="650" ht="27.6" spans="1:18">
      <c r="A650" s="58">
        <v>627</v>
      </c>
      <c r="B650" s="90">
        <v>45739</v>
      </c>
      <c r="C650" s="64" t="s">
        <v>208</v>
      </c>
      <c r="D650" s="62" t="s">
        <v>35</v>
      </c>
      <c r="E650" s="62" t="s">
        <v>73</v>
      </c>
      <c r="F650" s="65" t="s">
        <v>36</v>
      </c>
      <c r="G650" s="65" t="s">
        <v>65</v>
      </c>
      <c r="H650" s="62" t="s">
        <v>56</v>
      </c>
      <c r="I650" s="78" t="s">
        <v>1196</v>
      </c>
      <c r="J650" s="62" t="s">
        <v>91</v>
      </c>
      <c r="K650" s="67" t="s">
        <v>1197</v>
      </c>
      <c r="L650" s="70"/>
      <c r="M650" s="62"/>
      <c r="N650" s="62"/>
      <c r="O650" s="64"/>
      <c r="P650" s="79" t="s">
        <v>42</v>
      </c>
      <c r="Q650" s="73" t="s">
        <v>43</v>
      </c>
      <c r="R650" s="62"/>
    </row>
    <row r="651" ht="27.6" spans="1:18">
      <c r="A651" s="58">
        <v>628</v>
      </c>
      <c r="B651" s="90">
        <v>45741</v>
      </c>
      <c r="C651" s="64" t="s">
        <v>49</v>
      </c>
      <c r="D651" s="62" t="s">
        <v>35</v>
      </c>
      <c r="E651" s="62" t="s">
        <v>73</v>
      </c>
      <c r="F651" s="65" t="s">
        <v>36</v>
      </c>
      <c r="G651" s="65" t="s">
        <v>61</v>
      </c>
      <c r="H651" s="62" t="s">
        <v>51</v>
      </c>
      <c r="I651" s="78" t="s">
        <v>1198</v>
      </c>
      <c r="J651" s="62" t="s">
        <v>91</v>
      </c>
      <c r="K651" s="67" t="s">
        <v>1155</v>
      </c>
      <c r="L651" s="70"/>
      <c r="M651" s="62"/>
      <c r="N651" s="62"/>
      <c r="O651" s="64"/>
      <c r="P651" s="79" t="s">
        <v>42</v>
      </c>
      <c r="Q651" s="73" t="s">
        <v>43</v>
      </c>
      <c r="R651" s="62"/>
    </row>
    <row r="652" ht="27.6" spans="1:18">
      <c r="A652" s="58">
        <v>629</v>
      </c>
      <c r="B652" s="90">
        <v>45741</v>
      </c>
      <c r="C652" s="64" t="s">
        <v>208</v>
      </c>
      <c r="D652" s="62" t="s">
        <v>35</v>
      </c>
      <c r="E652" s="62" t="s">
        <v>73</v>
      </c>
      <c r="F652" s="65" t="s">
        <v>50</v>
      </c>
      <c r="G652" s="65" t="s">
        <v>61</v>
      </c>
      <c r="H652" s="62" t="s">
        <v>38</v>
      </c>
      <c r="I652" s="78" t="s">
        <v>1156</v>
      </c>
      <c r="J652" s="62" t="s">
        <v>91</v>
      </c>
      <c r="K652" s="67" t="s">
        <v>1157</v>
      </c>
      <c r="L652" s="70"/>
      <c r="M652" s="62"/>
      <c r="N652" s="62"/>
      <c r="O652" s="64"/>
      <c r="P652" s="79" t="s">
        <v>42</v>
      </c>
      <c r="Q652" s="73" t="s">
        <v>43</v>
      </c>
      <c r="R652" s="62"/>
    </row>
    <row r="653" ht="27.6" spans="1:18">
      <c r="A653" s="58">
        <v>630</v>
      </c>
      <c r="B653" s="90">
        <v>45741</v>
      </c>
      <c r="C653" s="64" t="s">
        <v>208</v>
      </c>
      <c r="D653" s="62" t="s">
        <v>35</v>
      </c>
      <c r="E653" s="62" t="s">
        <v>73</v>
      </c>
      <c r="F653" s="65" t="s">
        <v>50</v>
      </c>
      <c r="G653" s="65" t="s">
        <v>37</v>
      </c>
      <c r="H653" s="62" t="s">
        <v>38</v>
      </c>
      <c r="I653" s="78" t="s">
        <v>1199</v>
      </c>
      <c r="J653" s="62" t="s">
        <v>53</v>
      </c>
      <c r="K653" s="67" t="s">
        <v>1200</v>
      </c>
      <c r="L653" s="70"/>
      <c r="M653" s="62"/>
      <c r="N653" s="62"/>
      <c r="O653" s="64"/>
      <c r="P653" s="79" t="s">
        <v>42</v>
      </c>
      <c r="Q653" s="73" t="s">
        <v>43</v>
      </c>
      <c r="R653" s="62"/>
    </row>
    <row r="654" ht="13.8" spans="1:18">
      <c r="A654" s="58">
        <v>631</v>
      </c>
      <c r="B654" s="90">
        <v>45743</v>
      </c>
      <c r="C654" s="64" t="s">
        <v>49</v>
      </c>
      <c r="D654" s="62" t="s">
        <v>35</v>
      </c>
      <c r="E654" s="62" t="s">
        <v>73</v>
      </c>
      <c r="F654" s="65" t="s">
        <v>135</v>
      </c>
      <c r="G654" s="65" t="s">
        <v>93</v>
      </c>
      <c r="H654" s="62" t="s">
        <v>56</v>
      </c>
      <c r="I654" s="78" t="s">
        <v>1201</v>
      </c>
      <c r="J654" s="62" t="s">
        <v>137</v>
      </c>
      <c r="K654" s="67" t="s">
        <v>204</v>
      </c>
      <c r="L654" s="70"/>
      <c r="M654" s="62"/>
      <c r="N654" s="62"/>
      <c r="O654" s="64"/>
      <c r="P654" s="79" t="s">
        <v>42</v>
      </c>
      <c r="Q654" s="62" t="s">
        <v>8</v>
      </c>
      <c r="R654" s="62"/>
    </row>
    <row r="655" ht="13.8" spans="1:18">
      <c r="A655" s="58">
        <v>632</v>
      </c>
      <c r="B655" s="90">
        <v>45743</v>
      </c>
      <c r="C655" s="64" t="s">
        <v>208</v>
      </c>
      <c r="D655" s="62" t="s">
        <v>35</v>
      </c>
      <c r="E655" s="62" t="s">
        <v>73</v>
      </c>
      <c r="F655" s="65" t="s">
        <v>36</v>
      </c>
      <c r="G655" s="65" t="s">
        <v>65</v>
      </c>
      <c r="H655" s="62" t="s">
        <v>38</v>
      </c>
      <c r="I655" s="78" t="s">
        <v>513</v>
      </c>
      <c r="J655" s="62" t="s">
        <v>91</v>
      </c>
      <c r="K655" s="67" t="s">
        <v>514</v>
      </c>
      <c r="L655" s="70"/>
      <c r="M655" s="62"/>
      <c r="N655" s="62"/>
      <c r="O655" s="64"/>
      <c r="P655" s="79" t="s">
        <v>42</v>
      </c>
      <c r="Q655" s="73" t="s">
        <v>43</v>
      </c>
      <c r="R655" s="62"/>
    </row>
    <row r="656" ht="13.8" spans="1:18">
      <c r="A656" s="58">
        <v>633</v>
      </c>
      <c r="B656" s="90">
        <v>45743</v>
      </c>
      <c r="C656" s="69" t="s">
        <v>1076</v>
      </c>
      <c r="D656" s="62" t="s">
        <v>35</v>
      </c>
      <c r="E656" s="62" t="s">
        <v>73</v>
      </c>
      <c r="F656" s="65" t="s">
        <v>36</v>
      </c>
      <c r="G656" s="65" t="s">
        <v>82</v>
      </c>
      <c r="H656" s="62" t="s">
        <v>132</v>
      </c>
      <c r="I656" s="78" t="s">
        <v>1202</v>
      </c>
      <c r="J656" s="62" t="s">
        <v>40</v>
      </c>
      <c r="K656" s="67" t="s">
        <v>1203</v>
      </c>
      <c r="L656" s="70"/>
      <c r="M656" s="62"/>
      <c r="N656" s="62"/>
      <c r="O656" s="64"/>
      <c r="P656" s="79" t="s">
        <v>42</v>
      </c>
      <c r="Q656" s="73" t="s">
        <v>43</v>
      </c>
      <c r="R656" s="62"/>
    </row>
    <row r="657" ht="13.8" spans="1:18">
      <c r="A657" s="58">
        <v>634</v>
      </c>
      <c r="B657" s="90">
        <v>45743</v>
      </c>
      <c r="C657" s="64" t="s">
        <v>49</v>
      </c>
      <c r="D657" s="62" t="s">
        <v>35</v>
      </c>
      <c r="E657" s="62" t="s">
        <v>73</v>
      </c>
      <c r="F657" s="65" t="s">
        <v>50</v>
      </c>
      <c r="G657" s="65" t="s">
        <v>82</v>
      </c>
      <c r="H657" s="62" t="s">
        <v>51</v>
      </c>
      <c r="I657" s="78" t="s">
        <v>1204</v>
      </c>
      <c r="J657" s="62" t="s">
        <v>91</v>
      </c>
      <c r="K657" s="67" t="s">
        <v>222</v>
      </c>
      <c r="L657" s="70"/>
      <c r="M657" s="62"/>
      <c r="N657" s="62"/>
      <c r="O657" s="64"/>
      <c r="P657" s="79" t="s">
        <v>42</v>
      </c>
      <c r="Q657" s="73" t="s">
        <v>43</v>
      </c>
      <c r="R657" s="62"/>
    </row>
    <row r="658" ht="13.8" spans="1:18">
      <c r="A658" s="58">
        <v>635</v>
      </c>
      <c r="B658" s="90">
        <v>45743</v>
      </c>
      <c r="C658" s="69" t="s">
        <v>1076</v>
      </c>
      <c r="D658" s="62" t="s">
        <v>35</v>
      </c>
      <c r="E658" s="62" t="s">
        <v>73</v>
      </c>
      <c r="F658" s="65" t="s">
        <v>50</v>
      </c>
      <c r="G658" s="65" t="s">
        <v>65</v>
      </c>
      <c r="H658" s="62" t="s">
        <v>51</v>
      </c>
      <c r="I658" s="78" t="s">
        <v>1205</v>
      </c>
      <c r="J658" s="62" t="s">
        <v>91</v>
      </c>
      <c r="K658" s="67" t="s">
        <v>222</v>
      </c>
      <c r="L658" s="70"/>
      <c r="M658" s="62"/>
      <c r="N658" s="62"/>
      <c r="O658" s="64"/>
      <c r="P658" s="79" t="s">
        <v>42</v>
      </c>
      <c r="Q658" s="73" t="s">
        <v>43</v>
      </c>
      <c r="R658" s="62"/>
    </row>
    <row r="659" ht="26.4" spans="1:18">
      <c r="A659" s="58">
        <v>636</v>
      </c>
      <c r="B659" s="90">
        <v>45743</v>
      </c>
      <c r="C659" s="64" t="s">
        <v>208</v>
      </c>
      <c r="D659" s="62" t="s">
        <v>35</v>
      </c>
      <c r="E659" s="62" t="s">
        <v>73</v>
      </c>
      <c r="F659" s="65" t="s">
        <v>135</v>
      </c>
      <c r="G659" s="65" t="s">
        <v>61</v>
      </c>
      <c r="H659" s="62" t="s">
        <v>132</v>
      </c>
      <c r="I659" s="78" t="s">
        <v>209</v>
      </c>
      <c r="J659" s="62" t="s">
        <v>137</v>
      </c>
      <c r="K659" s="67" t="s">
        <v>210</v>
      </c>
      <c r="L659" s="70"/>
      <c r="M659" s="62"/>
      <c r="N659" s="62"/>
      <c r="O659" s="64"/>
      <c r="P659" s="79" t="s">
        <v>42</v>
      </c>
      <c r="Q659" s="62" t="s">
        <v>8</v>
      </c>
      <c r="R659" s="62"/>
    </row>
    <row r="660" ht="27.6" spans="1:18">
      <c r="A660" s="58">
        <v>637</v>
      </c>
      <c r="B660" s="90">
        <v>45745</v>
      </c>
      <c r="C660" s="64" t="s">
        <v>208</v>
      </c>
      <c r="D660" s="62" t="s">
        <v>35</v>
      </c>
      <c r="E660" s="62" t="s">
        <v>73</v>
      </c>
      <c r="F660" s="65" t="s">
        <v>50</v>
      </c>
      <c r="G660" s="65" t="s">
        <v>61</v>
      </c>
      <c r="H660" s="62" t="s">
        <v>360</v>
      </c>
      <c r="I660" s="78" t="s">
        <v>361</v>
      </c>
      <c r="J660" s="62" t="s">
        <v>91</v>
      </c>
      <c r="K660" s="67" t="s">
        <v>362</v>
      </c>
      <c r="L660" s="70"/>
      <c r="M660" s="62"/>
      <c r="N660" s="62"/>
      <c r="O660" s="64"/>
      <c r="P660" s="79" t="s">
        <v>42</v>
      </c>
      <c r="Q660" s="73" t="s">
        <v>43</v>
      </c>
      <c r="R660" s="62"/>
    </row>
    <row r="661" ht="27.6" spans="1:18">
      <c r="A661" s="58">
        <v>638</v>
      </c>
      <c r="B661" s="90">
        <v>45745</v>
      </c>
      <c r="C661" s="64" t="s">
        <v>49</v>
      </c>
      <c r="D661" s="62" t="s">
        <v>35</v>
      </c>
      <c r="E661" s="62" t="s">
        <v>73</v>
      </c>
      <c r="F661" s="65" t="s">
        <v>36</v>
      </c>
      <c r="G661" s="65" t="s">
        <v>65</v>
      </c>
      <c r="H661" s="62" t="s">
        <v>271</v>
      </c>
      <c r="I661" s="78" t="s">
        <v>1206</v>
      </c>
      <c r="J661" s="62" t="s">
        <v>40</v>
      </c>
      <c r="K661" s="67" t="s">
        <v>1207</v>
      </c>
      <c r="L661" s="70"/>
      <c r="M661" s="62"/>
      <c r="N661" s="62"/>
      <c r="O661" s="64"/>
      <c r="P661" s="79" t="s">
        <v>42</v>
      </c>
      <c r="Q661" s="73" t="s">
        <v>43</v>
      </c>
      <c r="R661" s="62"/>
    </row>
    <row r="662" ht="27.6" spans="1:18">
      <c r="A662" s="58">
        <v>639</v>
      </c>
      <c r="B662" s="90">
        <v>45745</v>
      </c>
      <c r="C662" s="64" t="s">
        <v>49</v>
      </c>
      <c r="D662" s="62" t="s">
        <v>35</v>
      </c>
      <c r="E662" s="62" t="s">
        <v>73</v>
      </c>
      <c r="F662" s="65" t="s">
        <v>36</v>
      </c>
      <c r="G662" s="65" t="s">
        <v>45</v>
      </c>
      <c r="H662" s="65" t="s">
        <v>56</v>
      </c>
      <c r="I662" s="80" t="s">
        <v>1208</v>
      </c>
      <c r="J662" s="62" t="s">
        <v>40</v>
      </c>
      <c r="K662" s="91" t="s">
        <v>1209</v>
      </c>
      <c r="L662" s="87"/>
      <c r="M662" s="65"/>
      <c r="N662" s="65"/>
      <c r="O662" s="81"/>
      <c r="P662" s="82" t="s">
        <v>42</v>
      </c>
      <c r="Q662" s="73" t="s">
        <v>43</v>
      </c>
      <c r="R662" s="65"/>
    </row>
    <row r="663" ht="27.6" spans="1:18">
      <c r="A663" s="58">
        <v>640</v>
      </c>
      <c r="B663" s="90">
        <v>45745</v>
      </c>
      <c r="C663" s="64" t="s">
        <v>208</v>
      </c>
      <c r="D663" s="62" t="s">
        <v>35</v>
      </c>
      <c r="E663" s="62" t="s">
        <v>73</v>
      </c>
      <c r="F663" s="65" t="s">
        <v>36</v>
      </c>
      <c r="G663" s="65" t="s">
        <v>131</v>
      </c>
      <c r="H663" s="65" t="s">
        <v>94</v>
      </c>
      <c r="I663" s="80" t="s">
        <v>422</v>
      </c>
      <c r="J663" s="62" t="s">
        <v>91</v>
      </c>
      <c r="K663" s="91" t="s">
        <v>423</v>
      </c>
      <c r="L663" s="87"/>
      <c r="M663" s="65"/>
      <c r="N663" s="65"/>
      <c r="O663" s="81"/>
      <c r="P663" s="82" t="s">
        <v>42</v>
      </c>
      <c r="Q663" s="73" t="s">
        <v>43</v>
      </c>
      <c r="R663" s="65"/>
    </row>
    <row r="664" ht="13.8" spans="1:18">
      <c r="A664" s="58">
        <v>641</v>
      </c>
      <c r="B664" s="90">
        <v>45745</v>
      </c>
      <c r="C664" s="81" t="s">
        <v>49</v>
      </c>
      <c r="D664" s="62" t="s">
        <v>35</v>
      </c>
      <c r="E664" s="62" t="s">
        <v>73</v>
      </c>
      <c r="F664" s="65" t="s">
        <v>36</v>
      </c>
      <c r="G664" s="65" t="s">
        <v>65</v>
      </c>
      <c r="H664" s="65" t="s">
        <v>56</v>
      </c>
      <c r="I664" s="80" t="s">
        <v>1210</v>
      </c>
      <c r="J664" s="65" t="s">
        <v>40</v>
      </c>
      <c r="K664" s="91" t="s">
        <v>1211</v>
      </c>
      <c r="L664" s="87"/>
      <c r="M664" s="65"/>
      <c r="N664" s="65"/>
      <c r="O664" s="81"/>
      <c r="P664" s="82" t="s">
        <v>42</v>
      </c>
      <c r="Q664" s="73" t="s">
        <v>43</v>
      </c>
      <c r="R664" s="65"/>
    </row>
    <row r="665" ht="13.8" spans="1:18">
      <c r="A665" s="58">
        <v>642</v>
      </c>
      <c r="B665" s="90">
        <v>45745</v>
      </c>
      <c r="C665" s="81" t="s">
        <v>49</v>
      </c>
      <c r="D665" s="62" t="s">
        <v>35</v>
      </c>
      <c r="E665" s="62" t="s">
        <v>73</v>
      </c>
      <c r="F665" s="65" t="s">
        <v>50</v>
      </c>
      <c r="G665" s="65" t="s">
        <v>82</v>
      </c>
      <c r="H665" s="65" t="s">
        <v>51</v>
      </c>
      <c r="I665" s="80" t="s">
        <v>432</v>
      </c>
      <c r="J665" s="65" t="s">
        <v>40</v>
      </c>
      <c r="K665" s="91" t="s">
        <v>433</v>
      </c>
      <c r="L665" s="87"/>
      <c r="M665" s="65"/>
      <c r="N665" s="65"/>
      <c r="O665" s="81"/>
      <c r="P665" s="82" t="s">
        <v>42</v>
      </c>
      <c r="Q665" s="73" t="s">
        <v>43</v>
      </c>
      <c r="R665" s="65"/>
    </row>
    <row r="666" ht="27.6" spans="1:18">
      <c r="A666" s="58">
        <v>643</v>
      </c>
      <c r="B666" s="90">
        <v>45745</v>
      </c>
      <c r="C666" s="81" t="s">
        <v>208</v>
      </c>
      <c r="D666" s="62" t="s">
        <v>35</v>
      </c>
      <c r="E666" s="62" t="s">
        <v>73</v>
      </c>
      <c r="F666" s="65" t="s">
        <v>50</v>
      </c>
      <c r="G666" s="65" t="s">
        <v>82</v>
      </c>
      <c r="H666" s="65" t="s">
        <v>51</v>
      </c>
      <c r="I666" s="80" t="s">
        <v>1212</v>
      </c>
      <c r="J666" s="65" t="s">
        <v>91</v>
      </c>
      <c r="K666" s="91" t="s">
        <v>1213</v>
      </c>
      <c r="L666" s="87"/>
      <c r="M666" s="65"/>
      <c r="N666" s="65"/>
      <c r="O666" s="81"/>
      <c r="P666" s="82" t="s">
        <v>42</v>
      </c>
      <c r="Q666" s="73" t="s">
        <v>43</v>
      </c>
      <c r="R666" s="65"/>
    </row>
    <row r="667" ht="41.4" spans="1:18">
      <c r="A667" s="58">
        <v>644</v>
      </c>
      <c r="B667" s="90">
        <v>45745</v>
      </c>
      <c r="C667" s="81" t="s">
        <v>208</v>
      </c>
      <c r="D667" s="62" t="s">
        <v>35</v>
      </c>
      <c r="E667" s="62" t="s">
        <v>73</v>
      </c>
      <c r="F667" s="65" t="s">
        <v>36</v>
      </c>
      <c r="G667" s="65" t="s">
        <v>61</v>
      </c>
      <c r="H667" s="65" t="s">
        <v>38</v>
      </c>
      <c r="I667" s="80" t="s">
        <v>1194</v>
      </c>
      <c r="J667" s="65" t="s">
        <v>40</v>
      </c>
      <c r="K667" s="91" t="s">
        <v>1195</v>
      </c>
      <c r="L667" s="87"/>
      <c r="M667" s="65"/>
      <c r="N667" s="65"/>
      <c r="O667" s="81"/>
      <c r="P667" s="82" t="s">
        <v>42</v>
      </c>
      <c r="Q667" s="73" t="s">
        <v>43</v>
      </c>
      <c r="R667" s="65"/>
    </row>
    <row r="668" ht="27.6" spans="1:18">
      <c r="A668" s="58">
        <v>645</v>
      </c>
      <c r="B668" s="90">
        <v>45745</v>
      </c>
      <c r="C668" s="81" t="s">
        <v>49</v>
      </c>
      <c r="D668" s="62" t="s">
        <v>35</v>
      </c>
      <c r="E668" s="62" t="s">
        <v>73</v>
      </c>
      <c r="F668" s="65" t="s">
        <v>36</v>
      </c>
      <c r="G668" s="65" t="s">
        <v>82</v>
      </c>
      <c r="H668" s="65" t="s">
        <v>56</v>
      </c>
      <c r="I668" s="80" t="s">
        <v>1196</v>
      </c>
      <c r="J668" s="65" t="s">
        <v>91</v>
      </c>
      <c r="K668" s="91" t="s">
        <v>1197</v>
      </c>
      <c r="L668" s="87"/>
      <c r="M668" s="65"/>
      <c r="N668" s="65"/>
      <c r="O668" s="81"/>
      <c r="P668" s="82" t="s">
        <v>42</v>
      </c>
      <c r="Q668" s="73" t="s">
        <v>43</v>
      </c>
      <c r="R668" s="65"/>
    </row>
    <row r="669" ht="41.4" spans="1:18">
      <c r="A669" s="58">
        <v>646</v>
      </c>
      <c r="B669" s="90">
        <v>45732</v>
      </c>
      <c r="C669" s="81" t="s">
        <v>85</v>
      </c>
      <c r="D669" s="61" t="s">
        <v>60</v>
      </c>
      <c r="E669" s="62" t="s">
        <v>86</v>
      </c>
      <c r="F669" s="65" t="s">
        <v>135</v>
      </c>
      <c r="G669" s="65" t="s">
        <v>65</v>
      </c>
      <c r="H669" s="65" t="s">
        <v>56</v>
      </c>
      <c r="I669" s="80" t="s">
        <v>1214</v>
      </c>
      <c r="J669" s="65" t="s">
        <v>137</v>
      </c>
      <c r="K669" s="91" t="s">
        <v>800</v>
      </c>
      <c r="L669" s="87"/>
      <c r="M669" s="65"/>
      <c r="N669" s="65"/>
      <c r="O669" s="81"/>
      <c r="P669" s="82" t="s">
        <v>42</v>
      </c>
      <c r="Q669" s="65" t="s">
        <v>8</v>
      </c>
      <c r="R669" s="65"/>
    </row>
    <row r="670" ht="41.4" spans="1:18">
      <c r="A670" s="58">
        <v>647</v>
      </c>
      <c r="B670" s="90">
        <v>45732</v>
      </c>
      <c r="C670" s="81" t="s">
        <v>85</v>
      </c>
      <c r="D670" s="61" t="s">
        <v>60</v>
      </c>
      <c r="E670" s="62" t="s">
        <v>86</v>
      </c>
      <c r="F670" s="65" t="s">
        <v>135</v>
      </c>
      <c r="G670" s="65" t="s">
        <v>37</v>
      </c>
      <c r="H670" s="65" t="s">
        <v>132</v>
      </c>
      <c r="I670" s="80" t="s">
        <v>1215</v>
      </c>
      <c r="J670" s="65" t="s">
        <v>137</v>
      </c>
      <c r="K670" s="91" t="s">
        <v>1216</v>
      </c>
      <c r="L670" s="87"/>
      <c r="M670" s="65"/>
      <c r="N670" s="65"/>
      <c r="O670" s="81"/>
      <c r="P670" s="82" t="s">
        <v>42</v>
      </c>
      <c r="Q670" s="65" t="s">
        <v>8</v>
      </c>
      <c r="R670" s="65"/>
    </row>
    <row r="671" ht="82.8" spans="1:18">
      <c r="A671" s="58">
        <v>648</v>
      </c>
      <c r="B671" s="90">
        <v>45732</v>
      </c>
      <c r="C671" s="81" t="s">
        <v>85</v>
      </c>
      <c r="D671" s="61" t="s">
        <v>60</v>
      </c>
      <c r="E671" s="62" t="s">
        <v>86</v>
      </c>
      <c r="F671" s="65" t="s">
        <v>50</v>
      </c>
      <c r="G671" s="65" t="s">
        <v>588</v>
      </c>
      <c r="H671" s="65" t="s">
        <v>51</v>
      </c>
      <c r="I671" s="80" t="s">
        <v>1217</v>
      </c>
      <c r="J671" s="65" t="s">
        <v>53</v>
      </c>
      <c r="K671" s="91" t="s">
        <v>1218</v>
      </c>
      <c r="L671" s="87"/>
      <c r="M671" s="65"/>
      <c r="N671" s="65"/>
      <c r="O671" s="81"/>
      <c r="P671" s="82" t="s">
        <v>42</v>
      </c>
      <c r="Q671" s="73" t="s">
        <v>43</v>
      </c>
      <c r="R671" s="65"/>
    </row>
    <row r="672" ht="69" spans="1:18">
      <c r="A672" s="58">
        <v>649</v>
      </c>
      <c r="B672" s="90">
        <v>45732</v>
      </c>
      <c r="C672" s="81" t="s">
        <v>85</v>
      </c>
      <c r="D672" s="61" t="s">
        <v>60</v>
      </c>
      <c r="E672" s="65" t="s">
        <v>86</v>
      </c>
      <c r="F672" s="65" t="s">
        <v>36</v>
      </c>
      <c r="G672" s="65" t="s">
        <v>37</v>
      </c>
      <c r="H672" s="65" t="s">
        <v>56</v>
      </c>
      <c r="I672" s="80" t="s">
        <v>1219</v>
      </c>
      <c r="J672" s="65" t="s">
        <v>53</v>
      </c>
      <c r="K672" s="91" t="s">
        <v>1220</v>
      </c>
      <c r="L672" s="87"/>
      <c r="M672" s="65"/>
      <c r="N672" s="65"/>
      <c r="O672" s="81"/>
      <c r="P672" s="82" t="s">
        <v>42</v>
      </c>
      <c r="Q672" s="73" t="s">
        <v>43</v>
      </c>
      <c r="R672" s="65"/>
    </row>
    <row r="673" ht="69" spans="1:18">
      <c r="A673" s="58">
        <v>650</v>
      </c>
      <c r="B673" s="90">
        <v>45732</v>
      </c>
      <c r="C673" s="81" t="s">
        <v>85</v>
      </c>
      <c r="D673" s="61" t="s">
        <v>60</v>
      </c>
      <c r="E673" s="65" t="s">
        <v>86</v>
      </c>
      <c r="F673" s="65" t="s">
        <v>36</v>
      </c>
      <c r="G673" s="65" t="s">
        <v>61</v>
      </c>
      <c r="H673" s="65" t="s">
        <v>150</v>
      </c>
      <c r="I673" s="80" t="s">
        <v>1221</v>
      </c>
      <c r="J673" s="65" t="s">
        <v>53</v>
      </c>
      <c r="K673" s="91" t="s">
        <v>1222</v>
      </c>
      <c r="L673" s="87"/>
      <c r="M673" s="65"/>
      <c r="N673" s="65"/>
      <c r="O673" s="81"/>
      <c r="P673" s="82" t="s">
        <v>42</v>
      </c>
      <c r="Q673" s="73" t="s">
        <v>43</v>
      </c>
      <c r="R673" s="65"/>
    </row>
    <row r="674" ht="27.6" spans="1:18">
      <c r="A674" s="58">
        <v>651</v>
      </c>
      <c r="B674" s="90">
        <v>45733</v>
      </c>
      <c r="C674" s="62" t="s">
        <v>620</v>
      </c>
      <c r="D674" s="61" t="s">
        <v>60</v>
      </c>
      <c r="E674" s="62" t="s">
        <v>621</v>
      </c>
      <c r="F674" s="65" t="s">
        <v>50</v>
      </c>
      <c r="G674" s="65" t="s">
        <v>79</v>
      </c>
      <c r="H674" s="65" t="s">
        <v>622</v>
      </c>
      <c r="I674" s="78" t="s">
        <v>1223</v>
      </c>
      <c r="J674" s="65" t="s">
        <v>53</v>
      </c>
      <c r="K674" s="93" t="s">
        <v>1224</v>
      </c>
      <c r="L674" s="70" t="s">
        <v>1225</v>
      </c>
      <c r="M674" s="62" t="s">
        <v>115</v>
      </c>
      <c r="N674" s="62" t="s">
        <v>115</v>
      </c>
      <c r="O674" s="64" t="s">
        <v>583</v>
      </c>
      <c r="P674" s="79">
        <v>45850</v>
      </c>
      <c r="Q674" s="73" t="s">
        <v>43</v>
      </c>
      <c r="R674" s="62"/>
    </row>
    <row r="675" ht="27.6" spans="1:18">
      <c r="A675" s="58">
        <v>652</v>
      </c>
      <c r="B675" s="90">
        <v>45732</v>
      </c>
      <c r="C675" s="62" t="s">
        <v>620</v>
      </c>
      <c r="D675" s="61" t="s">
        <v>60</v>
      </c>
      <c r="E675" s="62" t="s">
        <v>621</v>
      </c>
      <c r="F675" s="65" t="s">
        <v>50</v>
      </c>
      <c r="G675" s="65" t="s">
        <v>79</v>
      </c>
      <c r="H675" s="65" t="s">
        <v>51</v>
      </c>
      <c r="I675" s="78" t="s">
        <v>867</v>
      </c>
      <c r="J675" s="65" t="s">
        <v>53</v>
      </c>
      <c r="K675" s="93" t="s">
        <v>1226</v>
      </c>
      <c r="L675" s="70"/>
      <c r="M675" s="62"/>
      <c r="N675" s="62"/>
      <c r="O675" s="64"/>
      <c r="P675" s="79" t="s">
        <v>42</v>
      </c>
      <c r="Q675" s="73" t="s">
        <v>43</v>
      </c>
      <c r="R675" s="62"/>
    </row>
    <row r="676" ht="39.6" spans="1:18">
      <c r="A676" s="58">
        <v>653</v>
      </c>
      <c r="B676" s="90">
        <v>45729</v>
      </c>
      <c r="C676" s="81" t="s">
        <v>620</v>
      </c>
      <c r="D676" s="61" t="s">
        <v>60</v>
      </c>
      <c r="E676" s="62" t="s">
        <v>621</v>
      </c>
      <c r="F676" s="65" t="s">
        <v>50</v>
      </c>
      <c r="G676" s="65" t="s">
        <v>79</v>
      </c>
      <c r="H676" s="65" t="s">
        <v>51</v>
      </c>
      <c r="I676" s="80" t="s">
        <v>1227</v>
      </c>
      <c r="J676" s="65" t="s">
        <v>53</v>
      </c>
      <c r="K676" s="91" t="s">
        <v>1228</v>
      </c>
      <c r="L676" s="87"/>
      <c r="M676" s="65"/>
      <c r="N676" s="65"/>
      <c r="O676" s="81"/>
      <c r="P676" s="82" t="s">
        <v>42</v>
      </c>
      <c r="Q676" s="73" t="s">
        <v>43</v>
      </c>
      <c r="R676" s="65"/>
    </row>
    <row r="677" ht="26.4" spans="1:18">
      <c r="A677" s="58">
        <v>654</v>
      </c>
      <c r="B677" s="90">
        <v>45730</v>
      </c>
      <c r="C677" s="81" t="s">
        <v>620</v>
      </c>
      <c r="D677" s="61" t="s">
        <v>60</v>
      </c>
      <c r="E677" s="62" t="s">
        <v>621</v>
      </c>
      <c r="F677" s="65" t="s">
        <v>50</v>
      </c>
      <c r="G677" s="65" t="s">
        <v>79</v>
      </c>
      <c r="H677" s="65" t="s">
        <v>51</v>
      </c>
      <c r="I677" s="80" t="s">
        <v>1229</v>
      </c>
      <c r="J677" s="65" t="s">
        <v>53</v>
      </c>
      <c r="K677" s="91" t="s">
        <v>1230</v>
      </c>
      <c r="L677" s="87"/>
      <c r="M677" s="65"/>
      <c r="N677" s="65"/>
      <c r="O677" s="81"/>
      <c r="P677" s="82" t="s">
        <v>42</v>
      </c>
      <c r="Q677" s="73" t="s">
        <v>43</v>
      </c>
      <c r="R677" s="65"/>
    </row>
    <row r="678" ht="69" spans="1:18">
      <c r="A678" s="58">
        <v>655</v>
      </c>
      <c r="B678" s="90">
        <v>45733</v>
      </c>
      <c r="C678" s="60" t="s">
        <v>100</v>
      </c>
      <c r="D678" s="61" t="s">
        <v>60</v>
      </c>
      <c r="E678" s="62" t="s">
        <v>101</v>
      </c>
      <c r="F678" s="65" t="s">
        <v>50</v>
      </c>
      <c r="G678" s="65" t="s">
        <v>131</v>
      </c>
      <c r="H678" s="65" t="s">
        <v>132</v>
      </c>
      <c r="I678" s="80" t="s">
        <v>1231</v>
      </c>
      <c r="J678" s="65" t="s">
        <v>53</v>
      </c>
      <c r="K678" s="91" t="s">
        <v>1232</v>
      </c>
      <c r="L678" s="87" t="s">
        <v>1233</v>
      </c>
      <c r="M678" s="65" t="s">
        <v>115</v>
      </c>
      <c r="N678" s="65" t="s">
        <v>115</v>
      </c>
      <c r="O678" s="81" t="s">
        <v>1234</v>
      </c>
      <c r="P678" s="82">
        <v>45740</v>
      </c>
      <c r="Q678" s="73" t="s">
        <v>43</v>
      </c>
      <c r="R678" s="65"/>
    </row>
    <row r="679" ht="110.4" spans="1:18">
      <c r="A679" s="58">
        <v>656</v>
      </c>
      <c r="B679" s="90">
        <v>45733</v>
      </c>
      <c r="C679" s="60" t="s">
        <v>100</v>
      </c>
      <c r="D679" s="61" t="s">
        <v>60</v>
      </c>
      <c r="E679" s="62" t="s">
        <v>101</v>
      </c>
      <c r="F679" s="65" t="s">
        <v>50</v>
      </c>
      <c r="G679" s="65" t="s">
        <v>37</v>
      </c>
      <c r="H679" s="65" t="s">
        <v>51</v>
      </c>
      <c r="I679" s="80" t="s">
        <v>1235</v>
      </c>
      <c r="J679" s="65" t="s">
        <v>53</v>
      </c>
      <c r="K679" s="91" t="s">
        <v>1236</v>
      </c>
      <c r="L679" s="87"/>
      <c r="M679" s="65"/>
      <c r="N679" s="65"/>
      <c r="O679" s="81"/>
      <c r="P679" s="82" t="s">
        <v>42</v>
      </c>
      <c r="Q679" s="73" t="s">
        <v>43</v>
      </c>
      <c r="R679" s="65"/>
    </row>
    <row r="680" ht="82.8" spans="1:18">
      <c r="A680" s="58">
        <v>657</v>
      </c>
      <c r="B680" s="90">
        <v>45733</v>
      </c>
      <c r="C680" s="60" t="s">
        <v>100</v>
      </c>
      <c r="D680" s="61" t="s">
        <v>60</v>
      </c>
      <c r="E680" s="62" t="s">
        <v>101</v>
      </c>
      <c r="F680" s="65" t="s">
        <v>50</v>
      </c>
      <c r="G680" s="65" t="s">
        <v>588</v>
      </c>
      <c r="H680" s="65" t="s">
        <v>51</v>
      </c>
      <c r="I680" s="80" t="s">
        <v>1237</v>
      </c>
      <c r="J680" s="65" t="s">
        <v>53</v>
      </c>
      <c r="K680" s="91" t="s">
        <v>1238</v>
      </c>
      <c r="L680" s="87"/>
      <c r="M680" s="65"/>
      <c r="N680" s="65"/>
      <c r="O680" s="81"/>
      <c r="P680" s="82" t="s">
        <v>42</v>
      </c>
      <c r="Q680" s="73" t="s">
        <v>43</v>
      </c>
      <c r="R680" s="65"/>
    </row>
    <row r="681" ht="41.4" spans="1:18">
      <c r="A681" s="58">
        <v>658</v>
      </c>
      <c r="B681" s="90">
        <v>45732</v>
      </c>
      <c r="C681" s="81" t="s">
        <v>59</v>
      </c>
      <c r="D681" s="61" t="s">
        <v>60</v>
      </c>
      <c r="E681" s="62" t="s">
        <v>163</v>
      </c>
      <c r="F681" s="65" t="s">
        <v>50</v>
      </c>
      <c r="G681" s="65" t="s">
        <v>65</v>
      </c>
      <c r="H681" s="65" t="s">
        <v>66</v>
      </c>
      <c r="I681" s="80" t="s">
        <v>1239</v>
      </c>
      <c r="J681" s="65" t="s">
        <v>88</v>
      </c>
      <c r="K681" s="91" t="s">
        <v>1240</v>
      </c>
      <c r="L681" s="87"/>
      <c r="M681" s="65"/>
      <c r="N681" s="65"/>
      <c r="O681" s="81"/>
      <c r="P681" s="82"/>
      <c r="Q681" s="73" t="s">
        <v>43</v>
      </c>
      <c r="R681" s="65"/>
    </row>
    <row r="682" ht="41.4" spans="1:18">
      <c r="A682" s="58">
        <v>659</v>
      </c>
      <c r="B682" s="90">
        <v>45730</v>
      </c>
      <c r="C682" s="81" t="s">
        <v>59</v>
      </c>
      <c r="D682" s="61" t="s">
        <v>60</v>
      </c>
      <c r="E682" s="62" t="s">
        <v>163</v>
      </c>
      <c r="F682" s="65" t="s">
        <v>50</v>
      </c>
      <c r="G682" s="65" t="s">
        <v>37</v>
      </c>
      <c r="H682" s="65" t="s">
        <v>66</v>
      </c>
      <c r="I682" s="80" t="s">
        <v>1241</v>
      </c>
      <c r="J682" s="65" t="s">
        <v>88</v>
      </c>
      <c r="K682" s="91" t="s">
        <v>1240</v>
      </c>
      <c r="L682" s="87"/>
      <c r="M682" s="65"/>
      <c r="N682" s="65"/>
      <c r="O682" s="81"/>
      <c r="P682" s="82"/>
      <c r="Q682" s="73" t="s">
        <v>43</v>
      </c>
      <c r="R682" s="65"/>
    </row>
    <row r="683" ht="69" spans="1:18">
      <c r="A683" s="58">
        <v>660</v>
      </c>
      <c r="B683" s="90">
        <v>45731</v>
      </c>
      <c r="C683" s="81" t="s">
        <v>675</v>
      </c>
      <c r="D683" s="61" t="s">
        <v>60</v>
      </c>
      <c r="E683" s="62" t="s">
        <v>73</v>
      </c>
      <c r="F683" s="65" t="s">
        <v>36</v>
      </c>
      <c r="G683" s="65" t="s">
        <v>93</v>
      </c>
      <c r="H683" s="65" t="s">
        <v>38</v>
      </c>
      <c r="I683" s="80" t="s">
        <v>1242</v>
      </c>
      <c r="J683" s="65" t="s">
        <v>40</v>
      </c>
      <c r="K683" s="91" t="s">
        <v>1243</v>
      </c>
      <c r="L683" s="87"/>
      <c r="M683" s="65"/>
      <c r="N683" s="65"/>
      <c r="O683" s="81"/>
      <c r="P683" s="82" t="s">
        <v>42</v>
      </c>
      <c r="Q683" s="73" t="s">
        <v>43</v>
      </c>
      <c r="R683" s="65"/>
    </row>
    <row r="684" ht="69" spans="1:18">
      <c r="A684" s="58">
        <v>661</v>
      </c>
      <c r="B684" s="90">
        <v>45731</v>
      </c>
      <c r="C684" s="81" t="s">
        <v>675</v>
      </c>
      <c r="D684" s="61" t="s">
        <v>60</v>
      </c>
      <c r="E684" s="62" t="s">
        <v>73</v>
      </c>
      <c r="F684" s="65" t="s">
        <v>36</v>
      </c>
      <c r="G684" s="65" t="s">
        <v>37</v>
      </c>
      <c r="H684" s="65" t="s">
        <v>38</v>
      </c>
      <c r="I684" s="80" t="s">
        <v>1244</v>
      </c>
      <c r="J684" s="65" t="s">
        <v>40</v>
      </c>
      <c r="K684" s="91" t="s">
        <v>1245</v>
      </c>
      <c r="L684" s="87"/>
      <c r="M684" s="65"/>
      <c r="N684" s="65"/>
      <c r="O684" s="81"/>
      <c r="P684" s="82" t="s">
        <v>42</v>
      </c>
      <c r="Q684" s="73" t="s">
        <v>43</v>
      </c>
      <c r="R684" s="65"/>
    </row>
    <row r="685" ht="124.2" spans="1:18">
      <c r="A685" s="58">
        <v>662</v>
      </c>
      <c r="B685" s="90">
        <v>45731</v>
      </c>
      <c r="C685" s="81" t="s">
        <v>675</v>
      </c>
      <c r="D685" s="61" t="s">
        <v>60</v>
      </c>
      <c r="E685" s="62" t="s">
        <v>73</v>
      </c>
      <c r="F685" s="65" t="s">
        <v>36</v>
      </c>
      <c r="G685" s="65" t="s">
        <v>65</v>
      </c>
      <c r="H685" s="65" t="s">
        <v>46</v>
      </c>
      <c r="I685" s="80" t="s">
        <v>1246</v>
      </c>
      <c r="J685" s="65" t="s">
        <v>88</v>
      </c>
      <c r="K685" s="91" t="s">
        <v>1247</v>
      </c>
      <c r="L685" s="87"/>
      <c r="M685" s="65"/>
      <c r="N685" s="65"/>
      <c r="O685" s="81"/>
      <c r="P685" s="82" t="s">
        <v>42</v>
      </c>
      <c r="Q685" s="73" t="s">
        <v>43</v>
      </c>
      <c r="R685" s="65"/>
    </row>
    <row r="686" ht="110.4" spans="1:18">
      <c r="A686" s="58">
        <v>663</v>
      </c>
      <c r="B686" s="90">
        <v>45731</v>
      </c>
      <c r="C686" s="81" t="s">
        <v>675</v>
      </c>
      <c r="D686" s="61" t="s">
        <v>60</v>
      </c>
      <c r="E686" s="62" t="s">
        <v>73</v>
      </c>
      <c r="F686" s="65" t="s">
        <v>36</v>
      </c>
      <c r="G686" s="65" t="s">
        <v>55</v>
      </c>
      <c r="H686" s="65" t="s">
        <v>132</v>
      </c>
      <c r="I686" s="80" t="s">
        <v>1248</v>
      </c>
      <c r="J686" s="65" t="s">
        <v>53</v>
      </c>
      <c r="K686" s="91" t="s">
        <v>1249</v>
      </c>
      <c r="L686" s="87"/>
      <c r="M686" s="65"/>
      <c r="N686" s="65"/>
      <c r="O686" s="81"/>
      <c r="P686" s="82" t="s">
        <v>42</v>
      </c>
      <c r="Q686" s="73" t="s">
        <v>43</v>
      </c>
      <c r="R686" s="65"/>
    </row>
    <row r="687" ht="179.4" spans="1:18">
      <c r="A687" s="58">
        <v>664</v>
      </c>
      <c r="B687" s="90">
        <v>45732</v>
      </c>
      <c r="C687" s="81" t="s">
        <v>675</v>
      </c>
      <c r="D687" s="61" t="s">
        <v>60</v>
      </c>
      <c r="E687" s="62" t="s">
        <v>73</v>
      </c>
      <c r="F687" s="65" t="s">
        <v>36</v>
      </c>
      <c r="G687" s="65" t="s">
        <v>65</v>
      </c>
      <c r="H687" s="65" t="s">
        <v>46</v>
      </c>
      <c r="I687" s="80" t="s">
        <v>1250</v>
      </c>
      <c r="J687" s="65" t="s">
        <v>53</v>
      </c>
      <c r="K687" s="91" t="s">
        <v>1251</v>
      </c>
      <c r="L687" s="87"/>
      <c r="M687" s="65"/>
      <c r="N687" s="65"/>
      <c r="O687" s="81"/>
      <c r="P687" s="82" t="s">
        <v>42</v>
      </c>
      <c r="Q687" s="73" t="s">
        <v>43</v>
      </c>
      <c r="R687" s="65"/>
    </row>
    <row r="688" ht="69" spans="1:18">
      <c r="A688" s="58">
        <v>665</v>
      </c>
      <c r="B688" s="90">
        <v>45732</v>
      </c>
      <c r="C688" s="81" t="s">
        <v>675</v>
      </c>
      <c r="D688" s="61" t="s">
        <v>60</v>
      </c>
      <c r="E688" s="62" t="s">
        <v>73</v>
      </c>
      <c r="F688" s="65" t="s">
        <v>36</v>
      </c>
      <c r="G688" s="65" t="s">
        <v>65</v>
      </c>
      <c r="H688" s="65" t="s">
        <v>46</v>
      </c>
      <c r="I688" s="80" t="s">
        <v>1252</v>
      </c>
      <c r="J688" s="65" t="s">
        <v>40</v>
      </c>
      <c r="K688" s="91" t="s">
        <v>1253</v>
      </c>
      <c r="L688" s="87"/>
      <c r="M688" s="65"/>
      <c r="N688" s="65"/>
      <c r="O688" s="81"/>
      <c r="P688" s="82" t="s">
        <v>42</v>
      </c>
      <c r="Q688" s="73" t="s">
        <v>43</v>
      </c>
      <c r="R688" s="65"/>
    </row>
    <row r="689" ht="55.2" spans="1:18">
      <c r="A689" s="58">
        <v>666</v>
      </c>
      <c r="B689" s="90">
        <v>45732</v>
      </c>
      <c r="C689" s="81" t="s">
        <v>675</v>
      </c>
      <c r="D689" s="61" t="s">
        <v>60</v>
      </c>
      <c r="E689" s="62" t="s">
        <v>73</v>
      </c>
      <c r="F689" s="62" t="s">
        <v>36</v>
      </c>
      <c r="G689" s="62" t="s">
        <v>37</v>
      </c>
      <c r="H689" s="62" t="s">
        <v>56</v>
      </c>
      <c r="I689" s="78" t="s">
        <v>1254</v>
      </c>
      <c r="J689" s="65" t="s">
        <v>88</v>
      </c>
      <c r="K689" s="67" t="s">
        <v>1255</v>
      </c>
      <c r="L689" s="70"/>
      <c r="M689" s="62"/>
      <c r="N689" s="62"/>
      <c r="O689" s="64"/>
      <c r="P689" s="79" t="s">
        <v>42</v>
      </c>
      <c r="Q689" s="73" t="s">
        <v>43</v>
      </c>
      <c r="R689" s="62"/>
    </row>
    <row r="690" ht="82.8" spans="1:18">
      <c r="A690" s="58">
        <v>667</v>
      </c>
      <c r="B690" s="90">
        <v>45733</v>
      </c>
      <c r="C690" s="81" t="s">
        <v>675</v>
      </c>
      <c r="D690" s="61" t="s">
        <v>60</v>
      </c>
      <c r="E690" s="62" t="s">
        <v>73</v>
      </c>
      <c r="F690" s="62" t="s">
        <v>36</v>
      </c>
      <c r="G690" s="62" t="s">
        <v>131</v>
      </c>
      <c r="H690" s="62" t="s">
        <v>38</v>
      </c>
      <c r="I690" s="78" t="s">
        <v>1256</v>
      </c>
      <c r="J690" s="65" t="s">
        <v>40</v>
      </c>
      <c r="K690" s="67" t="s">
        <v>1257</v>
      </c>
      <c r="L690" s="70"/>
      <c r="M690" s="62"/>
      <c r="N690" s="62"/>
      <c r="O690" s="64"/>
      <c r="P690" s="79" t="s">
        <v>42</v>
      </c>
      <c r="Q690" s="73" t="s">
        <v>43</v>
      </c>
      <c r="R690" s="62"/>
    </row>
    <row r="691" ht="110.4" spans="1:18">
      <c r="A691" s="58">
        <v>668</v>
      </c>
      <c r="B691" s="90">
        <v>45734</v>
      </c>
      <c r="C691" s="81" t="s">
        <v>675</v>
      </c>
      <c r="D691" s="61" t="s">
        <v>60</v>
      </c>
      <c r="E691" s="62" t="s">
        <v>73</v>
      </c>
      <c r="F691" s="62" t="s">
        <v>36</v>
      </c>
      <c r="G691" s="62" t="s">
        <v>65</v>
      </c>
      <c r="H691" s="62" t="s">
        <v>46</v>
      </c>
      <c r="I691" s="78" t="s">
        <v>1258</v>
      </c>
      <c r="J691" s="65" t="s">
        <v>40</v>
      </c>
      <c r="K691" s="67" t="s">
        <v>1259</v>
      </c>
      <c r="L691" s="70"/>
      <c r="M691" s="62"/>
      <c r="N691" s="62"/>
      <c r="O691" s="64"/>
      <c r="P691" s="79" t="s">
        <v>42</v>
      </c>
      <c r="Q691" s="73" t="s">
        <v>43</v>
      </c>
      <c r="R691" s="62"/>
    </row>
    <row r="692" ht="39.6" spans="1:18">
      <c r="A692" s="58">
        <v>669</v>
      </c>
      <c r="B692" s="90">
        <v>45734</v>
      </c>
      <c r="C692" s="64" t="s">
        <v>1260</v>
      </c>
      <c r="D692" s="61" t="s">
        <v>60</v>
      </c>
      <c r="E692" s="62" t="s">
        <v>163</v>
      </c>
      <c r="F692" s="62" t="s">
        <v>36</v>
      </c>
      <c r="G692" s="62" t="s">
        <v>55</v>
      </c>
      <c r="H692" s="62" t="s">
        <v>94</v>
      </c>
      <c r="I692" s="78" t="s">
        <v>1261</v>
      </c>
      <c r="J692" s="62" t="s">
        <v>40</v>
      </c>
      <c r="K692" s="67" t="s">
        <v>1262</v>
      </c>
      <c r="L692" s="70"/>
      <c r="M692" s="62"/>
      <c r="N692" s="62"/>
      <c r="O692" s="64"/>
      <c r="P692" s="79" t="s">
        <v>42</v>
      </c>
      <c r="Q692" s="73" t="s">
        <v>43</v>
      </c>
      <c r="R692" s="62"/>
    </row>
    <row r="693" ht="39.6" spans="1:18">
      <c r="A693" s="58">
        <v>670</v>
      </c>
      <c r="B693" s="90">
        <v>45735</v>
      </c>
      <c r="C693" s="64" t="s">
        <v>1260</v>
      </c>
      <c r="D693" s="61" t="s">
        <v>60</v>
      </c>
      <c r="E693" s="62" t="s">
        <v>163</v>
      </c>
      <c r="F693" s="62" t="s">
        <v>36</v>
      </c>
      <c r="G693" s="62" t="s">
        <v>37</v>
      </c>
      <c r="H693" s="62" t="s">
        <v>56</v>
      </c>
      <c r="I693" s="78" t="s">
        <v>1263</v>
      </c>
      <c r="J693" s="62" t="s">
        <v>118</v>
      </c>
      <c r="K693" s="67"/>
      <c r="L693" s="70"/>
      <c r="M693" s="62"/>
      <c r="N693" s="62"/>
      <c r="O693" s="64"/>
      <c r="P693" s="79" t="s">
        <v>42</v>
      </c>
      <c r="Q693" s="73" t="s">
        <v>43</v>
      </c>
      <c r="R693" s="62"/>
    </row>
    <row r="694" ht="27.6" spans="1:18">
      <c r="A694" s="58">
        <v>671</v>
      </c>
      <c r="B694" s="90">
        <v>45735</v>
      </c>
      <c r="C694" s="64" t="s">
        <v>127</v>
      </c>
      <c r="D694" s="61" t="s">
        <v>60</v>
      </c>
      <c r="E694" s="62" t="s">
        <v>163</v>
      </c>
      <c r="F694" s="62" t="s">
        <v>36</v>
      </c>
      <c r="G694" s="62" t="s">
        <v>45</v>
      </c>
      <c r="H694" s="62" t="s">
        <v>94</v>
      </c>
      <c r="I694" s="78" t="s">
        <v>1264</v>
      </c>
      <c r="J694" s="62" t="s">
        <v>40</v>
      </c>
      <c r="K694" s="67" t="s">
        <v>1265</v>
      </c>
      <c r="L694" s="70"/>
      <c r="M694" s="62"/>
      <c r="N694" s="62"/>
      <c r="O694" s="64"/>
      <c r="P694" s="79" t="s">
        <v>42</v>
      </c>
      <c r="Q694" s="73" t="s">
        <v>43</v>
      </c>
      <c r="R694" s="62"/>
    </row>
    <row r="695" ht="39.6" spans="1:18">
      <c r="A695" s="58">
        <v>672</v>
      </c>
      <c r="B695" s="90">
        <v>45736</v>
      </c>
      <c r="C695" s="64" t="s">
        <v>127</v>
      </c>
      <c r="D695" s="61" t="s">
        <v>60</v>
      </c>
      <c r="E695" s="62" t="s">
        <v>163</v>
      </c>
      <c r="F695" s="62" t="s">
        <v>50</v>
      </c>
      <c r="G695" s="62" t="s">
        <v>37</v>
      </c>
      <c r="H695" s="62" t="s">
        <v>46</v>
      </c>
      <c r="I695" s="78" t="s">
        <v>1266</v>
      </c>
      <c r="J695" s="62" t="s">
        <v>40</v>
      </c>
      <c r="K695" s="67" t="s">
        <v>1267</v>
      </c>
      <c r="L695" s="70"/>
      <c r="M695" s="62"/>
      <c r="N695" s="62"/>
      <c r="O695" s="64"/>
      <c r="P695" s="79" t="s">
        <v>42</v>
      </c>
      <c r="Q695" s="73" t="s">
        <v>43</v>
      </c>
      <c r="R695" s="62"/>
    </row>
    <row r="696" ht="69" spans="1:18">
      <c r="A696" s="58">
        <v>673</v>
      </c>
      <c r="B696" s="90">
        <v>45736</v>
      </c>
      <c r="C696" s="64" t="s">
        <v>121</v>
      </c>
      <c r="D696" s="61" t="s">
        <v>60</v>
      </c>
      <c r="E696" s="62" t="s">
        <v>73</v>
      </c>
      <c r="F696" s="62" t="s">
        <v>36</v>
      </c>
      <c r="G696" s="62" t="s">
        <v>79</v>
      </c>
      <c r="H696" s="62" t="s">
        <v>66</v>
      </c>
      <c r="I696" s="78" t="s">
        <v>1268</v>
      </c>
      <c r="J696" s="62" t="s">
        <v>88</v>
      </c>
      <c r="K696" s="67" t="s">
        <v>1269</v>
      </c>
      <c r="L696" s="70"/>
      <c r="M696" s="62"/>
      <c r="N696" s="62"/>
      <c r="O696" s="64"/>
      <c r="P696" s="79" t="s">
        <v>42</v>
      </c>
      <c r="Q696" s="73" t="s">
        <v>43</v>
      </c>
      <c r="R696" s="62"/>
    </row>
    <row r="697" ht="55.2" spans="1:18">
      <c r="A697" s="58">
        <v>674</v>
      </c>
      <c r="B697" s="90">
        <v>45736</v>
      </c>
      <c r="C697" s="64" t="s">
        <v>121</v>
      </c>
      <c r="D697" s="61" t="s">
        <v>60</v>
      </c>
      <c r="E697" s="62" t="s">
        <v>73</v>
      </c>
      <c r="F697" s="62" t="s">
        <v>50</v>
      </c>
      <c r="G697" s="62" t="s">
        <v>37</v>
      </c>
      <c r="H697" s="62" t="s">
        <v>51</v>
      </c>
      <c r="I697" s="78" t="s">
        <v>1270</v>
      </c>
      <c r="J697" s="62" t="s">
        <v>40</v>
      </c>
      <c r="K697" s="67" t="s">
        <v>1271</v>
      </c>
      <c r="L697" s="70"/>
      <c r="M697" s="62"/>
      <c r="N697" s="62"/>
      <c r="O697" s="64"/>
      <c r="P697" s="79" t="s">
        <v>42</v>
      </c>
      <c r="Q697" s="73" t="s">
        <v>43</v>
      </c>
      <c r="R697" s="62"/>
    </row>
    <row r="698" ht="27.6" spans="1:18">
      <c r="A698" s="58">
        <v>675</v>
      </c>
      <c r="B698" s="90">
        <v>45735</v>
      </c>
      <c r="C698" s="64" t="s">
        <v>121</v>
      </c>
      <c r="D698" s="61" t="s">
        <v>60</v>
      </c>
      <c r="E698" s="62" t="s">
        <v>73</v>
      </c>
      <c r="F698" s="62" t="s">
        <v>135</v>
      </c>
      <c r="G698" s="62" t="s">
        <v>55</v>
      </c>
      <c r="H698" s="62" t="s">
        <v>56</v>
      </c>
      <c r="I698" s="78" t="s">
        <v>1272</v>
      </c>
      <c r="J698" s="62" t="s">
        <v>137</v>
      </c>
      <c r="K698" s="67" t="s">
        <v>1273</v>
      </c>
      <c r="L698" s="70"/>
      <c r="M698" s="62"/>
      <c r="N698" s="62"/>
      <c r="O698" s="64"/>
      <c r="P698" s="79" t="s">
        <v>42</v>
      </c>
      <c r="Q698" s="62" t="s">
        <v>8</v>
      </c>
      <c r="R698" s="62"/>
    </row>
    <row r="699" ht="27.6" spans="1:18">
      <c r="A699" s="58">
        <v>676</v>
      </c>
      <c r="B699" s="90">
        <v>45735</v>
      </c>
      <c r="C699" s="64" t="s">
        <v>121</v>
      </c>
      <c r="D699" s="61" t="s">
        <v>60</v>
      </c>
      <c r="E699" s="62" t="s">
        <v>73</v>
      </c>
      <c r="F699" s="62" t="s">
        <v>135</v>
      </c>
      <c r="G699" s="62" t="s">
        <v>1274</v>
      </c>
      <c r="H699" s="62" t="s">
        <v>56</v>
      </c>
      <c r="I699" s="78" t="s">
        <v>1275</v>
      </c>
      <c r="J699" s="62" t="s">
        <v>137</v>
      </c>
      <c r="K699" s="67" t="s">
        <v>1276</v>
      </c>
      <c r="L699" s="70"/>
      <c r="M699" s="62"/>
      <c r="N699" s="62"/>
      <c r="O699" s="64"/>
      <c r="P699" s="79" t="s">
        <v>42</v>
      </c>
      <c r="Q699" s="62" t="s">
        <v>8</v>
      </c>
      <c r="R699" s="62"/>
    </row>
    <row r="700" ht="27.6" spans="1:18">
      <c r="A700" s="58">
        <v>677</v>
      </c>
      <c r="B700" s="90">
        <v>45730</v>
      </c>
      <c r="C700" s="64" t="s">
        <v>195</v>
      </c>
      <c r="D700" s="62" t="s">
        <v>35</v>
      </c>
      <c r="E700" s="62" t="s">
        <v>73</v>
      </c>
      <c r="F700" s="62" t="s">
        <v>36</v>
      </c>
      <c r="G700" s="62" t="s">
        <v>588</v>
      </c>
      <c r="H700" s="62" t="s">
        <v>94</v>
      </c>
      <c r="I700" s="83" t="s">
        <v>1277</v>
      </c>
      <c r="J700" s="62" t="s">
        <v>40</v>
      </c>
      <c r="K700" s="67" t="s">
        <v>1278</v>
      </c>
      <c r="L700" s="70"/>
      <c r="M700" s="62"/>
      <c r="N700" s="62"/>
      <c r="O700" s="64"/>
      <c r="P700" s="79" t="s">
        <v>42</v>
      </c>
      <c r="Q700" s="73" t="s">
        <v>43</v>
      </c>
      <c r="R700" s="62"/>
    </row>
    <row r="701" ht="27.6" spans="1:18">
      <c r="A701" s="58">
        <v>678</v>
      </c>
      <c r="B701" s="90">
        <v>45732</v>
      </c>
      <c r="C701" s="64" t="s">
        <v>641</v>
      </c>
      <c r="D701" s="61" t="s">
        <v>72</v>
      </c>
      <c r="E701" s="65" t="s">
        <v>73</v>
      </c>
      <c r="F701" s="62" t="s">
        <v>36</v>
      </c>
      <c r="G701" s="62" t="s">
        <v>588</v>
      </c>
      <c r="H701" s="62" t="s">
        <v>66</v>
      </c>
      <c r="I701" s="78" t="s">
        <v>1279</v>
      </c>
      <c r="J701" s="62" t="s">
        <v>91</v>
      </c>
      <c r="K701" s="67" t="s">
        <v>1280</v>
      </c>
      <c r="L701" s="70"/>
      <c r="M701" s="62"/>
      <c r="N701" s="62"/>
      <c r="O701" s="64"/>
      <c r="P701" s="79" t="s">
        <v>42</v>
      </c>
      <c r="Q701" s="73" t="s">
        <v>43</v>
      </c>
      <c r="R701" s="62"/>
    </row>
    <row r="702" ht="13.8" spans="1:18">
      <c r="A702" s="58">
        <v>679</v>
      </c>
      <c r="B702" s="90">
        <v>45732</v>
      </c>
      <c r="C702" s="81" t="s">
        <v>641</v>
      </c>
      <c r="D702" s="61" t="s">
        <v>72</v>
      </c>
      <c r="E702" s="65" t="s">
        <v>73</v>
      </c>
      <c r="F702" s="65" t="s">
        <v>36</v>
      </c>
      <c r="G702" s="65" t="s">
        <v>588</v>
      </c>
      <c r="H702" s="65" t="s">
        <v>66</v>
      </c>
      <c r="I702" s="80" t="s">
        <v>1281</v>
      </c>
      <c r="J702" s="62" t="s">
        <v>40</v>
      </c>
      <c r="K702" s="91" t="s">
        <v>1282</v>
      </c>
      <c r="L702" s="87"/>
      <c r="M702" s="65"/>
      <c r="N702" s="65"/>
      <c r="O702" s="81"/>
      <c r="P702" s="82" t="s">
        <v>42</v>
      </c>
      <c r="Q702" s="73" t="s">
        <v>43</v>
      </c>
      <c r="R702" s="65"/>
    </row>
    <row r="703" ht="13.8" spans="1:18">
      <c r="A703" s="58">
        <v>680</v>
      </c>
      <c r="B703" s="90">
        <v>45734</v>
      </c>
      <c r="C703" s="64" t="s">
        <v>640</v>
      </c>
      <c r="D703" s="61" t="s">
        <v>72</v>
      </c>
      <c r="E703" s="62" t="s">
        <v>73</v>
      </c>
      <c r="F703" s="62" t="s">
        <v>36</v>
      </c>
      <c r="G703" s="62" t="s">
        <v>37</v>
      </c>
      <c r="H703" s="62" t="s">
        <v>56</v>
      </c>
      <c r="I703" s="78" t="s">
        <v>1283</v>
      </c>
      <c r="J703" s="62" t="s">
        <v>40</v>
      </c>
      <c r="K703" s="67" t="s">
        <v>1284</v>
      </c>
      <c r="L703" s="70"/>
      <c r="M703" s="62"/>
      <c r="N703" s="62"/>
      <c r="O703" s="64"/>
      <c r="P703" s="79" t="s">
        <v>42</v>
      </c>
      <c r="Q703" s="73" t="s">
        <v>43</v>
      </c>
      <c r="R703" s="62"/>
    </row>
    <row r="704" ht="13.8" spans="1:18">
      <c r="A704" s="58">
        <v>681</v>
      </c>
      <c r="B704" s="90">
        <v>45734</v>
      </c>
      <c r="C704" s="64" t="s">
        <v>632</v>
      </c>
      <c r="D704" s="61" t="s">
        <v>72</v>
      </c>
      <c r="E704" s="62" t="s">
        <v>73</v>
      </c>
      <c r="F704" s="62" t="s">
        <v>36</v>
      </c>
      <c r="G704" s="62" t="s">
        <v>588</v>
      </c>
      <c r="H704" s="62" t="s">
        <v>38</v>
      </c>
      <c r="I704" s="78" t="s">
        <v>1285</v>
      </c>
      <c r="J704" s="62" t="s">
        <v>40</v>
      </c>
      <c r="K704" s="67" t="s">
        <v>1286</v>
      </c>
      <c r="L704" s="70"/>
      <c r="M704" s="62"/>
      <c r="N704" s="62"/>
      <c r="O704" s="64"/>
      <c r="P704" s="79" t="s">
        <v>42</v>
      </c>
      <c r="Q704" s="73" t="s">
        <v>43</v>
      </c>
      <c r="R704" s="62"/>
    </row>
    <row r="705" ht="13.8" spans="1:18">
      <c r="A705" s="58">
        <v>682</v>
      </c>
      <c r="B705" s="90">
        <v>45734</v>
      </c>
      <c r="C705" s="64" t="s">
        <v>640</v>
      </c>
      <c r="D705" s="61" t="s">
        <v>72</v>
      </c>
      <c r="E705" s="62" t="s">
        <v>73</v>
      </c>
      <c r="F705" s="62" t="s">
        <v>36</v>
      </c>
      <c r="G705" s="62" t="s">
        <v>588</v>
      </c>
      <c r="H705" s="62" t="s">
        <v>132</v>
      </c>
      <c r="I705" s="78" t="s">
        <v>1287</v>
      </c>
      <c r="J705" s="62" t="s">
        <v>91</v>
      </c>
      <c r="K705" s="67" t="s">
        <v>1288</v>
      </c>
      <c r="L705" s="70"/>
      <c r="M705" s="62"/>
      <c r="N705" s="62"/>
      <c r="O705" s="64"/>
      <c r="P705" s="79" t="s">
        <v>42</v>
      </c>
      <c r="Q705" s="73" t="s">
        <v>43</v>
      </c>
      <c r="R705" s="62"/>
    </row>
    <row r="706" ht="13.8" spans="1:18">
      <c r="A706" s="58">
        <v>683</v>
      </c>
      <c r="B706" s="90">
        <v>45735</v>
      </c>
      <c r="C706" s="64" t="s">
        <v>640</v>
      </c>
      <c r="D706" s="61" t="s">
        <v>72</v>
      </c>
      <c r="E706" s="62" t="s">
        <v>73</v>
      </c>
      <c r="F706" s="62" t="s">
        <v>36</v>
      </c>
      <c r="G706" s="62" t="s">
        <v>588</v>
      </c>
      <c r="H706" s="62" t="s">
        <v>132</v>
      </c>
      <c r="I706" s="83" t="s">
        <v>1289</v>
      </c>
      <c r="J706" s="62" t="s">
        <v>40</v>
      </c>
      <c r="K706" s="67"/>
      <c r="L706" s="70"/>
      <c r="M706" s="62"/>
      <c r="N706" s="62"/>
      <c r="O706" s="64"/>
      <c r="P706" s="79" t="s">
        <v>42</v>
      </c>
      <c r="Q706" s="73" t="s">
        <v>43</v>
      </c>
      <c r="R706" s="62"/>
    </row>
    <row r="707" ht="13.8" spans="1:18">
      <c r="A707" s="58">
        <v>684</v>
      </c>
      <c r="B707" s="90">
        <v>45735</v>
      </c>
      <c r="C707" s="64" t="s">
        <v>641</v>
      </c>
      <c r="D707" s="61" t="s">
        <v>72</v>
      </c>
      <c r="E707" s="62" t="s">
        <v>73</v>
      </c>
      <c r="F707" s="62" t="s">
        <v>36</v>
      </c>
      <c r="G707" s="62" t="s">
        <v>588</v>
      </c>
      <c r="H707" s="62" t="s">
        <v>97</v>
      </c>
      <c r="I707" s="78" t="s">
        <v>1290</v>
      </c>
      <c r="J707" s="62" t="s">
        <v>40</v>
      </c>
      <c r="K707" s="67"/>
      <c r="L707" s="70"/>
      <c r="M707" s="62"/>
      <c r="N707" s="62"/>
      <c r="O707" s="64"/>
      <c r="P707" s="79" t="s">
        <v>42</v>
      </c>
      <c r="Q707" s="73" t="s">
        <v>43</v>
      </c>
      <c r="R707" s="62"/>
    </row>
    <row r="708" ht="13.8" spans="1:18">
      <c r="A708" s="58">
        <v>685</v>
      </c>
      <c r="B708" s="90">
        <v>45736</v>
      </c>
      <c r="C708" s="64" t="s">
        <v>632</v>
      </c>
      <c r="D708" s="61" t="s">
        <v>72</v>
      </c>
      <c r="E708" s="62" t="s">
        <v>73</v>
      </c>
      <c r="F708" s="62" t="s">
        <v>36</v>
      </c>
      <c r="G708" s="62" t="s">
        <v>588</v>
      </c>
      <c r="H708" s="62" t="s">
        <v>150</v>
      </c>
      <c r="I708" s="78" t="s">
        <v>1291</v>
      </c>
      <c r="J708" s="62" t="s">
        <v>40</v>
      </c>
      <c r="K708" s="67" t="s">
        <v>1292</v>
      </c>
      <c r="L708" s="70"/>
      <c r="M708" s="62"/>
      <c r="N708" s="62"/>
      <c r="O708" s="64"/>
      <c r="P708" s="79" t="s">
        <v>42</v>
      </c>
      <c r="Q708" s="73" t="s">
        <v>43</v>
      </c>
      <c r="R708" s="62"/>
    </row>
    <row r="709" ht="13.8" spans="1:18">
      <c r="A709" s="58">
        <v>686</v>
      </c>
      <c r="B709" s="90">
        <v>45738</v>
      </c>
      <c r="C709" s="64" t="s">
        <v>641</v>
      </c>
      <c r="D709" s="61" t="s">
        <v>72</v>
      </c>
      <c r="E709" s="62" t="s">
        <v>73</v>
      </c>
      <c r="F709" s="62" t="s">
        <v>36</v>
      </c>
      <c r="G709" s="62" t="s">
        <v>37</v>
      </c>
      <c r="H709" s="62" t="s">
        <v>38</v>
      </c>
      <c r="I709" s="78" t="s">
        <v>1293</v>
      </c>
      <c r="J709" s="62" t="s">
        <v>91</v>
      </c>
      <c r="K709" s="67" t="s">
        <v>1294</v>
      </c>
      <c r="L709" s="70"/>
      <c r="M709" s="62"/>
      <c r="N709" s="62"/>
      <c r="O709" s="64"/>
      <c r="P709" s="79" t="s">
        <v>42</v>
      </c>
      <c r="Q709" s="73" t="s">
        <v>43</v>
      </c>
      <c r="R709" s="62"/>
    </row>
    <row r="710" ht="13.8" spans="1:18">
      <c r="A710" s="58">
        <v>687</v>
      </c>
      <c r="B710" s="90">
        <v>45738</v>
      </c>
      <c r="C710" s="64" t="s">
        <v>640</v>
      </c>
      <c r="D710" s="61" t="s">
        <v>72</v>
      </c>
      <c r="E710" s="62" t="s">
        <v>73</v>
      </c>
      <c r="F710" s="62" t="s">
        <v>36</v>
      </c>
      <c r="G710" s="62" t="s">
        <v>588</v>
      </c>
      <c r="H710" s="62" t="s">
        <v>94</v>
      </c>
      <c r="I710" s="78" t="s">
        <v>1295</v>
      </c>
      <c r="J710" s="62" t="s">
        <v>40</v>
      </c>
      <c r="K710" s="67" t="s">
        <v>1296</v>
      </c>
      <c r="L710" s="70"/>
      <c r="M710" s="62"/>
      <c r="N710" s="62"/>
      <c r="O710" s="64"/>
      <c r="P710" s="79" t="s">
        <v>42</v>
      </c>
      <c r="Q710" s="73" t="s">
        <v>43</v>
      </c>
      <c r="R710" s="62"/>
    </row>
    <row r="711" ht="13.8" spans="1:18">
      <c r="A711" s="58">
        <v>688</v>
      </c>
      <c r="B711" s="94">
        <v>45738</v>
      </c>
      <c r="C711" s="95" t="s">
        <v>640</v>
      </c>
      <c r="D711" s="61" t="s">
        <v>72</v>
      </c>
      <c r="E711" s="96" t="s">
        <v>73</v>
      </c>
      <c r="F711" s="62" t="s">
        <v>36</v>
      </c>
      <c r="G711" s="96" t="s">
        <v>588</v>
      </c>
      <c r="H711" s="96" t="s">
        <v>56</v>
      </c>
      <c r="I711" s="97" t="s">
        <v>1297</v>
      </c>
      <c r="J711" s="96" t="s">
        <v>40</v>
      </c>
      <c r="K711" s="98" t="s">
        <v>1298</v>
      </c>
      <c r="L711" s="99"/>
      <c r="M711" s="96"/>
      <c r="N711" s="96"/>
      <c r="O711" s="95"/>
      <c r="P711" s="100" t="s">
        <v>42</v>
      </c>
      <c r="Q711" s="73" t="s">
        <v>43</v>
      </c>
      <c r="R711" s="96"/>
    </row>
    <row r="712" ht="13.8" spans="1:18">
      <c r="A712" s="58">
        <v>689</v>
      </c>
      <c r="B712" s="94">
        <v>45738</v>
      </c>
      <c r="C712" s="95" t="s">
        <v>641</v>
      </c>
      <c r="D712" s="61" t="s">
        <v>72</v>
      </c>
      <c r="E712" s="96" t="s">
        <v>73</v>
      </c>
      <c r="F712" s="62" t="s">
        <v>36</v>
      </c>
      <c r="G712" s="96" t="s">
        <v>588</v>
      </c>
      <c r="H712" s="96" t="s">
        <v>56</v>
      </c>
      <c r="I712" s="97" t="s">
        <v>1299</v>
      </c>
      <c r="J712" s="96" t="s">
        <v>40</v>
      </c>
      <c r="K712" s="98" t="s">
        <v>1300</v>
      </c>
      <c r="L712" s="99"/>
      <c r="M712" s="96"/>
      <c r="N712" s="96"/>
      <c r="O712" s="95"/>
      <c r="P712" s="100" t="s">
        <v>42</v>
      </c>
      <c r="Q712" s="73" t="s">
        <v>43</v>
      </c>
      <c r="R712" s="96"/>
    </row>
    <row r="713" ht="27.6" spans="1:18">
      <c r="A713" s="58">
        <v>690</v>
      </c>
      <c r="B713" s="94">
        <v>45738</v>
      </c>
      <c r="C713" s="95" t="s">
        <v>641</v>
      </c>
      <c r="D713" s="61" t="s">
        <v>72</v>
      </c>
      <c r="E713" s="96" t="s">
        <v>73</v>
      </c>
      <c r="F713" s="62" t="s">
        <v>36</v>
      </c>
      <c r="G713" s="96" t="s">
        <v>588</v>
      </c>
      <c r="H713" s="96" t="s">
        <v>66</v>
      </c>
      <c r="I713" s="97" t="s">
        <v>1301</v>
      </c>
      <c r="J713" s="96" t="s">
        <v>40</v>
      </c>
      <c r="K713" s="98" t="s">
        <v>1302</v>
      </c>
      <c r="L713" s="99"/>
      <c r="M713" s="96"/>
      <c r="N713" s="96"/>
      <c r="O713" s="95"/>
      <c r="P713" s="100" t="s">
        <v>42</v>
      </c>
      <c r="Q713" s="73" t="s">
        <v>43</v>
      </c>
      <c r="R713" s="96"/>
    </row>
    <row r="714" ht="13.8" spans="1:18">
      <c r="A714" s="58">
        <v>691</v>
      </c>
      <c r="B714" s="94">
        <v>45738</v>
      </c>
      <c r="C714" s="95" t="s">
        <v>641</v>
      </c>
      <c r="D714" s="61" t="s">
        <v>72</v>
      </c>
      <c r="E714" s="96" t="s">
        <v>73</v>
      </c>
      <c r="F714" s="62" t="s">
        <v>36</v>
      </c>
      <c r="G714" s="96" t="s">
        <v>37</v>
      </c>
      <c r="H714" s="96" t="s">
        <v>56</v>
      </c>
      <c r="I714" s="97" t="s">
        <v>1303</v>
      </c>
      <c r="J714" s="96" t="s">
        <v>40</v>
      </c>
      <c r="K714" s="98" t="s">
        <v>1304</v>
      </c>
      <c r="L714" s="99"/>
      <c r="M714" s="96"/>
      <c r="N714" s="96"/>
      <c r="O714" s="95"/>
      <c r="P714" s="100" t="s">
        <v>42</v>
      </c>
      <c r="Q714" s="73" t="s">
        <v>43</v>
      </c>
      <c r="R714" s="96"/>
    </row>
    <row r="715" ht="13.8" spans="1:18">
      <c r="A715" s="58">
        <v>692</v>
      </c>
      <c r="B715" s="94">
        <v>45738</v>
      </c>
      <c r="C715" s="95" t="s">
        <v>641</v>
      </c>
      <c r="D715" s="61" t="s">
        <v>72</v>
      </c>
      <c r="E715" s="96" t="s">
        <v>73</v>
      </c>
      <c r="F715" s="62" t="s">
        <v>36</v>
      </c>
      <c r="G715" s="96" t="s">
        <v>588</v>
      </c>
      <c r="H715" s="96" t="s">
        <v>94</v>
      </c>
      <c r="I715" s="97" t="s">
        <v>1305</v>
      </c>
      <c r="J715" s="96" t="s">
        <v>40</v>
      </c>
      <c r="K715" s="98" t="s">
        <v>1300</v>
      </c>
      <c r="L715" s="99"/>
      <c r="M715" s="96"/>
      <c r="N715" s="96"/>
      <c r="O715" s="95"/>
      <c r="P715" s="100" t="s">
        <v>42</v>
      </c>
      <c r="Q715" s="73" t="s">
        <v>43</v>
      </c>
      <c r="R715" s="96"/>
    </row>
    <row r="716" ht="13.8" spans="1:18">
      <c r="A716" s="58">
        <v>693</v>
      </c>
      <c r="B716" s="94">
        <v>45738</v>
      </c>
      <c r="C716" s="95" t="s">
        <v>641</v>
      </c>
      <c r="D716" s="61" t="s">
        <v>72</v>
      </c>
      <c r="E716" s="96" t="s">
        <v>73</v>
      </c>
      <c r="F716" s="62" t="s">
        <v>36</v>
      </c>
      <c r="G716" s="96" t="s">
        <v>93</v>
      </c>
      <c r="H716" s="96" t="s">
        <v>56</v>
      </c>
      <c r="I716" s="97" t="s">
        <v>1306</v>
      </c>
      <c r="J716" s="96" t="s">
        <v>40</v>
      </c>
      <c r="K716" s="98" t="s">
        <v>1300</v>
      </c>
      <c r="L716" s="99"/>
      <c r="M716" s="96"/>
      <c r="N716" s="96"/>
      <c r="O716" s="95"/>
      <c r="P716" s="100" t="s">
        <v>42</v>
      </c>
      <c r="Q716" s="73" t="s">
        <v>43</v>
      </c>
      <c r="R716" s="96"/>
    </row>
    <row r="717" ht="13.8" spans="1:18">
      <c r="A717" s="58">
        <v>694</v>
      </c>
      <c r="B717" s="94">
        <v>45734</v>
      </c>
      <c r="C717" s="95" t="s">
        <v>632</v>
      </c>
      <c r="D717" s="61" t="s">
        <v>72</v>
      </c>
      <c r="E717" s="96" t="s">
        <v>73</v>
      </c>
      <c r="F717" s="62" t="s">
        <v>36</v>
      </c>
      <c r="G717" s="96" t="s">
        <v>131</v>
      </c>
      <c r="H717" s="96" t="s">
        <v>94</v>
      </c>
      <c r="I717" s="97" t="s">
        <v>1307</v>
      </c>
      <c r="J717" s="96" t="s">
        <v>40</v>
      </c>
      <c r="K717" s="98" t="s">
        <v>1308</v>
      </c>
      <c r="L717" s="99"/>
      <c r="M717" s="96"/>
      <c r="N717" s="96"/>
      <c r="O717" s="95"/>
      <c r="P717" s="100" t="s">
        <v>42</v>
      </c>
      <c r="Q717" s="73" t="s">
        <v>43</v>
      </c>
      <c r="R717" s="96"/>
    </row>
    <row r="718" ht="13.8" spans="1:18">
      <c r="A718" s="58">
        <v>695</v>
      </c>
      <c r="B718" s="94">
        <v>45735</v>
      </c>
      <c r="C718" s="95" t="s">
        <v>632</v>
      </c>
      <c r="D718" s="61" t="s">
        <v>72</v>
      </c>
      <c r="E718" s="96" t="s">
        <v>73</v>
      </c>
      <c r="F718" s="62" t="s">
        <v>36</v>
      </c>
      <c r="G718" s="62" t="s">
        <v>588</v>
      </c>
      <c r="H718" s="62" t="s">
        <v>132</v>
      </c>
      <c r="I718" s="78" t="s">
        <v>1309</v>
      </c>
      <c r="J718" s="62" t="s">
        <v>91</v>
      </c>
      <c r="K718" s="67" t="s">
        <v>1310</v>
      </c>
      <c r="L718" s="70"/>
      <c r="M718" s="62"/>
      <c r="N718" s="62"/>
      <c r="O718" s="64"/>
      <c r="P718" s="79" t="s">
        <v>42</v>
      </c>
      <c r="Q718" s="73" t="s">
        <v>43</v>
      </c>
      <c r="R718" s="62"/>
    </row>
    <row r="719" ht="55.2" spans="1:18">
      <c r="A719" s="58">
        <v>696</v>
      </c>
      <c r="B719" s="94">
        <v>45750</v>
      </c>
      <c r="C719" s="95" t="s">
        <v>49</v>
      </c>
      <c r="D719" s="96" t="s">
        <v>35</v>
      </c>
      <c r="E719" s="96" t="s">
        <v>73</v>
      </c>
      <c r="F719" s="62" t="s">
        <v>50</v>
      </c>
      <c r="G719" s="62" t="s">
        <v>37</v>
      </c>
      <c r="H719" s="62" t="s">
        <v>132</v>
      </c>
      <c r="I719" s="78" t="s">
        <v>213</v>
      </c>
      <c r="J719" s="62" t="s">
        <v>53</v>
      </c>
      <c r="K719" s="67" t="s">
        <v>1311</v>
      </c>
      <c r="L719" s="70"/>
      <c r="M719" s="62"/>
      <c r="N719" s="62"/>
      <c r="O719" s="64"/>
      <c r="P719" s="79" t="s">
        <v>42</v>
      </c>
      <c r="Q719" s="73" t="s">
        <v>43</v>
      </c>
      <c r="R719" s="62"/>
    </row>
    <row r="720" ht="13.8" spans="1:18">
      <c r="A720" s="58">
        <v>697</v>
      </c>
      <c r="B720" s="94">
        <v>45750</v>
      </c>
      <c r="C720" s="95" t="s">
        <v>49</v>
      </c>
      <c r="D720" s="96" t="s">
        <v>35</v>
      </c>
      <c r="E720" s="96" t="s">
        <v>73</v>
      </c>
      <c r="F720" s="62" t="s">
        <v>50</v>
      </c>
      <c r="G720" s="62" t="s">
        <v>37</v>
      </c>
      <c r="H720" s="62" t="s">
        <v>132</v>
      </c>
      <c r="I720" s="78" t="s">
        <v>1312</v>
      </c>
      <c r="J720" s="62" t="s">
        <v>53</v>
      </c>
      <c r="K720" s="67" t="s">
        <v>1313</v>
      </c>
      <c r="L720" s="70"/>
      <c r="M720" s="62"/>
      <c r="N720" s="62"/>
      <c r="O720" s="64"/>
      <c r="P720" s="79" t="s">
        <v>42</v>
      </c>
      <c r="Q720" s="73" t="s">
        <v>43</v>
      </c>
      <c r="R720" s="62"/>
    </row>
    <row r="721" ht="26.4" spans="1:18">
      <c r="A721" s="58">
        <v>698</v>
      </c>
      <c r="B721" s="94">
        <v>45750</v>
      </c>
      <c r="C721" s="64" t="s">
        <v>191</v>
      </c>
      <c r="D721" s="96" t="s">
        <v>35</v>
      </c>
      <c r="E721" s="96" t="s">
        <v>73</v>
      </c>
      <c r="F721" s="62" t="s">
        <v>192</v>
      </c>
      <c r="G721" s="62" t="s">
        <v>37</v>
      </c>
      <c r="H721" s="62" t="s">
        <v>94</v>
      </c>
      <c r="I721" s="78" t="s">
        <v>1314</v>
      </c>
      <c r="J721" s="62" t="s">
        <v>137</v>
      </c>
      <c r="K721" s="67" t="s">
        <v>194</v>
      </c>
      <c r="L721" s="70"/>
      <c r="M721" s="62"/>
      <c r="N721" s="62"/>
      <c r="O721" s="64"/>
      <c r="P721" s="79" t="s">
        <v>42</v>
      </c>
      <c r="Q721" s="62" t="s">
        <v>8</v>
      </c>
      <c r="R721" s="62"/>
    </row>
    <row r="722" ht="13.8" spans="1:18">
      <c r="A722" s="58">
        <v>699</v>
      </c>
      <c r="B722" s="94">
        <v>45750</v>
      </c>
      <c r="C722" s="64" t="s">
        <v>49</v>
      </c>
      <c r="D722" s="96" t="s">
        <v>35</v>
      </c>
      <c r="E722" s="96" t="s">
        <v>73</v>
      </c>
      <c r="F722" s="62" t="s">
        <v>135</v>
      </c>
      <c r="G722" s="62" t="s">
        <v>131</v>
      </c>
      <c r="H722" s="62" t="s">
        <v>56</v>
      </c>
      <c r="I722" s="78" t="s">
        <v>1315</v>
      </c>
      <c r="J722" s="62" t="s">
        <v>137</v>
      </c>
      <c r="K722" s="67" t="s">
        <v>194</v>
      </c>
      <c r="L722" s="68"/>
      <c r="M722" s="62"/>
      <c r="N722" s="62"/>
      <c r="O722" s="64"/>
      <c r="P722" s="79" t="s">
        <v>42</v>
      </c>
      <c r="Q722" s="63" t="s">
        <v>8</v>
      </c>
      <c r="R722" s="62"/>
    </row>
    <row r="723" ht="13.8" spans="1:18">
      <c r="A723" s="58">
        <v>700</v>
      </c>
      <c r="B723" s="94">
        <v>45750</v>
      </c>
      <c r="C723" s="64" t="s">
        <v>191</v>
      </c>
      <c r="D723" s="96" t="s">
        <v>35</v>
      </c>
      <c r="E723" s="96" t="s">
        <v>73</v>
      </c>
      <c r="F723" s="62" t="s">
        <v>50</v>
      </c>
      <c r="G723" s="62" t="s">
        <v>82</v>
      </c>
      <c r="H723" s="62" t="s">
        <v>38</v>
      </c>
      <c r="I723" s="83" t="s">
        <v>1316</v>
      </c>
      <c r="J723" s="62" t="s">
        <v>53</v>
      </c>
      <c r="K723" s="67" t="s">
        <v>1317</v>
      </c>
      <c r="L723" s="68"/>
      <c r="M723" s="62"/>
      <c r="N723" s="62"/>
      <c r="O723" s="64"/>
      <c r="P723" s="79" t="s">
        <v>42</v>
      </c>
      <c r="Q723" s="73" t="s">
        <v>43</v>
      </c>
      <c r="R723" s="62"/>
    </row>
    <row r="724" ht="13.8" spans="1:18">
      <c r="A724" s="58">
        <v>701</v>
      </c>
      <c r="B724" s="94">
        <v>45750</v>
      </c>
      <c r="C724" s="64" t="s">
        <v>208</v>
      </c>
      <c r="D724" s="96" t="s">
        <v>35</v>
      </c>
      <c r="E724" s="96" t="s">
        <v>73</v>
      </c>
      <c r="F724" s="62" t="s">
        <v>36</v>
      </c>
      <c r="G724" s="62" t="s">
        <v>131</v>
      </c>
      <c r="H724" s="62" t="s">
        <v>38</v>
      </c>
      <c r="I724" s="83" t="s">
        <v>1318</v>
      </c>
      <c r="J724" s="62" t="s">
        <v>40</v>
      </c>
      <c r="K724" s="67" t="s">
        <v>1319</v>
      </c>
      <c r="L724" s="68"/>
      <c r="M724" s="62"/>
      <c r="N724" s="62"/>
      <c r="O724" s="64"/>
      <c r="P724" s="79" t="s">
        <v>42</v>
      </c>
      <c r="Q724" s="73" t="s">
        <v>43</v>
      </c>
      <c r="R724" s="62"/>
    </row>
    <row r="725" ht="39.6" spans="1:18">
      <c r="A725" s="58">
        <v>702</v>
      </c>
      <c r="B725" s="94">
        <v>45750</v>
      </c>
      <c r="C725" s="95" t="s">
        <v>191</v>
      </c>
      <c r="D725" s="96" t="s">
        <v>35</v>
      </c>
      <c r="E725" s="96" t="s">
        <v>73</v>
      </c>
      <c r="F725" s="62" t="s">
        <v>36</v>
      </c>
      <c r="G725" s="96" t="s">
        <v>131</v>
      </c>
      <c r="H725" s="96" t="s">
        <v>150</v>
      </c>
      <c r="I725" s="83" t="s">
        <v>1320</v>
      </c>
      <c r="J725" s="62" t="s">
        <v>40</v>
      </c>
      <c r="K725" s="67" t="s">
        <v>1321</v>
      </c>
      <c r="L725" s="70" t="s">
        <v>1322</v>
      </c>
      <c r="M725" s="62"/>
      <c r="N725" s="62"/>
      <c r="O725" s="64"/>
      <c r="P725" s="79" t="s">
        <v>42</v>
      </c>
      <c r="Q725" s="73" t="s">
        <v>43</v>
      </c>
      <c r="R725" s="62"/>
    </row>
    <row r="726" ht="55.2" spans="1:18">
      <c r="A726" s="58">
        <v>703</v>
      </c>
      <c r="B726" s="59">
        <v>45750</v>
      </c>
      <c r="C726" s="61" t="s">
        <v>208</v>
      </c>
      <c r="D726" s="61" t="s">
        <v>35</v>
      </c>
      <c r="E726" s="62" t="s">
        <v>73</v>
      </c>
      <c r="F726" s="62" t="s">
        <v>36</v>
      </c>
      <c r="G726" s="62" t="s">
        <v>37</v>
      </c>
      <c r="H726" s="62" t="s">
        <v>97</v>
      </c>
      <c r="I726" s="101" t="s">
        <v>1323</v>
      </c>
      <c r="J726" s="62" t="s">
        <v>40</v>
      </c>
      <c r="K726" s="67" t="s">
        <v>1324</v>
      </c>
      <c r="L726" s="102" t="s">
        <v>1322</v>
      </c>
      <c r="M726" s="62"/>
      <c r="N726" s="62"/>
      <c r="O726" s="69"/>
      <c r="P726" s="59" t="s">
        <v>42</v>
      </c>
      <c r="Q726" s="73" t="s">
        <v>43</v>
      </c>
      <c r="R726" s="62"/>
    </row>
    <row r="727" ht="27.6" spans="1:18">
      <c r="A727" s="58">
        <v>704</v>
      </c>
      <c r="B727" s="59">
        <v>45752</v>
      </c>
      <c r="C727" s="61" t="s">
        <v>49</v>
      </c>
      <c r="D727" s="61" t="s">
        <v>35</v>
      </c>
      <c r="E727" s="62" t="s">
        <v>73</v>
      </c>
      <c r="F727" s="62" t="s">
        <v>50</v>
      </c>
      <c r="G727" s="62" t="s">
        <v>65</v>
      </c>
      <c r="H727" s="62" t="s">
        <v>132</v>
      </c>
      <c r="I727" s="101" t="s">
        <v>336</v>
      </c>
      <c r="J727" s="62" t="s">
        <v>53</v>
      </c>
      <c r="K727" s="67" t="s">
        <v>337</v>
      </c>
      <c r="L727" s="103"/>
      <c r="M727" s="62"/>
      <c r="N727" s="62"/>
      <c r="O727" s="69"/>
      <c r="P727" s="59" t="s">
        <v>42</v>
      </c>
      <c r="Q727" s="73" t="s">
        <v>43</v>
      </c>
      <c r="R727" s="62"/>
    </row>
    <row r="728" ht="13.8" spans="1:18">
      <c r="A728" s="58">
        <v>705</v>
      </c>
      <c r="B728" s="59">
        <v>45752</v>
      </c>
      <c r="C728" s="61" t="s">
        <v>49</v>
      </c>
      <c r="D728" s="61" t="s">
        <v>35</v>
      </c>
      <c r="E728" s="62" t="s">
        <v>73</v>
      </c>
      <c r="F728" s="62" t="s">
        <v>192</v>
      </c>
      <c r="G728" s="62" t="s">
        <v>61</v>
      </c>
      <c r="H728" s="62" t="s">
        <v>360</v>
      </c>
      <c r="I728" s="101" t="s">
        <v>1087</v>
      </c>
      <c r="J728" s="62" t="s">
        <v>137</v>
      </c>
      <c r="K728" s="59" t="s">
        <v>194</v>
      </c>
      <c r="L728" s="102"/>
      <c r="M728" s="62"/>
      <c r="N728" s="62"/>
      <c r="O728" s="69"/>
      <c r="P728" s="59" t="s">
        <v>42</v>
      </c>
      <c r="Q728" s="73" t="s">
        <v>8</v>
      </c>
      <c r="R728" s="62"/>
    </row>
    <row r="729" ht="27.6" spans="1:18">
      <c r="A729" s="58">
        <v>706</v>
      </c>
      <c r="B729" s="59">
        <v>45752</v>
      </c>
      <c r="C729" s="61" t="s">
        <v>49</v>
      </c>
      <c r="D729" s="61" t="s">
        <v>35</v>
      </c>
      <c r="E729" s="62" t="s">
        <v>73</v>
      </c>
      <c r="F729" s="62" t="s">
        <v>36</v>
      </c>
      <c r="G729" s="62" t="s">
        <v>131</v>
      </c>
      <c r="H729" s="62" t="s">
        <v>38</v>
      </c>
      <c r="I729" s="101" t="s">
        <v>419</v>
      </c>
      <c r="J729" s="62" t="s">
        <v>40</v>
      </c>
      <c r="K729" s="67" t="s">
        <v>420</v>
      </c>
      <c r="L729" s="103"/>
      <c r="M729" s="62"/>
      <c r="N729" s="62"/>
      <c r="O729" s="69" t="s">
        <v>1325</v>
      </c>
      <c r="P729" s="59" t="s">
        <v>42</v>
      </c>
      <c r="Q729" s="73" t="s">
        <v>43</v>
      </c>
      <c r="R729" s="62"/>
    </row>
    <row r="730" ht="13.8" spans="1:18">
      <c r="A730" s="58">
        <v>707</v>
      </c>
      <c r="B730" s="59">
        <v>45752</v>
      </c>
      <c r="C730" s="61" t="s">
        <v>49</v>
      </c>
      <c r="D730" s="61" t="s">
        <v>35</v>
      </c>
      <c r="E730" s="62" t="s">
        <v>73</v>
      </c>
      <c r="F730" s="62" t="s">
        <v>36</v>
      </c>
      <c r="G730" s="62" t="s">
        <v>131</v>
      </c>
      <c r="H730" s="62" t="s">
        <v>56</v>
      </c>
      <c r="I730" s="101" t="s">
        <v>455</v>
      </c>
      <c r="J730" s="62" t="s">
        <v>40</v>
      </c>
      <c r="K730" s="67" t="s">
        <v>456</v>
      </c>
      <c r="L730" s="103"/>
      <c r="M730" s="62"/>
      <c r="N730" s="62"/>
      <c r="O730" s="69"/>
      <c r="P730" s="59" t="s">
        <v>42</v>
      </c>
      <c r="Q730" s="73" t="s">
        <v>43</v>
      </c>
      <c r="R730" s="62"/>
    </row>
    <row r="731" ht="13.8" spans="1:18">
      <c r="A731" s="58">
        <v>708</v>
      </c>
      <c r="B731" s="59">
        <v>45752</v>
      </c>
      <c r="C731" s="61" t="s">
        <v>208</v>
      </c>
      <c r="D731" s="61" t="s">
        <v>35</v>
      </c>
      <c r="E731" s="62" t="s">
        <v>73</v>
      </c>
      <c r="F731" s="62" t="s">
        <v>36</v>
      </c>
      <c r="G731" s="62" t="s">
        <v>131</v>
      </c>
      <c r="H731" s="62" t="s">
        <v>56</v>
      </c>
      <c r="I731" s="101" t="s">
        <v>429</v>
      </c>
      <c r="J731" s="62" t="s">
        <v>40</v>
      </c>
      <c r="K731" s="67" t="s">
        <v>430</v>
      </c>
      <c r="L731" s="103"/>
      <c r="M731" s="62"/>
      <c r="N731" s="62"/>
      <c r="O731" s="69"/>
      <c r="P731" s="59" t="s">
        <v>42</v>
      </c>
      <c r="Q731" s="73" t="s">
        <v>43</v>
      </c>
      <c r="R731" s="62"/>
    </row>
    <row r="732" ht="13.8" spans="1:18">
      <c r="A732" s="58">
        <v>709</v>
      </c>
      <c r="B732" s="59">
        <v>45752</v>
      </c>
      <c r="C732" s="61" t="s">
        <v>49</v>
      </c>
      <c r="D732" s="61" t="s">
        <v>35</v>
      </c>
      <c r="E732" s="62" t="s">
        <v>73</v>
      </c>
      <c r="F732" s="62" t="s">
        <v>36</v>
      </c>
      <c r="G732" s="62" t="s">
        <v>37</v>
      </c>
      <c r="H732" s="62" t="s">
        <v>56</v>
      </c>
      <c r="I732" s="101" t="s">
        <v>1326</v>
      </c>
      <c r="J732" s="62" t="s">
        <v>40</v>
      </c>
      <c r="K732" s="67" t="s">
        <v>1050</v>
      </c>
      <c r="L732" s="103"/>
      <c r="M732" s="62"/>
      <c r="N732" s="62"/>
      <c r="O732" s="69"/>
      <c r="P732" s="59" t="s">
        <v>42</v>
      </c>
      <c r="Q732" s="73" t="s">
        <v>43</v>
      </c>
      <c r="R732" s="62"/>
    </row>
    <row r="733" ht="41.4" spans="1:18">
      <c r="A733" s="58">
        <v>710</v>
      </c>
      <c r="B733" s="59">
        <v>45752</v>
      </c>
      <c r="C733" s="61" t="s">
        <v>208</v>
      </c>
      <c r="D733" s="61" t="s">
        <v>35</v>
      </c>
      <c r="E733" s="62" t="s">
        <v>73</v>
      </c>
      <c r="F733" s="62" t="s">
        <v>36</v>
      </c>
      <c r="G733" s="62" t="s">
        <v>131</v>
      </c>
      <c r="H733" s="62" t="s">
        <v>97</v>
      </c>
      <c r="I733" s="101" t="s">
        <v>1327</v>
      </c>
      <c r="J733" s="62" t="s">
        <v>40</v>
      </c>
      <c r="K733" s="67" t="s">
        <v>1328</v>
      </c>
      <c r="L733" s="104" t="s">
        <v>1329</v>
      </c>
      <c r="M733" s="62"/>
      <c r="N733" s="62"/>
      <c r="O733" s="69"/>
      <c r="P733" s="59" t="s">
        <v>42</v>
      </c>
      <c r="Q733" s="73" t="s">
        <v>43</v>
      </c>
      <c r="R733" s="62"/>
    </row>
    <row r="734" ht="13.8" spans="1:18">
      <c r="A734" s="58">
        <v>711</v>
      </c>
      <c r="B734" s="59">
        <v>45753</v>
      </c>
      <c r="C734" s="61" t="s">
        <v>191</v>
      </c>
      <c r="D734" s="61" t="s">
        <v>35</v>
      </c>
      <c r="E734" s="62" t="s">
        <v>73</v>
      </c>
      <c r="F734" s="62" t="s">
        <v>135</v>
      </c>
      <c r="G734" s="62" t="s">
        <v>131</v>
      </c>
      <c r="H734" s="62" t="s">
        <v>38</v>
      </c>
      <c r="I734" s="101" t="s">
        <v>1330</v>
      </c>
      <c r="J734" s="62" t="s">
        <v>137</v>
      </c>
      <c r="K734" s="67" t="s">
        <v>194</v>
      </c>
      <c r="L734" s="103"/>
      <c r="M734" s="62"/>
      <c r="N734" s="62"/>
      <c r="O734" s="69"/>
      <c r="P734" s="59" t="s">
        <v>42</v>
      </c>
      <c r="Q734" s="73" t="s">
        <v>8</v>
      </c>
      <c r="R734" s="62"/>
    </row>
    <row r="735" ht="41.4" spans="1:18">
      <c r="A735" s="58">
        <v>712</v>
      </c>
      <c r="B735" s="59">
        <v>45753</v>
      </c>
      <c r="C735" s="61" t="s">
        <v>49</v>
      </c>
      <c r="D735" s="61" t="s">
        <v>35</v>
      </c>
      <c r="E735" s="62" t="s">
        <v>73</v>
      </c>
      <c r="F735" s="62" t="s">
        <v>36</v>
      </c>
      <c r="G735" s="62" t="s">
        <v>37</v>
      </c>
      <c r="H735" s="62" t="s">
        <v>56</v>
      </c>
      <c r="I735" s="101" t="s">
        <v>346</v>
      </c>
      <c r="J735" s="62" t="s">
        <v>40</v>
      </c>
      <c r="K735" s="67" t="s">
        <v>1145</v>
      </c>
      <c r="L735" s="103"/>
      <c r="M735" s="62"/>
      <c r="N735" s="62"/>
      <c r="O735" s="69" t="s">
        <v>1331</v>
      </c>
      <c r="P735" s="59" t="s">
        <v>42</v>
      </c>
      <c r="Q735" s="73" t="s">
        <v>43</v>
      </c>
      <c r="R735" s="62"/>
    </row>
    <row r="736" ht="13.8" spans="1:18">
      <c r="A736" s="58">
        <v>713</v>
      </c>
      <c r="B736" s="59">
        <v>45753</v>
      </c>
      <c r="C736" s="61" t="s">
        <v>208</v>
      </c>
      <c r="D736" s="61" t="s">
        <v>35</v>
      </c>
      <c r="E736" s="62" t="s">
        <v>73</v>
      </c>
      <c r="F736" s="62" t="s">
        <v>36</v>
      </c>
      <c r="G736" s="62" t="s">
        <v>61</v>
      </c>
      <c r="H736" s="62" t="s">
        <v>56</v>
      </c>
      <c r="I736" s="101" t="s">
        <v>431</v>
      </c>
      <c r="J736" s="62" t="s">
        <v>40</v>
      </c>
      <c r="K736" s="67" t="s">
        <v>1332</v>
      </c>
      <c r="L736" s="103"/>
      <c r="M736" s="62"/>
      <c r="N736" s="62"/>
      <c r="O736" s="69"/>
      <c r="P736" s="59" t="s">
        <v>42</v>
      </c>
      <c r="Q736" s="73" t="s">
        <v>43</v>
      </c>
      <c r="R736" s="62"/>
    </row>
    <row r="737" ht="13.8" spans="1:18">
      <c r="A737" s="58">
        <v>714</v>
      </c>
      <c r="B737" s="59">
        <v>45753</v>
      </c>
      <c r="C737" s="61" t="s">
        <v>208</v>
      </c>
      <c r="D737" s="61" t="s">
        <v>35</v>
      </c>
      <c r="E737" s="62" t="s">
        <v>73</v>
      </c>
      <c r="F737" s="62" t="s">
        <v>36</v>
      </c>
      <c r="G737" s="62" t="s">
        <v>131</v>
      </c>
      <c r="H737" s="62" t="s">
        <v>56</v>
      </c>
      <c r="I737" s="101" t="s">
        <v>431</v>
      </c>
      <c r="J737" s="62" t="s">
        <v>40</v>
      </c>
      <c r="K737" s="67" t="s">
        <v>430</v>
      </c>
      <c r="L737" s="103"/>
      <c r="M737" s="62"/>
      <c r="N737" s="62"/>
      <c r="O737" s="69"/>
      <c r="P737" s="59" t="s">
        <v>42</v>
      </c>
      <c r="Q737" s="73" t="s">
        <v>43</v>
      </c>
      <c r="R737" s="62"/>
    </row>
    <row r="738" ht="27.6" spans="1:18">
      <c r="A738" s="58">
        <v>715</v>
      </c>
      <c r="B738" s="59">
        <v>45753</v>
      </c>
      <c r="C738" s="61" t="s">
        <v>49</v>
      </c>
      <c r="D738" s="61" t="s">
        <v>35</v>
      </c>
      <c r="E738" s="63" t="s">
        <v>73</v>
      </c>
      <c r="F738" s="62" t="s">
        <v>36</v>
      </c>
      <c r="G738" s="62" t="s">
        <v>61</v>
      </c>
      <c r="H738" s="62" t="s">
        <v>46</v>
      </c>
      <c r="I738" s="101" t="s">
        <v>1333</v>
      </c>
      <c r="J738" s="62" t="s">
        <v>40</v>
      </c>
      <c r="K738" s="67" t="s">
        <v>1334</v>
      </c>
      <c r="L738" s="104"/>
      <c r="M738" s="62"/>
      <c r="N738" s="62"/>
      <c r="O738" s="69"/>
      <c r="P738" s="59" t="s">
        <v>42</v>
      </c>
      <c r="Q738" s="73" t="s">
        <v>43</v>
      </c>
      <c r="R738" s="62"/>
    </row>
    <row r="739" ht="27.6" spans="1:18">
      <c r="A739" s="58">
        <v>716</v>
      </c>
      <c r="B739" s="59">
        <v>45753</v>
      </c>
      <c r="C739" s="61" t="s">
        <v>208</v>
      </c>
      <c r="D739" s="61" t="s">
        <v>35</v>
      </c>
      <c r="E739" s="62" t="s">
        <v>73</v>
      </c>
      <c r="F739" s="62" t="s">
        <v>50</v>
      </c>
      <c r="G739" s="62" t="s">
        <v>61</v>
      </c>
      <c r="H739" s="62" t="s">
        <v>989</v>
      </c>
      <c r="I739" s="101" t="s">
        <v>1335</v>
      </c>
      <c r="J739" s="62" t="s">
        <v>91</v>
      </c>
      <c r="K739" s="67" t="s">
        <v>1336</v>
      </c>
      <c r="L739" s="104"/>
      <c r="M739" s="62"/>
      <c r="N739" s="62"/>
      <c r="O739" s="69"/>
      <c r="P739" s="59" t="s">
        <v>42</v>
      </c>
      <c r="Q739" s="73" t="s">
        <v>43</v>
      </c>
      <c r="R739" s="62"/>
    </row>
    <row r="740" ht="13.8" spans="1:18">
      <c r="A740" s="58">
        <v>717</v>
      </c>
      <c r="B740" s="59">
        <v>45753</v>
      </c>
      <c r="C740" s="61" t="s">
        <v>208</v>
      </c>
      <c r="D740" s="61" t="s">
        <v>35</v>
      </c>
      <c r="E740" s="62" t="s">
        <v>73</v>
      </c>
      <c r="F740" s="62" t="s">
        <v>192</v>
      </c>
      <c r="G740" s="62" t="s">
        <v>131</v>
      </c>
      <c r="H740" s="62" t="s">
        <v>56</v>
      </c>
      <c r="I740" s="101" t="s">
        <v>1337</v>
      </c>
      <c r="J740" s="62" t="s">
        <v>137</v>
      </c>
      <c r="K740" s="67" t="s">
        <v>194</v>
      </c>
      <c r="L740" s="104"/>
      <c r="M740" s="62"/>
      <c r="N740" s="62"/>
      <c r="O740" s="69"/>
      <c r="P740" s="59" t="s">
        <v>42</v>
      </c>
      <c r="Q740" s="73" t="s">
        <v>8</v>
      </c>
      <c r="R740" s="62"/>
    </row>
    <row r="741" ht="27.6" spans="1:18">
      <c r="A741" s="58">
        <v>718</v>
      </c>
      <c r="B741" s="59">
        <v>45753</v>
      </c>
      <c r="C741" s="61" t="s">
        <v>49</v>
      </c>
      <c r="D741" s="61" t="s">
        <v>35</v>
      </c>
      <c r="E741" s="62" t="s">
        <v>73</v>
      </c>
      <c r="F741" s="62" t="s">
        <v>36</v>
      </c>
      <c r="G741" s="62" t="s">
        <v>55</v>
      </c>
      <c r="H741" s="62" t="s">
        <v>1008</v>
      </c>
      <c r="I741" s="101" t="s">
        <v>189</v>
      </c>
      <c r="J741" s="62" t="s">
        <v>40</v>
      </c>
      <c r="K741" s="67" t="s">
        <v>190</v>
      </c>
      <c r="L741" s="104"/>
      <c r="M741" s="62"/>
      <c r="N741" s="62"/>
      <c r="O741" s="69" t="s">
        <v>1338</v>
      </c>
      <c r="P741" s="59" t="s">
        <v>42</v>
      </c>
      <c r="Q741" s="73" t="s">
        <v>43</v>
      </c>
      <c r="R741" s="62"/>
    </row>
    <row r="742" ht="13.8" spans="1:18">
      <c r="A742" s="58">
        <v>719</v>
      </c>
      <c r="B742" s="59">
        <v>45753</v>
      </c>
      <c r="C742" s="61" t="s">
        <v>49</v>
      </c>
      <c r="D742" s="61" t="s">
        <v>35</v>
      </c>
      <c r="E742" s="62" t="s">
        <v>73</v>
      </c>
      <c r="F742" s="62" t="s">
        <v>36</v>
      </c>
      <c r="G742" s="62" t="s">
        <v>37</v>
      </c>
      <c r="H742" s="62" t="s">
        <v>94</v>
      </c>
      <c r="I742" s="101" t="s">
        <v>196</v>
      </c>
      <c r="J742" s="62" t="s">
        <v>40</v>
      </c>
      <c r="K742" s="67" t="s">
        <v>1339</v>
      </c>
      <c r="L742" s="104"/>
      <c r="M742" s="62"/>
      <c r="N742" s="62"/>
      <c r="O742" s="69" t="s">
        <v>1340</v>
      </c>
      <c r="P742" s="59" t="s">
        <v>42</v>
      </c>
      <c r="Q742" s="73" t="s">
        <v>43</v>
      </c>
      <c r="R742" s="62"/>
    </row>
    <row r="743" ht="27.6" spans="1:18">
      <c r="A743" s="58">
        <v>720</v>
      </c>
      <c r="B743" s="59">
        <v>45753</v>
      </c>
      <c r="C743" s="61" t="s">
        <v>49</v>
      </c>
      <c r="D743" s="61" t="s">
        <v>35</v>
      </c>
      <c r="E743" s="62" t="s">
        <v>73</v>
      </c>
      <c r="F743" s="62" t="s">
        <v>36</v>
      </c>
      <c r="G743" s="62" t="s">
        <v>65</v>
      </c>
      <c r="H743" s="62" t="s">
        <v>56</v>
      </c>
      <c r="I743" s="101" t="s">
        <v>215</v>
      </c>
      <c r="J743" s="62" t="s">
        <v>40</v>
      </c>
      <c r="K743" s="67" t="s">
        <v>216</v>
      </c>
      <c r="L743" s="104"/>
      <c r="M743" s="62"/>
      <c r="N743" s="62"/>
      <c r="O743" s="69" t="s">
        <v>1331</v>
      </c>
      <c r="P743" s="59" t="s">
        <v>42</v>
      </c>
      <c r="Q743" s="73" t="s">
        <v>43</v>
      </c>
      <c r="R743" s="62"/>
    </row>
    <row r="744" ht="13.8" spans="1:18">
      <c r="A744" s="58">
        <v>721</v>
      </c>
      <c r="B744" s="59">
        <v>45753</v>
      </c>
      <c r="C744" s="61" t="s">
        <v>191</v>
      </c>
      <c r="D744" s="61" t="s">
        <v>35</v>
      </c>
      <c r="E744" s="62" t="s">
        <v>73</v>
      </c>
      <c r="F744" s="62" t="s">
        <v>36</v>
      </c>
      <c r="G744" s="62" t="s">
        <v>61</v>
      </c>
      <c r="H744" s="62" t="s">
        <v>56</v>
      </c>
      <c r="I744" s="101" t="s">
        <v>1078</v>
      </c>
      <c r="J744" s="62" t="s">
        <v>40</v>
      </c>
      <c r="K744" s="67" t="s">
        <v>1079</v>
      </c>
      <c r="L744" s="103"/>
      <c r="M744" s="62"/>
      <c r="N744" s="62"/>
      <c r="O744" s="69"/>
      <c r="P744" s="59" t="s">
        <v>42</v>
      </c>
      <c r="Q744" s="73" t="s">
        <v>43</v>
      </c>
      <c r="R744" s="62"/>
    </row>
    <row r="745" ht="13.8" spans="1:18">
      <c r="A745" s="58">
        <v>722</v>
      </c>
      <c r="B745" s="59">
        <v>45753</v>
      </c>
      <c r="C745" s="61" t="s">
        <v>191</v>
      </c>
      <c r="D745" s="61" t="s">
        <v>35</v>
      </c>
      <c r="E745" s="62" t="s">
        <v>73</v>
      </c>
      <c r="F745" s="62" t="s">
        <v>36</v>
      </c>
      <c r="G745" s="62" t="s">
        <v>37</v>
      </c>
      <c r="H745" s="62" t="s">
        <v>56</v>
      </c>
      <c r="I745" s="101" t="s">
        <v>1341</v>
      </c>
      <c r="J745" s="62" t="s">
        <v>40</v>
      </c>
      <c r="K745" s="67" t="s">
        <v>1164</v>
      </c>
      <c r="L745" s="104"/>
      <c r="M745" s="62"/>
      <c r="N745" s="62"/>
      <c r="O745" s="69"/>
      <c r="P745" s="59" t="s">
        <v>42</v>
      </c>
      <c r="Q745" s="73" t="s">
        <v>43</v>
      </c>
      <c r="R745" s="62"/>
    </row>
    <row r="746" ht="27.6" spans="1:18">
      <c r="A746" s="58">
        <v>723</v>
      </c>
      <c r="B746" s="59">
        <v>45753</v>
      </c>
      <c r="C746" s="61" t="s">
        <v>208</v>
      </c>
      <c r="D746" s="61" t="s">
        <v>35</v>
      </c>
      <c r="E746" s="62" t="s">
        <v>73</v>
      </c>
      <c r="F746" s="62" t="s">
        <v>36</v>
      </c>
      <c r="G746" s="62" t="s">
        <v>37</v>
      </c>
      <c r="H746" s="62" t="s">
        <v>132</v>
      </c>
      <c r="I746" s="101" t="s">
        <v>1342</v>
      </c>
      <c r="J746" s="62" t="s">
        <v>91</v>
      </c>
      <c r="K746" s="67" t="s">
        <v>1343</v>
      </c>
      <c r="L746" s="104"/>
      <c r="M746" s="62"/>
      <c r="N746" s="62"/>
      <c r="O746" s="69"/>
      <c r="P746" s="59" t="s">
        <v>42</v>
      </c>
      <c r="Q746" s="73" t="s">
        <v>43</v>
      </c>
      <c r="R746" s="62"/>
    </row>
    <row r="747" ht="27.6" spans="1:18">
      <c r="A747" s="58">
        <v>724</v>
      </c>
      <c r="B747" s="59">
        <v>45754</v>
      </c>
      <c r="C747" s="61" t="s">
        <v>49</v>
      </c>
      <c r="D747" s="61" t="s">
        <v>35</v>
      </c>
      <c r="E747" s="62" t="s">
        <v>73</v>
      </c>
      <c r="F747" s="62" t="s">
        <v>192</v>
      </c>
      <c r="G747" s="62" t="s">
        <v>61</v>
      </c>
      <c r="H747" s="62" t="s">
        <v>51</v>
      </c>
      <c r="I747" s="101" t="s">
        <v>321</v>
      </c>
      <c r="J747" s="62" t="s">
        <v>137</v>
      </c>
      <c r="K747" s="67"/>
      <c r="L747" s="104"/>
      <c r="M747" s="62"/>
      <c r="N747" s="62"/>
      <c r="O747" s="69" t="s">
        <v>804</v>
      </c>
      <c r="P747" s="59" t="s">
        <v>42</v>
      </c>
      <c r="Q747" s="73" t="s">
        <v>8</v>
      </c>
      <c r="R747" s="62"/>
    </row>
    <row r="748" ht="13.8" spans="1:18">
      <c r="A748" s="58">
        <v>725</v>
      </c>
      <c r="B748" s="59">
        <v>45754</v>
      </c>
      <c r="C748" s="61" t="s">
        <v>49</v>
      </c>
      <c r="D748" s="61" t="s">
        <v>35</v>
      </c>
      <c r="E748" s="62" t="s">
        <v>73</v>
      </c>
      <c r="F748" s="62" t="s">
        <v>50</v>
      </c>
      <c r="G748" s="62" t="s">
        <v>131</v>
      </c>
      <c r="H748" s="62" t="s">
        <v>51</v>
      </c>
      <c r="I748" s="101" t="s">
        <v>1344</v>
      </c>
      <c r="J748" s="62" t="s">
        <v>53</v>
      </c>
      <c r="K748" s="67" t="s">
        <v>1345</v>
      </c>
      <c r="L748" s="104"/>
      <c r="M748" s="62"/>
      <c r="N748" s="62"/>
      <c r="O748" s="69"/>
      <c r="P748" s="59" t="s">
        <v>42</v>
      </c>
      <c r="Q748" s="73" t="s">
        <v>43</v>
      </c>
      <c r="R748" s="62"/>
    </row>
    <row r="749" ht="55.2" spans="1:18">
      <c r="A749" s="58">
        <v>726</v>
      </c>
      <c r="B749" s="59">
        <v>45754</v>
      </c>
      <c r="C749" s="61" t="s">
        <v>49</v>
      </c>
      <c r="D749" s="61" t="s">
        <v>35</v>
      </c>
      <c r="E749" s="62" t="s">
        <v>73</v>
      </c>
      <c r="F749" s="62" t="s">
        <v>36</v>
      </c>
      <c r="G749" s="62" t="s">
        <v>37</v>
      </c>
      <c r="H749" s="62" t="s">
        <v>66</v>
      </c>
      <c r="I749" s="101" t="s">
        <v>1346</v>
      </c>
      <c r="J749" s="62" t="s">
        <v>40</v>
      </c>
      <c r="K749" s="67" t="s">
        <v>99</v>
      </c>
      <c r="L749" s="104" t="s">
        <v>1347</v>
      </c>
      <c r="M749" s="62"/>
      <c r="N749" s="62"/>
      <c r="O749" s="69"/>
      <c r="P749" s="59" t="s">
        <v>42</v>
      </c>
      <c r="Q749" s="73" t="s">
        <v>43</v>
      </c>
      <c r="R749" s="62"/>
    </row>
    <row r="750" ht="27.6" spans="1:18">
      <c r="A750" s="58">
        <v>727</v>
      </c>
      <c r="B750" s="59">
        <v>45754</v>
      </c>
      <c r="C750" s="61" t="s">
        <v>191</v>
      </c>
      <c r="D750" s="61" t="s">
        <v>35</v>
      </c>
      <c r="E750" s="62" t="s">
        <v>73</v>
      </c>
      <c r="F750" s="62" t="s">
        <v>36</v>
      </c>
      <c r="G750" s="62" t="s">
        <v>65</v>
      </c>
      <c r="H750" s="62" t="s">
        <v>56</v>
      </c>
      <c r="I750" s="101" t="s">
        <v>1348</v>
      </c>
      <c r="J750" s="62" t="s">
        <v>40</v>
      </c>
      <c r="K750" s="67" t="s">
        <v>1349</v>
      </c>
      <c r="L750" s="104" t="s">
        <v>1350</v>
      </c>
      <c r="M750" s="62"/>
      <c r="N750" s="62"/>
      <c r="O750" s="69"/>
      <c r="P750" s="59" t="s">
        <v>42</v>
      </c>
      <c r="Q750" s="73" t="s">
        <v>43</v>
      </c>
      <c r="R750" s="62"/>
    </row>
    <row r="751" ht="27.6" spans="1:18">
      <c r="A751" s="58">
        <v>728</v>
      </c>
      <c r="B751" s="59">
        <v>45754</v>
      </c>
      <c r="C751" s="61" t="s">
        <v>208</v>
      </c>
      <c r="D751" s="61" t="s">
        <v>35</v>
      </c>
      <c r="E751" s="62" t="s">
        <v>73</v>
      </c>
      <c r="F751" s="62" t="s">
        <v>36</v>
      </c>
      <c r="G751" s="62" t="s">
        <v>61</v>
      </c>
      <c r="H751" s="62" t="s">
        <v>51</v>
      </c>
      <c r="I751" s="101" t="s">
        <v>1351</v>
      </c>
      <c r="J751" s="62" t="s">
        <v>40</v>
      </c>
      <c r="K751" s="67" t="s">
        <v>1352</v>
      </c>
      <c r="L751" s="103" t="s">
        <v>1353</v>
      </c>
      <c r="M751" s="62"/>
      <c r="N751" s="62"/>
      <c r="O751" s="69"/>
      <c r="P751" s="59" t="s">
        <v>42</v>
      </c>
      <c r="Q751" s="73" t="s">
        <v>43</v>
      </c>
      <c r="R751" s="62"/>
    </row>
    <row r="752" ht="13.8" spans="1:18">
      <c r="A752" s="58">
        <v>729</v>
      </c>
      <c r="B752" s="59">
        <v>45755</v>
      </c>
      <c r="C752" s="61" t="s">
        <v>49</v>
      </c>
      <c r="D752" s="61" t="s">
        <v>35</v>
      </c>
      <c r="E752" s="62" t="s">
        <v>73</v>
      </c>
      <c r="F752" s="62" t="s">
        <v>192</v>
      </c>
      <c r="G752" s="62" t="s">
        <v>37</v>
      </c>
      <c r="H752" s="62" t="s">
        <v>46</v>
      </c>
      <c r="I752" s="101" t="s">
        <v>1088</v>
      </c>
      <c r="J752" s="62" t="s">
        <v>137</v>
      </c>
      <c r="K752" s="67" t="s">
        <v>194</v>
      </c>
      <c r="L752" s="103"/>
      <c r="M752" s="62"/>
      <c r="N752" s="62"/>
      <c r="O752" s="69" t="s">
        <v>1340</v>
      </c>
      <c r="P752" s="59" t="s">
        <v>42</v>
      </c>
      <c r="Q752" s="73" t="s">
        <v>8</v>
      </c>
      <c r="R752" s="62"/>
    </row>
    <row r="753" ht="27.6" spans="1:18">
      <c r="A753" s="58">
        <v>730</v>
      </c>
      <c r="B753" s="59">
        <v>45755</v>
      </c>
      <c r="C753" s="61" t="s">
        <v>191</v>
      </c>
      <c r="D753" s="61" t="s">
        <v>35</v>
      </c>
      <c r="E753" s="62" t="s">
        <v>73</v>
      </c>
      <c r="F753" s="62" t="s">
        <v>50</v>
      </c>
      <c r="G753" s="62" t="s">
        <v>55</v>
      </c>
      <c r="H753" s="62" t="s">
        <v>51</v>
      </c>
      <c r="I753" s="101" t="s">
        <v>199</v>
      </c>
      <c r="J753" s="62" t="s">
        <v>53</v>
      </c>
      <c r="K753" s="67" t="s">
        <v>1354</v>
      </c>
      <c r="L753" s="103"/>
      <c r="M753" s="62"/>
      <c r="N753" s="62"/>
      <c r="O753" s="69"/>
      <c r="P753" s="59" t="s">
        <v>42</v>
      </c>
      <c r="Q753" s="73" t="s">
        <v>43</v>
      </c>
      <c r="R753" s="62"/>
    </row>
    <row r="754" ht="13.8" spans="1:18">
      <c r="A754" s="58">
        <v>731</v>
      </c>
      <c r="B754" s="59">
        <v>45755</v>
      </c>
      <c r="C754" s="61" t="s">
        <v>49</v>
      </c>
      <c r="D754" s="61" t="s">
        <v>35</v>
      </c>
      <c r="E754" s="62" t="s">
        <v>73</v>
      </c>
      <c r="F754" s="62" t="s">
        <v>50</v>
      </c>
      <c r="G754" s="62" t="s">
        <v>131</v>
      </c>
      <c r="H754" s="62" t="s">
        <v>51</v>
      </c>
      <c r="I754" s="101" t="s">
        <v>367</v>
      </c>
      <c r="J754" s="62" t="s">
        <v>53</v>
      </c>
      <c r="K754" s="67" t="s">
        <v>1355</v>
      </c>
      <c r="L754" s="103"/>
      <c r="M754" s="62"/>
      <c r="N754" s="62"/>
      <c r="O754" s="69" t="s">
        <v>1356</v>
      </c>
      <c r="P754" s="59" t="s">
        <v>42</v>
      </c>
      <c r="Q754" s="73" t="s">
        <v>43</v>
      </c>
      <c r="R754" s="62"/>
    </row>
    <row r="755" ht="13.8" spans="1:18">
      <c r="A755" s="58">
        <v>732</v>
      </c>
      <c r="B755" s="59">
        <v>45755</v>
      </c>
      <c r="C755" s="61" t="s">
        <v>191</v>
      </c>
      <c r="D755" s="61" t="s">
        <v>35</v>
      </c>
      <c r="E755" s="62" t="s">
        <v>73</v>
      </c>
      <c r="F755" s="62" t="s">
        <v>36</v>
      </c>
      <c r="G755" s="62" t="s">
        <v>131</v>
      </c>
      <c r="H755" s="62" t="s">
        <v>56</v>
      </c>
      <c r="I755" s="101" t="s">
        <v>455</v>
      </c>
      <c r="J755" s="62" t="s">
        <v>40</v>
      </c>
      <c r="K755" s="67" t="s">
        <v>456</v>
      </c>
      <c r="L755" s="103"/>
      <c r="M755" s="62"/>
      <c r="N755" s="62"/>
      <c r="O755" s="69"/>
      <c r="P755" s="59" t="s">
        <v>42</v>
      </c>
      <c r="Q755" s="73" t="s">
        <v>43</v>
      </c>
      <c r="R755" s="62"/>
    </row>
    <row r="756" ht="13.8" spans="1:18">
      <c r="A756" s="58">
        <v>733</v>
      </c>
      <c r="B756" s="59">
        <v>45756</v>
      </c>
      <c r="C756" s="61" t="s">
        <v>49</v>
      </c>
      <c r="D756" s="61" t="s">
        <v>35</v>
      </c>
      <c r="E756" s="62" t="s">
        <v>73</v>
      </c>
      <c r="F756" s="62" t="s">
        <v>50</v>
      </c>
      <c r="G756" s="62" t="s">
        <v>65</v>
      </c>
      <c r="H756" s="62" t="s">
        <v>51</v>
      </c>
      <c r="I756" s="101" t="s">
        <v>1357</v>
      </c>
      <c r="J756" s="62" t="s">
        <v>53</v>
      </c>
      <c r="K756" s="67" t="s">
        <v>222</v>
      </c>
      <c r="L756" s="104"/>
      <c r="M756" s="62"/>
      <c r="N756" s="63"/>
      <c r="O756" s="69"/>
      <c r="P756" s="59" t="s">
        <v>42</v>
      </c>
      <c r="Q756" s="73" t="s">
        <v>43</v>
      </c>
      <c r="R756" s="62"/>
    </row>
    <row r="757" ht="27.6" spans="1:18">
      <c r="A757" s="58">
        <v>734</v>
      </c>
      <c r="B757" s="59">
        <v>45756</v>
      </c>
      <c r="C757" s="61" t="s">
        <v>49</v>
      </c>
      <c r="D757" s="61" t="s">
        <v>35</v>
      </c>
      <c r="E757" s="62" t="s">
        <v>73</v>
      </c>
      <c r="F757" s="62" t="s">
        <v>50</v>
      </c>
      <c r="G757" s="62" t="s">
        <v>131</v>
      </c>
      <c r="H757" s="62" t="s">
        <v>94</v>
      </c>
      <c r="I757" s="101" t="s">
        <v>415</v>
      </c>
      <c r="J757" s="62" t="s">
        <v>91</v>
      </c>
      <c r="K757" s="67" t="s">
        <v>1358</v>
      </c>
      <c r="L757" s="104"/>
      <c r="M757" s="62"/>
      <c r="N757" s="62"/>
      <c r="O757" s="69"/>
      <c r="P757" s="59" t="s">
        <v>42</v>
      </c>
      <c r="Q757" s="73" t="s">
        <v>43</v>
      </c>
      <c r="R757" s="62"/>
    </row>
    <row r="758" ht="13.8" spans="1:18">
      <c r="A758" s="58">
        <v>735</v>
      </c>
      <c r="B758" s="59">
        <v>45756</v>
      </c>
      <c r="C758" s="61" t="s">
        <v>191</v>
      </c>
      <c r="D758" s="61" t="s">
        <v>35</v>
      </c>
      <c r="E758" s="62" t="s">
        <v>73</v>
      </c>
      <c r="F758" s="62" t="s">
        <v>50</v>
      </c>
      <c r="G758" s="62" t="s">
        <v>37</v>
      </c>
      <c r="H758" s="62" t="s">
        <v>94</v>
      </c>
      <c r="I758" s="101" t="s">
        <v>196</v>
      </c>
      <c r="J758" s="62" t="s">
        <v>91</v>
      </c>
      <c r="K758" s="67" t="s">
        <v>1359</v>
      </c>
      <c r="L758" s="103"/>
      <c r="M758" s="62"/>
      <c r="N758" s="62"/>
      <c r="O758" s="69"/>
      <c r="P758" s="59" t="s">
        <v>42</v>
      </c>
      <c r="Q758" s="73" t="s">
        <v>43</v>
      </c>
      <c r="R758" s="62"/>
    </row>
    <row r="759" ht="13.8" spans="1:18">
      <c r="A759" s="58">
        <v>736</v>
      </c>
      <c r="B759" s="59">
        <v>45756</v>
      </c>
      <c r="C759" s="61" t="s">
        <v>49</v>
      </c>
      <c r="D759" s="61" t="s">
        <v>35</v>
      </c>
      <c r="E759" s="62" t="s">
        <v>73</v>
      </c>
      <c r="F759" s="62" t="s">
        <v>192</v>
      </c>
      <c r="G759" s="62" t="s">
        <v>131</v>
      </c>
      <c r="H759" s="62" t="s">
        <v>132</v>
      </c>
      <c r="I759" s="101" t="s">
        <v>193</v>
      </c>
      <c r="J759" s="62" t="s">
        <v>137</v>
      </c>
      <c r="K759" s="67" t="s">
        <v>194</v>
      </c>
      <c r="L759" s="103"/>
      <c r="M759" s="62"/>
      <c r="N759" s="62"/>
      <c r="O759" s="69"/>
      <c r="P759" s="59" t="s">
        <v>42</v>
      </c>
      <c r="Q759" s="73" t="s">
        <v>8</v>
      </c>
      <c r="R759" s="62"/>
    </row>
    <row r="760" ht="13.8" spans="1:18">
      <c r="A760" s="58">
        <v>737</v>
      </c>
      <c r="B760" s="59">
        <v>45756</v>
      </c>
      <c r="C760" s="61" t="s">
        <v>208</v>
      </c>
      <c r="D760" s="61" t="s">
        <v>35</v>
      </c>
      <c r="E760" s="62" t="s">
        <v>73</v>
      </c>
      <c r="F760" s="62" t="s">
        <v>36</v>
      </c>
      <c r="G760" s="62" t="s">
        <v>131</v>
      </c>
      <c r="H760" s="62" t="s">
        <v>56</v>
      </c>
      <c r="I760" s="101" t="s">
        <v>1149</v>
      </c>
      <c r="J760" s="62" t="s">
        <v>40</v>
      </c>
      <c r="K760" s="67" t="s">
        <v>1150</v>
      </c>
      <c r="L760" s="103"/>
      <c r="M760" s="62"/>
      <c r="N760" s="62"/>
      <c r="O760" s="69" t="s">
        <v>1360</v>
      </c>
      <c r="P760" s="59" t="s">
        <v>42</v>
      </c>
      <c r="Q760" s="73" t="s">
        <v>43</v>
      </c>
      <c r="R760" s="62"/>
    </row>
    <row r="761" ht="27.6" spans="1:18">
      <c r="A761" s="58">
        <v>738</v>
      </c>
      <c r="B761" s="59">
        <v>45756</v>
      </c>
      <c r="C761" s="61" t="s">
        <v>49</v>
      </c>
      <c r="D761" s="61" t="s">
        <v>35</v>
      </c>
      <c r="E761" s="62" t="s">
        <v>73</v>
      </c>
      <c r="F761" s="62" t="s">
        <v>36</v>
      </c>
      <c r="G761" s="62" t="s">
        <v>61</v>
      </c>
      <c r="H761" s="62" t="s">
        <v>56</v>
      </c>
      <c r="I761" s="101" t="s">
        <v>1151</v>
      </c>
      <c r="J761" s="62" t="s">
        <v>40</v>
      </c>
      <c r="K761" s="67" t="s">
        <v>1152</v>
      </c>
      <c r="L761" s="103"/>
      <c r="M761" s="62"/>
      <c r="N761" s="62"/>
      <c r="O761" s="69" t="s">
        <v>1361</v>
      </c>
      <c r="P761" s="59" t="s">
        <v>42</v>
      </c>
      <c r="Q761" s="73" t="s">
        <v>43</v>
      </c>
      <c r="R761" s="62"/>
    </row>
    <row r="762" ht="27.6" spans="1:18">
      <c r="A762" s="58">
        <v>739</v>
      </c>
      <c r="B762" s="59">
        <v>45756</v>
      </c>
      <c r="C762" s="61" t="s">
        <v>49</v>
      </c>
      <c r="D762" s="61" t="s">
        <v>35</v>
      </c>
      <c r="E762" s="62" t="s">
        <v>73</v>
      </c>
      <c r="F762" s="62" t="s">
        <v>36</v>
      </c>
      <c r="G762" s="62" t="s">
        <v>131</v>
      </c>
      <c r="H762" s="62" t="s">
        <v>56</v>
      </c>
      <c r="I762" s="101" t="s">
        <v>215</v>
      </c>
      <c r="J762" s="62" t="s">
        <v>40</v>
      </c>
      <c r="K762" s="67" t="s">
        <v>216</v>
      </c>
      <c r="L762" s="103"/>
      <c r="M762" s="62"/>
      <c r="N762" s="62"/>
      <c r="O762" s="69" t="s">
        <v>1331</v>
      </c>
      <c r="P762" s="59" t="s">
        <v>42</v>
      </c>
      <c r="Q762" s="73" t="s">
        <v>43</v>
      </c>
      <c r="R762" s="62"/>
    </row>
    <row r="763" ht="27.6" spans="1:18">
      <c r="A763" s="58">
        <v>740</v>
      </c>
      <c r="B763" s="59">
        <v>45756</v>
      </c>
      <c r="C763" s="61" t="s">
        <v>49</v>
      </c>
      <c r="D763" s="61" t="s">
        <v>35</v>
      </c>
      <c r="E763" s="62" t="s">
        <v>73</v>
      </c>
      <c r="F763" s="62" t="s">
        <v>36</v>
      </c>
      <c r="G763" s="62" t="s">
        <v>61</v>
      </c>
      <c r="H763" s="62" t="s">
        <v>66</v>
      </c>
      <c r="I763" s="101" t="s">
        <v>457</v>
      </c>
      <c r="J763" s="62" t="s">
        <v>40</v>
      </c>
      <c r="K763" s="67" t="s">
        <v>1362</v>
      </c>
      <c r="L763" s="103"/>
      <c r="M763" s="62"/>
      <c r="N763" s="62"/>
      <c r="O763" s="69"/>
      <c r="P763" s="59" t="s">
        <v>42</v>
      </c>
      <c r="Q763" s="73" t="s">
        <v>43</v>
      </c>
      <c r="R763" s="62"/>
    </row>
    <row r="764" ht="13.8" spans="1:18">
      <c r="A764" s="58">
        <v>741</v>
      </c>
      <c r="B764" s="59">
        <v>45756</v>
      </c>
      <c r="C764" s="61" t="s">
        <v>191</v>
      </c>
      <c r="D764" s="61" t="s">
        <v>35</v>
      </c>
      <c r="E764" s="62" t="s">
        <v>73</v>
      </c>
      <c r="F764" s="62" t="s">
        <v>36</v>
      </c>
      <c r="G764" s="62" t="s">
        <v>37</v>
      </c>
      <c r="H764" s="62" t="s">
        <v>56</v>
      </c>
      <c r="I764" s="101" t="s">
        <v>187</v>
      </c>
      <c r="J764" s="62" t="s">
        <v>40</v>
      </c>
      <c r="K764" s="67" t="s">
        <v>188</v>
      </c>
      <c r="L764" s="103"/>
      <c r="M764" s="62"/>
      <c r="N764" s="62"/>
      <c r="O764" s="69"/>
      <c r="P764" s="59" t="s">
        <v>42</v>
      </c>
      <c r="Q764" s="73" t="s">
        <v>43</v>
      </c>
      <c r="R764" s="62"/>
    </row>
    <row r="765" ht="41.4" spans="1:18">
      <c r="A765" s="58">
        <v>742</v>
      </c>
      <c r="B765" s="59">
        <v>45756</v>
      </c>
      <c r="C765" s="61" t="s">
        <v>49</v>
      </c>
      <c r="D765" s="61" t="s">
        <v>35</v>
      </c>
      <c r="E765" s="62" t="s">
        <v>73</v>
      </c>
      <c r="F765" s="65" t="s">
        <v>36</v>
      </c>
      <c r="G765" s="65" t="s">
        <v>61</v>
      </c>
      <c r="H765" s="65" t="s">
        <v>51</v>
      </c>
      <c r="I765" s="101" t="s">
        <v>1363</v>
      </c>
      <c r="J765" s="65" t="s">
        <v>40</v>
      </c>
      <c r="K765" s="67" t="s">
        <v>1364</v>
      </c>
      <c r="L765" s="103" t="s">
        <v>1365</v>
      </c>
      <c r="M765" s="65"/>
      <c r="N765" s="65"/>
      <c r="O765" s="69"/>
      <c r="P765" s="59" t="s">
        <v>42</v>
      </c>
      <c r="Q765" s="73" t="s">
        <v>43</v>
      </c>
      <c r="R765" s="65"/>
    </row>
    <row r="766" ht="41.4" spans="1:18">
      <c r="A766" s="58">
        <v>743</v>
      </c>
      <c r="B766" s="59">
        <v>45756</v>
      </c>
      <c r="C766" s="61" t="s">
        <v>191</v>
      </c>
      <c r="D766" s="61" t="s">
        <v>35</v>
      </c>
      <c r="E766" s="62" t="s">
        <v>73</v>
      </c>
      <c r="F766" s="62" t="s">
        <v>36</v>
      </c>
      <c r="G766" s="62" t="s">
        <v>65</v>
      </c>
      <c r="H766" s="62" t="s">
        <v>128</v>
      </c>
      <c r="I766" s="101" t="s">
        <v>1366</v>
      </c>
      <c r="J766" s="62" t="s">
        <v>40</v>
      </c>
      <c r="K766" s="67" t="s">
        <v>1367</v>
      </c>
      <c r="L766" s="103" t="s">
        <v>1368</v>
      </c>
      <c r="M766" s="62"/>
      <c r="N766" s="62"/>
      <c r="O766" s="69"/>
      <c r="P766" s="59" t="s">
        <v>42</v>
      </c>
      <c r="Q766" s="73" t="s">
        <v>43</v>
      </c>
      <c r="R766" s="62"/>
    </row>
    <row r="767" ht="13.8" spans="1:18">
      <c r="A767" s="58">
        <v>744</v>
      </c>
      <c r="B767" s="59">
        <v>45757</v>
      </c>
      <c r="C767" s="61" t="s">
        <v>191</v>
      </c>
      <c r="D767" s="61" t="s">
        <v>35</v>
      </c>
      <c r="E767" s="62" t="s">
        <v>73</v>
      </c>
      <c r="F767" s="62" t="s">
        <v>36</v>
      </c>
      <c r="G767" s="62" t="s">
        <v>131</v>
      </c>
      <c r="H767" s="62" t="s">
        <v>56</v>
      </c>
      <c r="I767" s="101" t="s">
        <v>1166</v>
      </c>
      <c r="J767" s="62" t="s">
        <v>40</v>
      </c>
      <c r="K767" s="67" t="s">
        <v>1332</v>
      </c>
      <c r="L767" s="103"/>
      <c r="M767" s="62"/>
      <c r="N767" s="62"/>
      <c r="O767" s="69"/>
      <c r="P767" s="59" t="s">
        <v>42</v>
      </c>
      <c r="Q767" s="73" t="s">
        <v>43</v>
      </c>
      <c r="R767" s="62"/>
    </row>
    <row r="768" ht="13.8" spans="1:18">
      <c r="A768" s="58">
        <v>745</v>
      </c>
      <c r="B768" s="59">
        <v>45757</v>
      </c>
      <c r="C768" s="61" t="s">
        <v>208</v>
      </c>
      <c r="D768" s="61" t="s">
        <v>35</v>
      </c>
      <c r="E768" s="62" t="s">
        <v>73</v>
      </c>
      <c r="F768" s="62" t="s">
        <v>36</v>
      </c>
      <c r="G768" s="62" t="s">
        <v>65</v>
      </c>
      <c r="H768" s="62" t="s">
        <v>38</v>
      </c>
      <c r="I768" s="101" t="s">
        <v>1369</v>
      </c>
      <c r="J768" s="62" t="s">
        <v>40</v>
      </c>
      <c r="K768" s="67" t="s">
        <v>1370</v>
      </c>
      <c r="L768" s="103"/>
      <c r="M768" s="62"/>
      <c r="N768" s="62"/>
      <c r="O768" s="69"/>
      <c r="P768" s="59" t="s">
        <v>42</v>
      </c>
      <c r="Q768" s="73" t="s">
        <v>43</v>
      </c>
      <c r="R768" s="62"/>
    </row>
    <row r="769" ht="27.6" spans="1:18">
      <c r="A769" s="58">
        <v>746</v>
      </c>
      <c r="B769" s="59">
        <v>45757</v>
      </c>
      <c r="C769" s="61" t="s">
        <v>49</v>
      </c>
      <c r="D769" s="61" t="s">
        <v>35</v>
      </c>
      <c r="E769" s="62" t="s">
        <v>73</v>
      </c>
      <c r="F769" s="62" t="s">
        <v>36</v>
      </c>
      <c r="G769" s="62" t="s">
        <v>131</v>
      </c>
      <c r="H769" s="62" t="s">
        <v>56</v>
      </c>
      <c r="I769" s="101" t="s">
        <v>1371</v>
      </c>
      <c r="J769" s="62" t="s">
        <v>40</v>
      </c>
      <c r="K769" s="67" t="s">
        <v>1372</v>
      </c>
      <c r="L769" s="103"/>
      <c r="M769" s="62"/>
      <c r="N769" s="62"/>
      <c r="O769" s="69"/>
      <c r="P769" s="59" t="s">
        <v>42</v>
      </c>
      <c r="Q769" s="73" t="s">
        <v>43</v>
      </c>
      <c r="R769" s="62"/>
    </row>
    <row r="770" ht="13.8" spans="1:18">
      <c r="A770" s="58">
        <v>747</v>
      </c>
      <c r="B770" s="59">
        <v>45759</v>
      </c>
      <c r="C770" s="61" t="s">
        <v>208</v>
      </c>
      <c r="D770" s="61" t="s">
        <v>35</v>
      </c>
      <c r="E770" s="62" t="s">
        <v>73</v>
      </c>
      <c r="F770" s="62" t="s">
        <v>50</v>
      </c>
      <c r="G770" s="62" t="s">
        <v>899</v>
      </c>
      <c r="H770" s="62" t="s">
        <v>51</v>
      </c>
      <c r="I770" s="101" t="s">
        <v>1373</v>
      </c>
      <c r="J770" s="62" t="s">
        <v>91</v>
      </c>
      <c r="K770" s="67" t="s">
        <v>1374</v>
      </c>
      <c r="L770" s="103"/>
      <c r="M770" s="62"/>
      <c r="N770" s="62"/>
      <c r="O770" s="69"/>
      <c r="P770" s="59" t="s">
        <v>42</v>
      </c>
      <c r="Q770" s="73" t="s">
        <v>43</v>
      </c>
      <c r="R770" s="62"/>
    </row>
    <row r="771" ht="13.8" spans="1:18">
      <c r="A771" s="58">
        <v>748</v>
      </c>
      <c r="B771" s="59">
        <v>45759</v>
      </c>
      <c r="C771" s="61" t="s">
        <v>208</v>
      </c>
      <c r="D771" s="61" t="s">
        <v>35</v>
      </c>
      <c r="E771" s="62" t="s">
        <v>73</v>
      </c>
      <c r="F771" s="62" t="s">
        <v>50</v>
      </c>
      <c r="G771" s="62" t="s">
        <v>131</v>
      </c>
      <c r="H771" s="62" t="s">
        <v>66</v>
      </c>
      <c r="I771" s="101" t="s">
        <v>1312</v>
      </c>
      <c r="J771" s="62" t="s">
        <v>53</v>
      </c>
      <c r="K771" s="67" t="s">
        <v>1375</v>
      </c>
      <c r="L771" s="103"/>
      <c r="M771" s="62"/>
      <c r="N771" s="62"/>
      <c r="O771" s="69"/>
      <c r="P771" s="59" t="s">
        <v>42</v>
      </c>
      <c r="Q771" s="73" t="s">
        <v>43</v>
      </c>
      <c r="R771" s="62"/>
    </row>
    <row r="772" ht="13.8" spans="1:18">
      <c r="A772" s="58">
        <v>749</v>
      </c>
      <c r="B772" s="59">
        <v>45759</v>
      </c>
      <c r="C772" s="61" t="s">
        <v>49</v>
      </c>
      <c r="D772" s="61" t="s">
        <v>35</v>
      </c>
      <c r="E772" s="62" t="s">
        <v>73</v>
      </c>
      <c r="F772" s="62" t="s">
        <v>50</v>
      </c>
      <c r="G772" s="62" t="s">
        <v>131</v>
      </c>
      <c r="H772" s="62" t="s">
        <v>51</v>
      </c>
      <c r="I772" s="101" t="s">
        <v>221</v>
      </c>
      <c r="J772" s="62" t="s">
        <v>53</v>
      </c>
      <c r="K772" s="67" t="s">
        <v>222</v>
      </c>
      <c r="L772" s="103"/>
      <c r="M772" s="62"/>
      <c r="N772" s="62"/>
      <c r="O772" s="69" t="s">
        <v>1376</v>
      </c>
      <c r="P772" s="59" t="s">
        <v>42</v>
      </c>
      <c r="Q772" s="73" t="s">
        <v>43</v>
      </c>
      <c r="R772" s="62"/>
    </row>
    <row r="773" ht="13.8" spans="1:18">
      <c r="A773" s="58">
        <v>750</v>
      </c>
      <c r="B773" s="59">
        <v>45759</v>
      </c>
      <c r="C773" s="61" t="s">
        <v>191</v>
      </c>
      <c r="D773" s="61" t="s">
        <v>35</v>
      </c>
      <c r="E773" s="62" t="s">
        <v>73</v>
      </c>
      <c r="F773" s="62" t="s">
        <v>36</v>
      </c>
      <c r="G773" s="62" t="s">
        <v>82</v>
      </c>
      <c r="H773" s="62" t="s">
        <v>128</v>
      </c>
      <c r="I773" s="101" t="s">
        <v>1031</v>
      </c>
      <c r="J773" s="62" t="s">
        <v>40</v>
      </c>
      <c r="K773" s="67" t="s">
        <v>1032</v>
      </c>
      <c r="L773" s="103"/>
      <c r="M773" s="62"/>
      <c r="N773" s="62"/>
      <c r="O773" s="69" t="s">
        <v>1325</v>
      </c>
      <c r="P773" s="59" t="s">
        <v>42</v>
      </c>
      <c r="Q773" s="73" t="s">
        <v>43</v>
      </c>
      <c r="R773" s="62"/>
    </row>
    <row r="774" ht="27.6" spans="1:18">
      <c r="A774" s="58">
        <v>751</v>
      </c>
      <c r="B774" s="59">
        <v>45759</v>
      </c>
      <c r="C774" s="61" t="s">
        <v>191</v>
      </c>
      <c r="D774" s="61" t="s">
        <v>35</v>
      </c>
      <c r="E774" s="62" t="s">
        <v>73</v>
      </c>
      <c r="F774" s="62" t="s">
        <v>36</v>
      </c>
      <c r="G774" s="62" t="s">
        <v>37</v>
      </c>
      <c r="H774" s="62" t="s">
        <v>56</v>
      </c>
      <c r="I774" s="101" t="s">
        <v>178</v>
      </c>
      <c r="J774" s="62" t="s">
        <v>40</v>
      </c>
      <c r="K774" s="67" t="s">
        <v>179</v>
      </c>
      <c r="L774" s="103"/>
      <c r="M774" s="62"/>
      <c r="N774" s="62"/>
      <c r="O774" s="69" t="s">
        <v>1331</v>
      </c>
      <c r="P774" s="59" t="s">
        <v>42</v>
      </c>
      <c r="Q774" s="73" t="s">
        <v>43</v>
      </c>
      <c r="R774" s="62"/>
    </row>
    <row r="775" ht="13.8" spans="1:18">
      <c r="A775" s="58">
        <v>752</v>
      </c>
      <c r="B775" s="59">
        <v>45759</v>
      </c>
      <c r="C775" s="61" t="s">
        <v>191</v>
      </c>
      <c r="D775" s="61" t="s">
        <v>35</v>
      </c>
      <c r="E775" s="62" t="s">
        <v>73</v>
      </c>
      <c r="F775" s="62" t="s">
        <v>36</v>
      </c>
      <c r="G775" s="62" t="s">
        <v>131</v>
      </c>
      <c r="H775" s="62" t="s">
        <v>56</v>
      </c>
      <c r="I775" s="101" t="s">
        <v>429</v>
      </c>
      <c r="J775" s="62" t="s">
        <v>40</v>
      </c>
      <c r="K775" s="67" t="s">
        <v>430</v>
      </c>
      <c r="L775" s="103"/>
      <c r="M775" s="62"/>
      <c r="N775" s="62"/>
      <c r="O775" s="69"/>
      <c r="P775" s="59" t="s">
        <v>42</v>
      </c>
      <c r="Q775" s="73" t="s">
        <v>43</v>
      </c>
      <c r="R775" s="62"/>
    </row>
    <row r="776" ht="27.6" spans="1:18">
      <c r="A776" s="58">
        <v>753</v>
      </c>
      <c r="B776" s="59">
        <v>45760</v>
      </c>
      <c r="C776" s="61" t="s">
        <v>49</v>
      </c>
      <c r="D776" s="61" t="s">
        <v>35</v>
      </c>
      <c r="E776" s="62" t="s">
        <v>73</v>
      </c>
      <c r="F776" s="62" t="s">
        <v>36</v>
      </c>
      <c r="G776" s="62" t="s">
        <v>61</v>
      </c>
      <c r="H776" s="62" t="s">
        <v>56</v>
      </c>
      <c r="I776" s="101" t="s">
        <v>1377</v>
      </c>
      <c r="J776" s="62" t="s">
        <v>40</v>
      </c>
      <c r="K776" s="67" t="s">
        <v>1378</v>
      </c>
      <c r="L776" s="103"/>
      <c r="M776" s="62"/>
      <c r="N776" s="62"/>
      <c r="O776" s="69"/>
      <c r="P776" s="59" t="s">
        <v>42</v>
      </c>
      <c r="Q776" s="73" t="s">
        <v>43</v>
      </c>
      <c r="R776" s="62"/>
    </row>
    <row r="777" ht="27.6" spans="1:18">
      <c r="A777" s="58">
        <v>754</v>
      </c>
      <c r="B777" s="59">
        <v>45760</v>
      </c>
      <c r="C777" s="61" t="s">
        <v>208</v>
      </c>
      <c r="D777" s="61" t="s">
        <v>35</v>
      </c>
      <c r="E777" s="62" t="s">
        <v>73</v>
      </c>
      <c r="F777" s="62" t="s">
        <v>36</v>
      </c>
      <c r="G777" s="62" t="s">
        <v>131</v>
      </c>
      <c r="H777" s="62" t="s">
        <v>56</v>
      </c>
      <c r="I777" s="101" t="s">
        <v>1379</v>
      </c>
      <c r="J777" s="62" t="s">
        <v>40</v>
      </c>
      <c r="K777" s="67" t="s">
        <v>572</v>
      </c>
      <c r="L777" s="103"/>
      <c r="M777" s="62"/>
      <c r="N777" s="62"/>
      <c r="O777" s="69"/>
      <c r="P777" s="59" t="s">
        <v>42</v>
      </c>
      <c r="Q777" s="73" t="s">
        <v>43</v>
      </c>
      <c r="R777" s="62"/>
    </row>
    <row r="778" ht="13.8" spans="1:18">
      <c r="A778" s="58">
        <v>755</v>
      </c>
      <c r="B778" s="59">
        <v>45760</v>
      </c>
      <c r="C778" s="61" t="s">
        <v>49</v>
      </c>
      <c r="D778" s="61" t="s">
        <v>35</v>
      </c>
      <c r="E778" s="62" t="s">
        <v>73</v>
      </c>
      <c r="F778" s="62" t="s">
        <v>36</v>
      </c>
      <c r="G778" s="62" t="s">
        <v>131</v>
      </c>
      <c r="H778" s="62" t="s">
        <v>56</v>
      </c>
      <c r="I778" s="101" t="s">
        <v>1380</v>
      </c>
      <c r="J778" s="62" t="s">
        <v>40</v>
      </c>
      <c r="K778" s="67" t="s">
        <v>572</v>
      </c>
      <c r="L778" s="103"/>
      <c r="M778" s="62"/>
      <c r="N778" s="62"/>
      <c r="O778" s="69"/>
      <c r="P778" s="59" t="s">
        <v>42</v>
      </c>
      <c r="Q778" s="73" t="s">
        <v>43</v>
      </c>
      <c r="R778" s="62"/>
    </row>
    <row r="779" ht="41.4" spans="1:18">
      <c r="A779" s="58">
        <v>756</v>
      </c>
      <c r="B779" s="59">
        <v>45760</v>
      </c>
      <c r="C779" s="61" t="s">
        <v>191</v>
      </c>
      <c r="D779" s="61" t="s">
        <v>35</v>
      </c>
      <c r="E779" s="63" t="s">
        <v>73</v>
      </c>
      <c r="F779" s="62" t="s">
        <v>36</v>
      </c>
      <c r="G779" s="62" t="s">
        <v>37</v>
      </c>
      <c r="H779" s="62" t="s">
        <v>97</v>
      </c>
      <c r="I779" s="101" t="s">
        <v>1381</v>
      </c>
      <c r="J779" s="62" t="s">
        <v>40</v>
      </c>
      <c r="K779" s="67" t="s">
        <v>1382</v>
      </c>
      <c r="L779" s="103" t="s">
        <v>1383</v>
      </c>
      <c r="M779" s="62"/>
      <c r="N779" s="62"/>
      <c r="O779" s="69"/>
      <c r="P779" s="59" t="s">
        <v>42</v>
      </c>
      <c r="Q779" s="73" t="s">
        <v>43</v>
      </c>
      <c r="R779" s="62"/>
    </row>
    <row r="780" ht="41.4" spans="1:18">
      <c r="A780" s="58">
        <v>757</v>
      </c>
      <c r="B780" s="59">
        <v>45760</v>
      </c>
      <c r="C780" s="61" t="s">
        <v>49</v>
      </c>
      <c r="D780" s="61" t="s">
        <v>35</v>
      </c>
      <c r="E780" s="62" t="s">
        <v>73</v>
      </c>
      <c r="F780" s="62" t="s">
        <v>36</v>
      </c>
      <c r="G780" s="62" t="s">
        <v>55</v>
      </c>
      <c r="H780" s="62" t="s">
        <v>97</v>
      </c>
      <c r="I780" s="101" t="s">
        <v>1384</v>
      </c>
      <c r="J780" s="62" t="s">
        <v>40</v>
      </c>
      <c r="K780" s="67" t="s">
        <v>1385</v>
      </c>
      <c r="L780" s="103" t="s">
        <v>1386</v>
      </c>
      <c r="M780" s="62"/>
      <c r="N780" s="62"/>
      <c r="O780" s="69"/>
      <c r="P780" s="59" t="s">
        <v>42</v>
      </c>
      <c r="Q780" s="73" t="s">
        <v>43</v>
      </c>
      <c r="R780" s="62"/>
    </row>
    <row r="781" ht="41.4" spans="1:18">
      <c r="A781" s="58">
        <v>758</v>
      </c>
      <c r="B781" s="59">
        <v>45760</v>
      </c>
      <c r="C781" s="61" t="s">
        <v>49</v>
      </c>
      <c r="D781" s="61" t="s">
        <v>35</v>
      </c>
      <c r="E781" s="62" t="s">
        <v>73</v>
      </c>
      <c r="F781" s="62" t="s">
        <v>36</v>
      </c>
      <c r="G781" s="62" t="s">
        <v>131</v>
      </c>
      <c r="H781" s="62" t="s">
        <v>66</v>
      </c>
      <c r="I781" s="101" t="s">
        <v>1387</v>
      </c>
      <c r="J781" s="62" t="s">
        <v>40</v>
      </c>
      <c r="K781" s="67" t="s">
        <v>856</v>
      </c>
      <c r="L781" s="103" t="s">
        <v>1388</v>
      </c>
      <c r="M781" s="62"/>
      <c r="N781" s="62"/>
      <c r="O781" s="69"/>
      <c r="P781" s="59" t="s">
        <v>42</v>
      </c>
      <c r="Q781" s="73" t="s">
        <v>43</v>
      </c>
      <c r="R781" s="62"/>
    </row>
    <row r="782" ht="27.6" spans="1:18">
      <c r="A782" s="58">
        <v>759</v>
      </c>
      <c r="B782" s="59">
        <v>45761</v>
      </c>
      <c r="C782" s="61" t="s">
        <v>191</v>
      </c>
      <c r="D782" s="61" t="s">
        <v>35</v>
      </c>
      <c r="E782" s="62" t="s">
        <v>73</v>
      </c>
      <c r="F782" s="62" t="s">
        <v>50</v>
      </c>
      <c r="G782" s="62" t="s">
        <v>61</v>
      </c>
      <c r="H782" s="62" t="s">
        <v>622</v>
      </c>
      <c r="I782" s="101" t="s">
        <v>1389</v>
      </c>
      <c r="J782" s="62" t="s">
        <v>53</v>
      </c>
      <c r="K782" s="67" t="s">
        <v>1390</v>
      </c>
      <c r="L782" s="103"/>
      <c r="M782" s="62"/>
      <c r="N782" s="62"/>
      <c r="O782" s="69"/>
      <c r="P782" s="59" t="s">
        <v>42</v>
      </c>
      <c r="Q782" s="73" t="s">
        <v>43</v>
      </c>
      <c r="R782" s="62"/>
    </row>
    <row r="783" ht="13.8" spans="1:18">
      <c r="A783" s="58">
        <v>760</v>
      </c>
      <c r="B783" s="59">
        <v>45761</v>
      </c>
      <c r="C783" s="61" t="s">
        <v>191</v>
      </c>
      <c r="D783" s="61" t="s">
        <v>35</v>
      </c>
      <c r="E783" s="62" t="s">
        <v>73</v>
      </c>
      <c r="F783" s="62" t="s">
        <v>50</v>
      </c>
      <c r="G783" s="62" t="s">
        <v>259</v>
      </c>
      <c r="H783" s="62" t="s">
        <v>51</v>
      </c>
      <c r="I783" s="101" t="s">
        <v>1391</v>
      </c>
      <c r="J783" s="62" t="s">
        <v>91</v>
      </c>
      <c r="K783" s="67" t="s">
        <v>1392</v>
      </c>
      <c r="L783" s="103"/>
      <c r="M783" s="62"/>
      <c r="N783" s="62"/>
      <c r="O783" s="69"/>
      <c r="P783" s="59" t="s">
        <v>42</v>
      </c>
      <c r="Q783" s="73" t="s">
        <v>43</v>
      </c>
      <c r="R783" s="62"/>
    </row>
    <row r="784" ht="13.8" spans="1:18">
      <c r="A784" s="58">
        <v>761</v>
      </c>
      <c r="B784" s="59">
        <v>45761</v>
      </c>
      <c r="C784" s="61" t="s">
        <v>49</v>
      </c>
      <c r="D784" s="61" t="s">
        <v>35</v>
      </c>
      <c r="E784" s="62" t="s">
        <v>73</v>
      </c>
      <c r="F784" s="62" t="s">
        <v>36</v>
      </c>
      <c r="G784" s="62" t="s">
        <v>131</v>
      </c>
      <c r="H784" s="62" t="s">
        <v>94</v>
      </c>
      <c r="I784" s="101" t="s">
        <v>196</v>
      </c>
      <c r="J784" s="62" t="s">
        <v>40</v>
      </c>
      <c r="K784" s="67" t="s">
        <v>197</v>
      </c>
      <c r="L784" s="103"/>
      <c r="M784" s="62"/>
      <c r="N784" s="62"/>
      <c r="O784" s="69" t="s">
        <v>1393</v>
      </c>
      <c r="P784" s="59" t="s">
        <v>42</v>
      </c>
      <c r="Q784" s="73" t="s">
        <v>43</v>
      </c>
      <c r="R784" s="62"/>
    </row>
    <row r="785" ht="27.6" spans="1:18">
      <c r="A785" s="58">
        <v>762</v>
      </c>
      <c r="B785" s="59">
        <v>45761</v>
      </c>
      <c r="C785" s="61" t="s">
        <v>191</v>
      </c>
      <c r="D785" s="61" t="s">
        <v>35</v>
      </c>
      <c r="E785" s="62" t="s">
        <v>73</v>
      </c>
      <c r="F785" s="62" t="s">
        <v>36</v>
      </c>
      <c r="G785" s="62" t="s">
        <v>131</v>
      </c>
      <c r="H785" s="62" t="s">
        <v>97</v>
      </c>
      <c r="I785" s="101" t="s">
        <v>1033</v>
      </c>
      <c r="J785" s="62" t="s">
        <v>40</v>
      </c>
      <c r="K785" s="67" t="s">
        <v>1034</v>
      </c>
      <c r="L785" s="103"/>
      <c r="M785" s="62"/>
      <c r="N785" s="62"/>
      <c r="O785" s="69" t="s">
        <v>1361</v>
      </c>
      <c r="P785" s="59" t="s">
        <v>42</v>
      </c>
      <c r="Q785" s="73" t="s">
        <v>43</v>
      </c>
      <c r="R785" s="62"/>
    </row>
    <row r="786" ht="13.8" spans="1:18">
      <c r="A786" s="58">
        <v>763</v>
      </c>
      <c r="B786" s="74">
        <v>45762</v>
      </c>
      <c r="C786" s="61" t="s">
        <v>208</v>
      </c>
      <c r="D786" s="61" t="s">
        <v>35</v>
      </c>
      <c r="E786" s="62" t="s">
        <v>73</v>
      </c>
      <c r="F786" s="62" t="s">
        <v>50</v>
      </c>
      <c r="G786" s="62" t="s">
        <v>82</v>
      </c>
      <c r="H786" s="62" t="s">
        <v>51</v>
      </c>
      <c r="I786" s="101" t="s">
        <v>1394</v>
      </c>
      <c r="J786" s="62" t="s">
        <v>91</v>
      </c>
      <c r="K786" s="67" t="s">
        <v>1395</v>
      </c>
      <c r="L786" s="103"/>
      <c r="M786" s="62"/>
      <c r="N786" s="62"/>
      <c r="O786" s="69"/>
      <c r="P786" s="59" t="s">
        <v>42</v>
      </c>
      <c r="Q786" s="73" t="s">
        <v>43</v>
      </c>
      <c r="R786" s="62"/>
    </row>
    <row r="787" ht="13.8" spans="1:18">
      <c r="A787" s="58">
        <v>764</v>
      </c>
      <c r="B787" s="74">
        <v>45762</v>
      </c>
      <c r="C787" s="61" t="s">
        <v>208</v>
      </c>
      <c r="D787" s="61" t="s">
        <v>35</v>
      </c>
      <c r="E787" s="62" t="s">
        <v>73</v>
      </c>
      <c r="F787" s="62" t="s">
        <v>36</v>
      </c>
      <c r="G787" s="62" t="s">
        <v>131</v>
      </c>
      <c r="H787" s="62" t="s">
        <v>56</v>
      </c>
      <c r="I787" s="101" t="s">
        <v>1035</v>
      </c>
      <c r="J787" s="62" t="s">
        <v>40</v>
      </c>
      <c r="K787" s="67" t="s">
        <v>1036</v>
      </c>
      <c r="L787" s="103"/>
      <c r="M787" s="62"/>
      <c r="N787" s="62"/>
      <c r="O787" s="69" t="s">
        <v>1331</v>
      </c>
      <c r="P787" s="59" t="s">
        <v>42</v>
      </c>
      <c r="Q787" s="73" t="s">
        <v>43</v>
      </c>
      <c r="R787" s="62"/>
    </row>
    <row r="788" ht="13.8" spans="1:18">
      <c r="A788" s="58">
        <v>765</v>
      </c>
      <c r="B788" s="74">
        <v>45762</v>
      </c>
      <c r="C788" s="61" t="s">
        <v>49</v>
      </c>
      <c r="D788" s="61" t="s">
        <v>35</v>
      </c>
      <c r="E788" s="62" t="s">
        <v>73</v>
      </c>
      <c r="F788" s="62" t="s">
        <v>36</v>
      </c>
      <c r="G788" s="62" t="s">
        <v>899</v>
      </c>
      <c r="H788" s="62" t="s">
        <v>38</v>
      </c>
      <c r="I788" s="101" t="s">
        <v>1396</v>
      </c>
      <c r="J788" s="62" t="s">
        <v>40</v>
      </c>
      <c r="K788" s="67" t="s">
        <v>1397</v>
      </c>
      <c r="L788" s="103"/>
      <c r="M788" s="62"/>
      <c r="N788" s="62"/>
      <c r="O788" s="69"/>
      <c r="P788" s="59" t="s">
        <v>42</v>
      </c>
      <c r="Q788" s="73" t="s">
        <v>43</v>
      </c>
      <c r="R788" s="62"/>
    </row>
    <row r="789" ht="27.6" spans="1:18">
      <c r="A789" s="58">
        <v>766</v>
      </c>
      <c r="B789" s="74">
        <v>45763</v>
      </c>
      <c r="C789" s="61" t="s">
        <v>49</v>
      </c>
      <c r="D789" s="61" t="s">
        <v>35</v>
      </c>
      <c r="E789" s="62" t="s">
        <v>73</v>
      </c>
      <c r="F789" s="62" t="s">
        <v>36</v>
      </c>
      <c r="G789" s="62" t="s">
        <v>55</v>
      </c>
      <c r="H789" s="62" t="s">
        <v>66</v>
      </c>
      <c r="I789" s="101" t="s">
        <v>457</v>
      </c>
      <c r="J789" s="62" t="s">
        <v>40</v>
      </c>
      <c r="K789" s="67" t="s">
        <v>1144</v>
      </c>
      <c r="L789" s="103"/>
      <c r="M789" s="62"/>
      <c r="N789" s="62"/>
      <c r="O789" s="69"/>
      <c r="P789" s="59" t="s">
        <v>42</v>
      </c>
      <c r="Q789" s="73" t="s">
        <v>43</v>
      </c>
      <c r="R789" s="62"/>
    </row>
    <row r="790" ht="27.6" spans="1:18">
      <c r="A790" s="58">
        <v>767</v>
      </c>
      <c r="B790" s="74">
        <v>45763</v>
      </c>
      <c r="C790" s="61" t="s">
        <v>49</v>
      </c>
      <c r="D790" s="61" t="s">
        <v>35</v>
      </c>
      <c r="E790" s="62" t="s">
        <v>73</v>
      </c>
      <c r="F790" s="62" t="s">
        <v>36</v>
      </c>
      <c r="G790" s="62" t="s">
        <v>55</v>
      </c>
      <c r="H790" s="62" t="s">
        <v>38</v>
      </c>
      <c r="I790" s="101" t="s">
        <v>181</v>
      </c>
      <c r="J790" s="62" t="s">
        <v>40</v>
      </c>
      <c r="K790" s="67" t="s">
        <v>1398</v>
      </c>
      <c r="L790" s="103"/>
      <c r="M790" s="62"/>
      <c r="N790" s="62"/>
      <c r="O790" s="69"/>
      <c r="P790" s="59" t="s">
        <v>42</v>
      </c>
      <c r="Q790" s="73" t="s">
        <v>43</v>
      </c>
      <c r="R790" s="62"/>
    </row>
    <row r="791" ht="13.8" spans="1:18">
      <c r="A791" s="58">
        <v>768</v>
      </c>
      <c r="B791" s="74">
        <v>45764</v>
      </c>
      <c r="C791" s="61" t="s">
        <v>191</v>
      </c>
      <c r="D791" s="61" t="s">
        <v>35</v>
      </c>
      <c r="E791" s="62" t="s">
        <v>73</v>
      </c>
      <c r="F791" s="62" t="s">
        <v>36</v>
      </c>
      <c r="G791" s="62" t="s">
        <v>131</v>
      </c>
      <c r="H791" s="62" t="s">
        <v>46</v>
      </c>
      <c r="I791" s="101" t="s">
        <v>577</v>
      </c>
      <c r="J791" s="62" t="s">
        <v>88</v>
      </c>
      <c r="K791" s="67" t="s">
        <v>1399</v>
      </c>
      <c r="L791" s="103"/>
      <c r="M791" s="62"/>
      <c r="N791" s="62"/>
      <c r="O791" s="69" t="s">
        <v>1361</v>
      </c>
      <c r="P791" s="59" t="s">
        <v>42</v>
      </c>
      <c r="Q791" s="73" t="s">
        <v>43</v>
      </c>
      <c r="R791" s="62"/>
    </row>
    <row r="792" ht="13.8" spans="1:18">
      <c r="A792" s="58">
        <v>769</v>
      </c>
      <c r="B792" s="74">
        <v>45764</v>
      </c>
      <c r="C792" s="61" t="s">
        <v>208</v>
      </c>
      <c r="D792" s="61" t="s">
        <v>35</v>
      </c>
      <c r="E792" s="62" t="s">
        <v>73</v>
      </c>
      <c r="F792" s="62" t="s">
        <v>36</v>
      </c>
      <c r="G792" s="62" t="s">
        <v>61</v>
      </c>
      <c r="H792" s="62" t="s">
        <v>56</v>
      </c>
      <c r="I792" s="101" t="s">
        <v>431</v>
      </c>
      <c r="J792" s="62" t="s">
        <v>88</v>
      </c>
      <c r="K792" s="67" t="s">
        <v>430</v>
      </c>
      <c r="L792" s="103"/>
      <c r="M792" s="62"/>
      <c r="N792" s="62"/>
      <c r="O792" s="69"/>
      <c r="P792" s="59" t="s">
        <v>42</v>
      </c>
      <c r="Q792" s="73" t="s">
        <v>43</v>
      </c>
      <c r="R792" s="62"/>
    </row>
    <row r="793" ht="55.2" spans="1:18">
      <c r="A793" s="58">
        <v>770</v>
      </c>
      <c r="B793" s="74">
        <v>45764</v>
      </c>
      <c r="C793" s="61" t="s">
        <v>208</v>
      </c>
      <c r="D793" s="61" t="s">
        <v>35</v>
      </c>
      <c r="E793" s="62" t="s">
        <v>73</v>
      </c>
      <c r="F793" s="62" t="s">
        <v>36</v>
      </c>
      <c r="G793" s="62" t="s">
        <v>131</v>
      </c>
      <c r="H793" s="62" t="s">
        <v>150</v>
      </c>
      <c r="I793" s="101" t="s">
        <v>1320</v>
      </c>
      <c r="J793" s="62" t="s">
        <v>40</v>
      </c>
      <c r="K793" s="67" t="s">
        <v>1321</v>
      </c>
      <c r="L793" s="103" t="s">
        <v>1322</v>
      </c>
      <c r="M793" s="62"/>
      <c r="N793" s="62"/>
      <c r="O793" s="69"/>
      <c r="P793" s="59" t="s">
        <v>42</v>
      </c>
      <c r="Q793" s="73" t="s">
        <v>43</v>
      </c>
      <c r="R793" s="62"/>
    </row>
    <row r="794" ht="27.6" spans="1:18">
      <c r="A794" s="58">
        <v>771</v>
      </c>
      <c r="B794" s="74">
        <v>45764</v>
      </c>
      <c r="C794" s="60" t="s">
        <v>49</v>
      </c>
      <c r="D794" s="61" t="s">
        <v>35</v>
      </c>
      <c r="E794" s="62" t="s">
        <v>73</v>
      </c>
      <c r="F794" s="105" t="s">
        <v>192</v>
      </c>
      <c r="G794" s="62" t="s">
        <v>65</v>
      </c>
      <c r="H794" s="62" t="s">
        <v>51</v>
      </c>
      <c r="I794" s="66" t="s">
        <v>1400</v>
      </c>
      <c r="J794" s="62" t="s">
        <v>137</v>
      </c>
      <c r="K794" s="67" t="s">
        <v>194</v>
      </c>
      <c r="L794" s="70"/>
      <c r="M794" s="62"/>
      <c r="N794" s="62"/>
      <c r="O794" s="69"/>
      <c r="P794" s="59" t="s">
        <v>42</v>
      </c>
      <c r="Q794" s="62" t="s">
        <v>8</v>
      </c>
      <c r="R794" s="62"/>
    </row>
    <row r="795" ht="41.4" spans="1:18">
      <c r="A795" s="58">
        <v>772</v>
      </c>
      <c r="B795" s="74">
        <v>45766</v>
      </c>
      <c r="C795" s="60" t="s">
        <v>49</v>
      </c>
      <c r="D795" s="61" t="s">
        <v>35</v>
      </c>
      <c r="E795" s="62" t="s">
        <v>73</v>
      </c>
      <c r="F795" s="105" t="s">
        <v>36</v>
      </c>
      <c r="G795" s="62" t="s">
        <v>131</v>
      </c>
      <c r="H795" s="62" t="s">
        <v>94</v>
      </c>
      <c r="I795" s="66" t="s">
        <v>415</v>
      </c>
      <c r="J795" s="62" t="s">
        <v>91</v>
      </c>
      <c r="K795" s="67" t="s">
        <v>1401</v>
      </c>
      <c r="L795" s="70"/>
      <c r="M795" s="62"/>
      <c r="N795" s="62"/>
      <c r="O795" s="69"/>
      <c r="P795" s="59" t="s">
        <v>42</v>
      </c>
      <c r="Q795" s="73" t="s">
        <v>43</v>
      </c>
      <c r="R795" s="62"/>
    </row>
    <row r="796" ht="27.6" spans="1:18">
      <c r="A796" s="58">
        <v>773</v>
      </c>
      <c r="B796" s="74">
        <v>45766</v>
      </c>
      <c r="C796" s="60" t="s">
        <v>208</v>
      </c>
      <c r="D796" s="61" t="s">
        <v>35</v>
      </c>
      <c r="E796" s="62" t="s">
        <v>73</v>
      </c>
      <c r="F796" s="105" t="s">
        <v>36</v>
      </c>
      <c r="G796" s="62" t="s">
        <v>131</v>
      </c>
      <c r="H796" s="62" t="s">
        <v>56</v>
      </c>
      <c r="I796" s="66" t="s">
        <v>1402</v>
      </c>
      <c r="J796" s="62" t="s">
        <v>40</v>
      </c>
      <c r="K796" s="67" t="s">
        <v>1403</v>
      </c>
      <c r="L796" s="70"/>
      <c r="M796" s="62"/>
      <c r="N796" s="62"/>
      <c r="O796" s="69"/>
      <c r="P796" s="59" t="s">
        <v>42</v>
      </c>
      <c r="Q796" s="73" t="s">
        <v>43</v>
      </c>
      <c r="R796" s="62"/>
    </row>
    <row r="797" ht="13.8" spans="1:18">
      <c r="A797" s="58">
        <v>774</v>
      </c>
      <c r="B797" s="74">
        <v>45766</v>
      </c>
      <c r="C797" s="60" t="s">
        <v>49</v>
      </c>
      <c r="D797" s="61" t="s">
        <v>35</v>
      </c>
      <c r="E797" s="62" t="s">
        <v>73</v>
      </c>
      <c r="F797" s="105" t="s">
        <v>36</v>
      </c>
      <c r="G797" s="62" t="s">
        <v>61</v>
      </c>
      <c r="H797" s="62" t="s">
        <v>56</v>
      </c>
      <c r="I797" s="66" t="s">
        <v>1163</v>
      </c>
      <c r="J797" s="62" t="s">
        <v>40</v>
      </c>
      <c r="K797" s="67" t="s">
        <v>1164</v>
      </c>
      <c r="L797" s="70"/>
      <c r="M797" s="62"/>
      <c r="N797" s="62"/>
      <c r="O797" s="69"/>
      <c r="P797" s="59" t="s">
        <v>42</v>
      </c>
      <c r="Q797" s="73" t="s">
        <v>43</v>
      </c>
      <c r="R797" s="62"/>
    </row>
    <row r="798" ht="13.8" spans="1:18">
      <c r="A798" s="58">
        <v>775</v>
      </c>
      <c r="B798" s="74">
        <v>45767</v>
      </c>
      <c r="C798" s="60" t="s">
        <v>49</v>
      </c>
      <c r="D798" s="61" t="s">
        <v>35</v>
      </c>
      <c r="E798" s="62" t="s">
        <v>73</v>
      </c>
      <c r="F798" s="105" t="s">
        <v>36</v>
      </c>
      <c r="G798" s="62" t="s">
        <v>82</v>
      </c>
      <c r="H798" s="62" t="s">
        <v>94</v>
      </c>
      <c r="I798" s="66" t="s">
        <v>415</v>
      </c>
      <c r="J798" s="62" t="s">
        <v>91</v>
      </c>
      <c r="K798" s="67" t="s">
        <v>1404</v>
      </c>
      <c r="L798" s="70"/>
      <c r="M798" s="62"/>
      <c r="N798" s="62"/>
      <c r="O798" s="69" t="s">
        <v>1376</v>
      </c>
      <c r="P798" s="59" t="s">
        <v>42</v>
      </c>
      <c r="Q798" s="73" t="s">
        <v>43</v>
      </c>
      <c r="R798" s="62"/>
    </row>
    <row r="799" ht="27.6" spans="1:18">
      <c r="A799" s="58">
        <v>776</v>
      </c>
      <c r="B799" s="74">
        <v>45767</v>
      </c>
      <c r="C799" s="60" t="s">
        <v>49</v>
      </c>
      <c r="D799" s="61" t="s">
        <v>35</v>
      </c>
      <c r="E799" s="62" t="s">
        <v>73</v>
      </c>
      <c r="F799" s="105" t="s">
        <v>36</v>
      </c>
      <c r="G799" s="62" t="s">
        <v>131</v>
      </c>
      <c r="H799" s="62" t="s">
        <v>128</v>
      </c>
      <c r="I799" s="66" t="s">
        <v>1405</v>
      </c>
      <c r="J799" s="62" t="s">
        <v>40</v>
      </c>
      <c r="K799" s="67" t="s">
        <v>1406</v>
      </c>
      <c r="L799" s="70"/>
      <c r="M799" s="62"/>
      <c r="N799" s="62"/>
      <c r="O799" s="69"/>
      <c r="P799" s="59" t="s">
        <v>42</v>
      </c>
      <c r="Q799" s="73" t="s">
        <v>43</v>
      </c>
      <c r="R799" s="62"/>
    </row>
    <row r="800" ht="13.8" spans="1:18">
      <c r="A800" s="58">
        <v>777</v>
      </c>
      <c r="B800" s="74">
        <v>45767</v>
      </c>
      <c r="C800" s="60" t="s">
        <v>191</v>
      </c>
      <c r="D800" s="61" t="s">
        <v>35</v>
      </c>
      <c r="E800" s="62" t="s">
        <v>73</v>
      </c>
      <c r="F800" s="105" t="s">
        <v>36</v>
      </c>
      <c r="G800" s="62" t="s">
        <v>82</v>
      </c>
      <c r="H800" s="62" t="s">
        <v>56</v>
      </c>
      <c r="I800" s="66" t="s">
        <v>1024</v>
      </c>
      <c r="J800" s="62" t="s">
        <v>40</v>
      </c>
      <c r="K800" s="67" t="s">
        <v>1407</v>
      </c>
      <c r="L800" s="70"/>
      <c r="M800" s="62"/>
      <c r="N800" s="62"/>
      <c r="O800" s="69"/>
      <c r="P800" s="59" t="s">
        <v>42</v>
      </c>
      <c r="Q800" s="73" t="s">
        <v>43</v>
      </c>
      <c r="R800" s="62"/>
    </row>
    <row r="801" ht="13.8" spans="1:18">
      <c r="A801" s="58">
        <v>778</v>
      </c>
      <c r="B801" s="74">
        <v>45767</v>
      </c>
      <c r="C801" s="60" t="s">
        <v>49</v>
      </c>
      <c r="D801" s="61" t="s">
        <v>35</v>
      </c>
      <c r="E801" s="62" t="s">
        <v>73</v>
      </c>
      <c r="F801" s="105" t="s">
        <v>36</v>
      </c>
      <c r="G801" s="62" t="s">
        <v>131</v>
      </c>
      <c r="H801" s="62" t="s">
        <v>56</v>
      </c>
      <c r="I801" s="66" t="s">
        <v>1408</v>
      </c>
      <c r="J801" s="62" t="s">
        <v>40</v>
      </c>
      <c r="K801" s="67" t="s">
        <v>1164</v>
      </c>
      <c r="L801" s="70"/>
      <c r="M801" s="62"/>
      <c r="N801" s="62"/>
      <c r="O801" s="69"/>
      <c r="P801" s="59" t="s">
        <v>42</v>
      </c>
      <c r="Q801" s="73" t="s">
        <v>43</v>
      </c>
      <c r="R801" s="62"/>
    </row>
    <row r="802" ht="27.6" spans="1:18">
      <c r="A802" s="58">
        <v>779</v>
      </c>
      <c r="B802" s="74">
        <v>45769</v>
      </c>
      <c r="C802" s="60" t="s">
        <v>49</v>
      </c>
      <c r="D802" s="61" t="s">
        <v>35</v>
      </c>
      <c r="E802" s="62" t="s">
        <v>73</v>
      </c>
      <c r="F802" s="105" t="s">
        <v>36</v>
      </c>
      <c r="G802" s="62" t="s">
        <v>61</v>
      </c>
      <c r="H802" s="62" t="s">
        <v>38</v>
      </c>
      <c r="I802" s="66" t="s">
        <v>219</v>
      </c>
      <c r="J802" s="62" t="s">
        <v>40</v>
      </c>
      <c r="K802" s="67" t="s">
        <v>220</v>
      </c>
      <c r="L802" s="70"/>
      <c r="M802" s="62"/>
      <c r="N802" s="62"/>
      <c r="O802" s="69" t="s">
        <v>1340</v>
      </c>
      <c r="P802" s="59" t="s">
        <v>42</v>
      </c>
      <c r="Q802" s="73" t="s">
        <v>43</v>
      </c>
      <c r="R802" s="62"/>
    </row>
    <row r="803" ht="13.8" spans="1:18">
      <c r="A803" s="58">
        <v>780</v>
      </c>
      <c r="B803" s="74">
        <v>45769</v>
      </c>
      <c r="C803" s="60" t="s">
        <v>49</v>
      </c>
      <c r="D803" s="61" t="s">
        <v>35</v>
      </c>
      <c r="E803" s="62" t="s">
        <v>73</v>
      </c>
      <c r="F803" s="105" t="s">
        <v>36</v>
      </c>
      <c r="G803" s="62" t="s">
        <v>131</v>
      </c>
      <c r="H803" s="62" t="s">
        <v>38</v>
      </c>
      <c r="I803" s="66" t="s">
        <v>425</v>
      </c>
      <c r="J803" s="62" t="s">
        <v>91</v>
      </c>
      <c r="K803" s="67" t="s">
        <v>426</v>
      </c>
      <c r="L803" s="70"/>
      <c r="M803" s="62"/>
      <c r="N803" s="62"/>
      <c r="O803" s="69"/>
      <c r="P803" s="59" t="s">
        <v>42</v>
      </c>
      <c r="Q803" s="73" t="s">
        <v>43</v>
      </c>
      <c r="R803" s="62"/>
    </row>
    <row r="804" ht="13.8" spans="1:18">
      <c r="A804" s="58">
        <v>781</v>
      </c>
      <c r="B804" s="74">
        <v>45769</v>
      </c>
      <c r="C804" s="60" t="s">
        <v>208</v>
      </c>
      <c r="D804" s="61" t="s">
        <v>35</v>
      </c>
      <c r="E804" s="62" t="s">
        <v>73</v>
      </c>
      <c r="F804" s="105" t="s">
        <v>36</v>
      </c>
      <c r="G804" s="62" t="s">
        <v>131</v>
      </c>
      <c r="H804" s="62" t="s">
        <v>56</v>
      </c>
      <c r="I804" s="66" t="s">
        <v>431</v>
      </c>
      <c r="J804" s="62" t="s">
        <v>40</v>
      </c>
      <c r="K804" s="67" t="s">
        <v>1409</v>
      </c>
      <c r="L804" s="70"/>
      <c r="M804" s="62"/>
      <c r="N804" s="62"/>
      <c r="O804" s="69" t="s">
        <v>1410</v>
      </c>
      <c r="P804" s="59" t="s">
        <v>42</v>
      </c>
      <c r="Q804" s="73" t="s">
        <v>43</v>
      </c>
      <c r="R804" s="62"/>
    </row>
    <row r="805" ht="27.6" spans="1:18">
      <c r="A805" s="58">
        <v>782</v>
      </c>
      <c r="B805" s="74">
        <v>45769</v>
      </c>
      <c r="C805" s="60" t="s">
        <v>49</v>
      </c>
      <c r="D805" s="61" t="s">
        <v>35</v>
      </c>
      <c r="E805" s="62" t="s">
        <v>73</v>
      </c>
      <c r="F805" s="105" t="s">
        <v>36</v>
      </c>
      <c r="G805" s="62" t="s">
        <v>61</v>
      </c>
      <c r="H805" s="62" t="s">
        <v>38</v>
      </c>
      <c r="I805" s="66" t="s">
        <v>219</v>
      </c>
      <c r="J805" s="62" t="s">
        <v>91</v>
      </c>
      <c r="K805" s="67" t="s">
        <v>1411</v>
      </c>
      <c r="L805" s="70"/>
      <c r="M805" s="62"/>
      <c r="N805" s="62"/>
      <c r="O805" s="69"/>
      <c r="P805" s="59" t="s">
        <v>42</v>
      </c>
      <c r="Q805" s="73" t="s">
        <v>43</v>
      </c>
      <c r="R805" s="62"/>
    </row>
    <row r="806" ht="13.8" spans="1:18">
      <c r="A806" s="58">
        <v>783</v>
      </c>
      <c r="B806" s="74">
        <v>45770</v>
      </c>
      <c r="C806" s="60" t="s">
        <v>191</v>
      </c>
      <c r="D806" s="61" t="s">
        <v>35</v>
      </c>
      <c r="E806" s="62" t="s">
        <v>73</v>
      </c>
      <c r="F806" s="105" t="s">
        <v>135</v>
      </c>
      <c r="G806" s="62" t="s">
        <v>37</v>
      </c>
      <c r="H806" s="62" t="s">
        <v>56</v>
      </c>
      <c r="I806" s="66" t="s">
        <v>1030</v>
      </c>
      <c r="J806" s="62" t="s">
        <v>137</v>
      </c>
      <c r="K806" s="67" t="s">
        <v>194</v>
      </c>
      <c r="L806" s="70"/>
      <c r="M806" s="62"/>
      <c r="N806" s="62"/>
      <c r="O806" s="69"/>
      <c r="P806" s="59" t="s">
        <v>42</v>
      </c>
      <c r="Q806" s="62" t="s">
        <v>8</v>
      </c>
      <c r="R806" s="62"/>
    </row>
    <row r="807" ht="13.8" spans="1:18">
      <c r="A807" s="58">
        <v>784</v>
      </c>
      <c r="B807" s="74">
        <v>45770</v>
      </c>
      <c r="C807" s="60" t="s">
        <v>208</v>
      </c>
      <c r="D807" s="61" t="s">
        <v>35</v>
      </c>
      <c r="E807" s="62" t="s">
        <v>73</v>
      </c>
      <c r="F807" s="105" t="s">
        <v>36</v>
      </c>
      <c r="G807" s="62" t="s">
        <v>65</v>
      </c>
      <c r="H807" s="62" t="s">
        <v>56</v>
      </c>
      <c r="I807" s="66" t="s">
        <v>429</v>
      </c>
      <c r="J807" s="62" t="s">
        <v>40</v>
      </c>
      <c r="K807" s="67" t="s">
        <v>430</v>
      </c>
      <c r="L807" s="70"/>
      <c r="M807" s="62"/>
      <c r="N807" s="62"/>
      <c r="O807" s="69" t="s">
        <v>1412</v>
      </c>
      <c r="P807" s="59" t="s">
        <v>42</v>
      </c>
      <c r="Q807" s="73" t="s">
        <v>43</v>
      </c>
      <c r="R807" s="62"/>
    </row>
    <row r="808" ht="27.6" spans="1:18">
      <c r="A808" s="58">
        <v>785</v>
      </c>
      <c r="B808" s="74">
        <v>45770</v>
      </c>
      <c r="C808" s="60" t="s">
        <v>49</v>
      </c>
      <c r="D808" s="61" t="s">
        <v>35</v>
      </c>
      <c r="E808" s="62" t="s">
        <v>73</v>
      </c>
      <c r="F808" s="105" t="s">
        <v>36</v>
      </c>
      <c r="G808" s="62" t="s">
        <v>131</v>
      </c>
      <c r="H808" s="62" t="s">
        <v>56</v>
      </c>
      <c r="I808" s="66" t="s">
        <v>1166</v>
      </c>
      <c r="J808" s="62" t="s">
        <v>40</v>
      </c>
      <c r="K808" s="67" t="s">
        <v>1084</v>
      </c>
      <c r="L808" s="70"/>
      <c r="M808" s="62"/>
      <c r="N808" s="62"/>
      <c r="O808" s="69"/>
      <c r="P808" s="59" t="s">
        <v>42</v>
      </c>
      <c r="Q808" s="73" t="s">
        <v>43</v>
      </c>
      <c r="R808" s="62"/>
    </row>
    <row r="809" ht="27.6" spans="1:18">
      <c r="A809" s="58">
        <v>786</v>
      </c>
      <c r="B809" s="74">
        <v>45770</v>
      </c>
      <c r="C809" s="60" t="s">
        <v>49</v>
      </c>
      <c r="D809" s="61" t="s">
        <v>35</v>
      </c>
      <c r="E809" s="62" t="s">
        <v>73</v>
      </c>
      <c r="F809" s="105" t="s">
        <v>36</v>
      </c>
      <c r="G809" s="62" t="s">
        <v>65</v>
      </c>
      <c r="H809" s="62" t="s">
        <v>1008</v>
      </c>
      <c r="I809" s="66" t="s">
        <v>1413</v>
      </c>
      <c r="J809" s="62" t="s">
        <v>40</v>
      </c>
      <c r="K809" s="67" t="s">
        <v>1414</v>
      </c>
      <c r="L809" s="70"/>
      <c r="M809" s="62"/>
      <c r="N809" s="62"/>
      <c r="O809" s="69"/>
      <c r="P809" s="59" t="s">
        <v>42</v>
      </c>
      <c r="Q809" s="73" t="s">
        <v>43</v>
      </c>
      <c r="R809" s="62"/>
    </row>
    <row r="810" ht="13.8" spans="1:18">
      <c r="A810" s="58">
        <v>787</v>
      </c>
      <c r="B810" s="74">
        <v>45771</v>
      </c>
      <c r="C810" s="60" t="s">
        <v>191</v>
      </c>
      <c r="D810" s="61" t="s">
        <v>35</v>
      </c>
      <c r="E810" s="62" t="s">
        <v>73</v>
      </c>
      <c r="F810" s="105" t="s">
        <v>192</v>
      </c>
      <c r="G810" s="62" t="s">
        <v>61</v>
      </c>
      <c r="H810" s="62" t="s">
        <v>144</v>
      </c>
      <c r="I810" s="66" t="s">
        <v>1415</v>
      </c>
      <c r="J810" s="62" t="s">
        <v>137</v>
      </c>
      <c r="K810" s="67" t="s">
        <v>194</v>
      </c>
      <c r="L810" s="70"/>
      <c r="M810" s="62"/>
      <c r="N810" s="62"/>
      <c r="O810" s="69"/>
      <c r="P810" s="59" t="s">
        <v>42</v>
      </c>
      <c r="Q810" s="62" t="s">
        <v>8</v>
      </c>
      <c r="R810" s="62"/>
    </row>
    <row r="811" ht="13.8" spans="1:18">
      <c r="A811" s="58">
        <v>788</v>
      </c>
      <c r="B811" s="74">
        <v>45771</v>
      </c>
      <c r="C811" s="60" t="s">
        <v>49</v>
      </c>
      <c r="D811" s="61" t="s">
        <v>35</v>
      </c>
      <c r="E811" s="62" t="s">
        <v>73</v>
      </c>
      <c r="F811" s="105" t="s">
        <v>36</v>
      </c>
      <c r="G811" s="62" t="s">
        <v>131</v>
      </c>
      <c r="H811" s="62" t="s">
        <v>56</v>
      </c>
      <c r="I811" s="66" t="s">
        <v>1416</v>
      </c>
      <c r="J811" s="62" t="s">
        <v>40</v>
      </c>
      <c r="K811" s="67" t="s">
        <v>1417</v>
      </c>
      <c r="L811" s="70"/>
      <c r="M811" s="62"/>
      <c r="N811" s="62"/>
      <c r="O811" s="69" t="s">
        <v>1360</v>
      </c>
      <c r="P811" s="59" t="s">
        <v>42</v>
      </c>
      <c r="Q811" s="73" t="s">
        <v>43</v>
      </c>
      <c r="R811" s="62"/>
    </row>
    <row r="812" ht="27.6" spans="1:18">
      <c r="A812" s="58">
        <v>789</v>
      </c>
      <c r="B812" s="74">
        <v>45771</v>
      </c>
      <c r="C812" s="60" t="s">
        <v>49</v>
      </c>
      <c r="D812" s="61" t="s">
        <v>35</v>
      </c>
      <c r="E812" s="62" t="s">
        <v>73</v>
      </c>
      <c r="F812" s="105" t="s">
        <v>36</v>
      </c>
      <c r="G812" s="62" t="s">
        <v>37</v>
      </c>
      <c r="H812" s="62" t="s">
        <v>94</v>
      </c>
      <c r="I812" s="66" t="s">
        <v>422</v>
      </c>
      <c r="J812" s="62" t="s">
        <v>40</v>
      </c>
      <c r="K812" s="67" t="s">
        <v>423</v>
      </c>
      <c r="L812" s="70"/>
      <c r="M812" s="62"/>
      <c r="N812" s="62"/>
      <c r="O812" s="69" t="s">
        <v>1340</v>
      </c>
      <c r="P812" s="59" t="s">
        <v>42</v>
      </c>
      <c r="Q812" s="73" t="s">
        <v>43</v>
      </c>
      <c r="R812" s="62"/>
    </row>
    <row r="813" ht="27.6" spans="1:18">
      <c r="A813" s="58">
        <v>790</v>
      </c>
      <c r="B813" s="74">
        <v>45771</v>
      </c>
      <c r="C813" s="60" t="s">
        <v>49</v>
      </c>
      <c r="D813" s="61" t="s">
        <v>35</v>
      </c>
      <c r="E813" s="62" t="s">
        <v>73</v>
      </c>
      <c r="F813" s="105" t="s">
        <v>36</v>
      </c>
      <c r="G813" s="62" t="s">
        <v>37</v>
      </c>
      <c r="H813" s="62" t="s">
        <v>56</v>
      </c>
      <c r="I813" s="66" t="s">
        <v>1418</v>
      </c>
      <c r="J813" s="62" t="s">
        <v>40</v>
      </c>
      <c r="K813" s="67" t="s">
        <v>1419</v>
      </c>
      <c r="L813" s="70"/>
      <c r="M813" s="62"/>
      <c r="N813" s="62"/>
      <c r="O813" s="69"/>
      <c r="P813" s="59" t="s">
        <v>42</v>
      </c>
      <c r="Q813" s="73" t="s">
        <v>43</v>
      </c>
      <c r="R813" s="62"/>
    </row>
    <row r="814" ht="13.8" spans="1:18">
      <c r="A814" s="58">
        <v>791</v>
      </c>
      <c r="B814" s="74">
        <v>45771</v>
      </c>
      <c r="C814" s="60" t="s">
        <v>191</v>
      </c>
      <c r="D814" s="61" t="s">
        <v>35</v>
      </c>
      <c r="E814" s="62" t="s">
        <v>73</v>
      </c>
      <c r="F814" s="105" t="s">
        <v>36</v>
      </c>
      <c r="G814" s="62" t="s">
        <v>131</v>
      </c>
      <c r="H814" s="62" t="s">
        <v>56</v>
      </c>
      <c r="I814" s="66" t="s">
        <v>1420</v>
      </c>
      <c r="J814" s="62" t="s">
        <v>40</v>
      </c>
      <c r="K814" s="67" t="s">
        <v>1421</v>
      </c>
      <c r="L814" s="70"/>
      <c r="M814" s="62"/>
      <c r="N814" s="62"/>
      <c r="O814" s="69"/>
      <c r="P814" s="59" t="s">
        <v>42</v>
      </c>
      <c r="Q814" s="73" t="s">
        <v>43</v>
      </c>
      <c r="R814" s="62"/>
    </row>
    <row r="815" ht="27.6" spans="1:18">
      <c r="A815" s="58">
        <v>792</v>
      </c>
      <c r="B815" s="74">
        <v>45771</v>
      </c>
      <c r="C815" s="60" t="s">
        <v>191</v>
      </c>
      <c r="D815" s="61" t="s">
        <v>35</v>
      </c>
      <c r="E815" s="62" t="s">
        <v>73</v>
      </c>
      <c r="F815" s="105" t="s">
        <v>36</v>
      </c>
      <c r="G815" s="62" t="s">
        <v>131</v>
      </c>
      <c r="H815" s="62" t="s">
        <v>94</v>
      </c>
      <c r="I815" s="66" t="s">
        <v>1422</v>
      </c>
      <c r="J815" s="62" t="s">
        <v>40</v>
      </c>
      <c r="K815" s="67" t="s">
        <v>420</v>
      </c>
      <c r="L815" s="70"/>
      <c r="M815" s="62"/>
      <c r="N815" s="62"/>
      <c r="O815" s="69"/>
      <c r="P815" s="59" t="s">
        <v>42</v>
      </c>
      <c r="Q815" s="73" t="s">
        <v>43</v>
      </c>
      <c r="R815" s="62"/>
    </row>
    <row r="816" ht="27.6" spans="1:18">
      <c r="A816" s="58">
        <v>793</v>
      </c>
      <c r="B816" s="74">
        <v>45771</v>
      </c>
      <c r="C816" s="60" t="s">
        <v>49</v>
      </c>
      <c r="D816" s="61" t="s">
        <v>35</v>
      </c>
      <c r="E816" s="62" t="s">
        <v>73</v>
      </c>
      <c r="F816" s="105" t="s">
        <v>36</v>
      </c>
      <c r="G816" s="62" t="s">
        <v>37</v>
      </c>
      <c r="H816" s="62" t="s">
        <v>46</v>
      </c>
      <c r="I816" s="66" t="s">
        <v>1423</v>
      </c>
      <c r="J816" s="62" t="s">
        <v>40</v>
      </c>
      <c r="K816" s="67" t="s">
        <v>1424</v>
      </c>
      <c r="L816" s="70"/>
      <c r="M816" s="62"/>
      <c r="N816" s="62"/>
      <c r="O816" s="69"/>
      <c r="P816" s="59" t="s">
        <v>42</v>
      </c>
      <c r="Q816" s="73" t="s">
        <v>43</v>
      </c>
      <c r="R816" s="62"/>
    </row>
    <row r="817" ht="13.8" spans="1:18">
      <c r="A817" s="58">
        <v>794</v>
      </c>
      <c r="B817" s="74">
        <v>45773</v>
      </c>
      <c r="C817" s="60" t="s">
        <v>208</v>
      </c>
      <c r="D817" s="61" t="s">
        <v>35</v>
      </c>
      <c r="E817" s="62" t="s">
        <v>73</v>
      </c>
      <c r="F817" s="105" t="s">
        <v>135</v>
      </c>
      <c r="G817" s="62" t="s">
        <v>65</v>
      </c>
      <c r="H817" s="62" t="s">
        <v>144</v>
      </c>
      <c r="I817" s="66" t="s">
        <v>1425</v>
      </c>
      <c r="J817" s="62" t="s">
        <v>137</v>
      </c>
      <c r="K817" s="67" t="s">
        <v>1426</v>
      </c>
      <c r="L817" s="70"/>
      <c r="M817" s="62"/>
      <c r="N817" s="62"/>
      <c r="O817" s="69"/>
      <c r="P817" s="59" t="s">
        <v>42</v>
      </c>
      <c r="Q817" s="62" t="s">
        <v>8</v>
      </c>
      <c r="R817" s="62"/>
    </row>
    <row r="818" ht="13.8" spans="1:18">
      <c r="A818" s="58">
        <v>795</v>
      </c>
      <c r="B818" s="74">
        <v>45773</v>
      </c>
      <c r="C818" s="60" t="s">
        <v>208</v>
      </c>
      <c r="D818" s="61" t="s">
        <v>35</v>
      </c>
      <c r="E818" s="62" t="s">
        <v>73</v>
      </c>
      <c r="F818" s="105" t="s">
        <v>50</v>
      </c>
      <c r="G818" s="62" t="s">
        <v>45</v>
      </c>
      <c r="H818" s="62" t="s">
        <v>51</v>
      </c>
      <c r="I818" s="66" t="s">
        <v>1427</v>
      </c>
      <c r="J818" s="62" t="s">
        <v>53</v>
      </c>
      <c r="K818" s="67" t="s">
        <v>1428</v>
      </c>
      <c r="L818" s="70"/>
      <c r="M818" s="62"/>
      <c r="N818" s="62"/>
      <c r="O818" s="69"/>
      <c r="P818" s="59" t="s">
        <v>42</v>
      </c>
      <c r="Q818" s="73" t="s">
        <v>43</v>
      </c>
      <c r="R818" s="62"/>
    </row>
    <row r="819" ht="13.8" spans="1:18">
      <c r="A819" s="58">
        <v>796</v>
      </c>
      <c r="B819" s="74">
        <v>45760</v>
      </c>
      <c r="C819" s="60" t="s">
        <v>49</v>
      </c>
      <c r="D819" s="61" t="s">
        <v>35</v>
      </c>
      <c r="E819" s="62" t="s">
        <v>73</v>
      </c>
      <c r="F819" s="105" t="s">
        <v>50</v>
      </c>
      <c r="G819" s="62" t="s">
        <v>82</v>
      </c>
      <c r="H819" s="62" t="s">
        <v>51</v>
      </c>
      <c r="I819" s="66" t="s">
        <v>367</v>
      </c>
      <c r="J819" s="62" t="s">
        <v>53</v>
      </c>
      <c r="K819" s="67" t="s">
        <v>1429</v>
      </c>
      <c r="L819" s="70"/>
      <c r="M819" s="62"/>
      <c r="N819" s="62"/>
      <c r="O819" s="69"/>
      <c r="P819" s="59" t="s">
        <v>42</v>
      </c>
      <c r="Q819" s="73" t="s">
        <v>43</v>
      </c>
      <c r="R819" s="62"/>
    </row>
    <row r="820" ht="13.8" spans="1:18">
      <c r="A820" s="58">
        <v>797</v>
      </c>
      <c r="B820" s="74">
        <v>45761</v>
      </c>
      <c r="C820" s="60" t="s">
        <v>191</v>
      </c>
      <c r="D820" s="61" t="s">
        <v>35</v>
      </c>
      <c r="E820" s="62" t="s">
        <v>73</v>
      </c>
      <c r="F820" s="105" t="s">
        <v>50</v>
      </c>
      <c r="G820" s="62" t="s">
        <v>93</v>
      </c>
      <c r="H820" s="62" t="s">
        <v>51</v>
      </c>
      <c r="I820" s="66" t="s">
        <v>1430</v>
      </c>
      <c r="J820" s="62" t="s">
        <v>53</v>
      </c>
      <c r="K820" s="67" t="s">
        <v>1431</v>
      </c>
      <c r="L820" s="70"/>
      <c r="M820" s="62"/>
      <c r="N820" s="62"/>
      <c r="O820" s="69"/>
      <c r="P820" s="59" t="s">
        <v>42</v>
      </c>
      <c r="Q820" s="73" t="s">
        <v>43</v>
      </c>
      <c r="R820" s="62"/>
    </row>
    <row r="821" ht="27.6" spans="1:18">
      <c r="A821" s="58">
        <v>798</v>
      </c>
      <c r="B821" s="74">
        <v>45762</v>
      </c>
      <c r="C821" s="60" t="s">
        <v>208</v>
      </c>
      <c r="D821" s="61" t="s">
        <v>35</v>
      </c>
      <c r="E821" s="62" t="s">
        <v>73</v>
      </c>
      <c r="F821" s="105" t="s">
        <v>50</v>
      </c>
      <c r="G821" s="62" t="s">
        <v>131</v>
      </c>
      <c r="H821" s="62" t="s">
        <v>51</v>
      </c>
      <c r="I821" s="66" t="s">
        <v>519</v>
      </c>
      <c r="J821" s="62" t="s">
        <v>53</v>
      </c>
      <c r="K821" s="67" t="s">
        <v>520</v>
      </c>
      <c r="L821" s="70"/>
      <c r="M821" s="62"/>
      <c r="N821" s="62"/>
      <c r="O821" s="69"/>
      <c r="P821" s="59" t="s">
        <v>42</v>
      </c>
      <c r="Q821" s="73" t="s">
        <v>43</v>
      </c>
      <c r="R821" s="62"/>
    </row>
    <row r="822" ht="13.8" spans="1:18">
      <c r="A822" s="58">
        <v>799</v>
      </c>
      <c r="B822" s="74">
        <v>45767</v>
      </c>
      <c r="C822" s="60" t="s">
        <v>49</v>
      </c>
      <c r="D822" s="61" t="s">
        <v>35</v>
      </c>
      <c r="E822" s="62" t="s">
        <v>73</v>
      </c>
      <c r="F822" s="105" t="s">
        <v>50</v>
      </c>
      <c r="G822" s="62" t="s">
        <v>45</v>
      </c>
      <c r="H822" s="62" t="s">
        <v>51</v>
      </c>
      <c r="I822" s="66" t="s">
        <v>1432</v>
      </c>
      <c r="J822" s="62" t="s">
        <v>53</v>
      </c>
      <c r="K822" s="67" t="s">
        <v>1345</v>
      </c>
      <c r="L822" s="70"/>
      <c r="M822" s="62"/>
      <c r="N822" s="62"/>
      <c r="O822" s="69"/>
      <c r="P822" s="59" t="s">
        <v>42</v>
      </c>
      <c r="Q822" s="73" t="s">
        <v>43</v>
      </c>
      <c r="R822" s="62"/>
    </row>
    <row r="823" ht="27.6" spans="1:18">
      <c r="A823" s="58">
        <v>800</v>
      </c>
      <c r="B823" s="74">
        <v>45756</v>
      </c>
      <c r="C823" s="60" t="s">
        <v>191</v>
      </c>
      <c r="D823" s="61" t="s">
        <v>35</v>
      </c>
      <c r="E823" s="62" t="s">
        <v>73</v>
      </c>
      <c r="F823" s="105" t="s">
        <v>135</v>
      </c>
      <c r="G823" s="62" t="s">
        <v>37</v>
      </c>
      <c r="H823" s="62" t="s">
        <v>94</v>
      </c>
      <c r="I823" s="66" t="s">
        <v>1141</v>
      </c>
      <c r="J823" s="62" t="s">
        <v>137</v>
      </c>
      <c r="K823" s="67" t="s">
        <v>1433</v>
      </c>
      <c r="L823" s="70"/>
      <c r="M823" s="62"/>
      <c r="N823" s="62"/>
      <c r="O823" s="69"/>
      <c r="P823" s="59" t="s">
        <v>42</v>
      </c>
      <c r="Q823" s="62" t="s">
        <v>8</v>
      </c>
      <c r="R823" s="62"/>
    </row>
    <row r="824" ht="13.8" spans="1:18">
      <c r="A824" s="58">
        <v>801</v>
      </c>
      <c r="B824" s="74">
        <v>45756</v>
      </c>
      <c r="C824" s="60" t="s">
        <v>49</v>
      </c>
      <c r="D824" s="61" t="s">
        <v>35</v>
      </c>
      <c r="E824" s="62" t="s">
        <v>73</v>
      </c>
      <c r="F824" s="105" t="s">
        <v>36</v>
      </c>
      <c r="G824" s="62" t="s">
        <v>45</v>
      </c>
      <c r="H824" s="62" t="s">
        <v>56</v>
      </c>
      <c r="I824" s="66" t="s">
        <v>1166</v>
      </c>
      <c r="J824" s="62" t="s">
        <v>40</v>
      </c>
      <c r="K824" s="67" t="s">
        <v>1407</v>
      </c>
      <c r="L824" s="70"/>
      <c r="M824" s="62"/>
      <c r="N824" s="62"/>
      <c r="O824" s="69"/>
      <c r="P824" s="59" t="s">
        <v>42</v>
      </c>
      <c r="Q824" s="73" t="s">
        <v>43</v>
      </c>
      <c r="R824" s="62"/>
    </row>
    <row r="825" ht="13.8" spans="1:18">
      <c r="A825" s="58">
        <v>802</v>
      </c>
      <c r="B825" s="74">
        <v>45761</v>
      </c>
      <c r="C825" s="60" t="s">
        <v>191</v>
      </c>
      <c r="D825" s="61" t="s">
        <v>35</v>
      </c>
      <c r="E825" s="62" t="s">
        <v>73</v>
      </c>
      <c r="F825" s="105" t="s">
        <v>36</v>
      </c>
      <c r="G825" s="62" t="s">
        <v>61</v>
      </c>
      <c r="H825" s="62" t="s">
        <v>66</v>
      </c>
      <c r="I825" s="66" t="s">
        <v>434</v>
      </c>
      <c r="J825" s="62" t="s">
        <v>40</v>
      </c>
      <c r="K825" s="67" t="s">
        <v>435</v>
      </c>
      <c r="L825" s="70"/>
      <c r="M825" s="62"/>
      <c r="N825" s="62"/>
      <c r="O825" s="69"/>
      <c r="P825" s="59" t="s">
        <v>42</v>
      </c>
      <c r="Q825" s="73" t="s">
        <v>43</v>
      </c>
      <c r="R825" s="62"/>
    </row>
    <row r="826" ht="13.8" spans="1:18">
      <c r="A826" s="58">
        <v>803</v>
      </c>
      <c r="B826" s="74">
        <v>45759</v>
      </c>
      <c r="C826" s="60" t="s">
        <v>208</v>
      </c>
      <c r="D826" s="61" t="s">
        <v>35</v>
      </c>
      <c r="E826" s="62" t="s">
        <v>73</v>
      </c>
      <c r="F826" s="105" t="s">
        <v>36</v>
      </c>
      <c r="G826" s="62" t="s">
        <v>131</v>
      </c>
      <c r="H826" s="62" t="s">
        <v>56</v>
      </c>
      <c r="I826" s="66" t="s">
        <v>1434</v>
      </c>
      <c r="J826" s="62" t="s">
        <v>40</v>
      </c>
      <c r="K826" s="67" t="s">
        <v>1435</v>
      </c>
      <c r="L826" s="70"/>
      <c r="M826" s="62"/>
      <c r="N826" s="62"/>
      <c r="O826" s="69"/>
      <c r="P826" s="59" t="s">
        <v>42</v>
      </c>
      <c r="Q826" s="73" t="s">
        <v>43</v>
      </c>
      <c r="R826" s="62"/>
    </row>
    <row r="827" ht="13.8" spans="1:18">
      <c r="A827" s="58">
        <v>804</v>
      </c>
      <c r="B827" s="74">
        <v>45764</v>
      </c>
      <c r="C827" s="60" t="s">
        <v>49</v>
      </c>
      <c r="D827" s="61" t="s">
        <v>35</v>
      </c>
      <c r="E827" s="62" t="s">
        <v>73</v>
      </c>
      <c r="F827" s="105" t="s">
        <v>36</v>
      </c>
      <c r="G827" s="62" t="s">
        <v>82</v>
      </c>
      <c r="H827" s="62" t="s">
        <v>94</v>
      </c>
      <c r="I827" s="66" t="s">
        <v>1436</v>
      </c>
      <c r="J827" s="62" t="s">
        <v>40</v>
      </c>
      <c r="K827" s="67" t="s">
        <v>1437</v>
      </c>
      <c r="L827" s="70"/>
      <c r="M827" s="62"/>
      <c r="N827" s="62"/>
      <c r="O827" s="69"/>
      <c r="P827" s="59" t="s">
        <v>42</v>
      </c>
      <c r="Q827" s="73" t="s">
        <v>43</v>
      </c>
      <c r="R827" s="62"/>
    </row>
    <row r="828" ht="13.8" spans="1:18">
      <c r="A828" s="58">
        <v>805</v>
      </c>
      <c r="B828" s="74">
        <v>45763</v>
      </c>
      <c r="C828" s="60" t="s">
        <v>49</v>
      </c>
      <c r="D828" s="61" t="s">
        <v>35</v>
      </c>
      <c r="E828" s="62" t="s">
        <v>73</v>
      </c>
      <c r="F828" s="105" t="s">
        <v>36</v>
      </c>
      <c r="G828" s="62" t="s">
        <v>131</v>
      </c>
      <c r="H828" s="62" t="s">
        <v>132</v>
      </c>
      <c r="I828" s="66" t="s">
        <v>1159</v>
      </c>
      <c r="J828" s="62" t="s">
        <v>40</v>
      </c>
      <c r="K828" s="67" t="s">
        <v>1160</v>
      </c>
      <c r="L828" s="70"/>
      <c r="M828" s="62"/>
      <c r="N828" s="62"/>
      <c r="O828" s="69"/>
      <c r="P828" s="59" t="s">
        <v>42</v>
      </c>
      <c r="Q828" s="73" t="s">
        <v>43</v>
      </c>
      <c r="R828" s="62"/>
    </row>
    <row r="829" ht="13.8" spans="1:18">
      <c r="A829" s="58">
        <v>806</v>
      </c>
      <c r="B829" s="74">
        <v>45756</v>
      </c>
      <c r="C829" s="60" t="s">
        <v>191</v>
      </c>
      <c r="D829" s="61" t="s">
        <v>35</v>
      </c>
      <c r="E829" s="62" t="s">
        <v>73</v>
      </c>
      <c r="F829" s="105" t="s">
        <v>36</v>
      </c>
      <c r="G829" s="62" t="s">
        <v>82</v>
      </c>
      <c r="H829" s="62" t="s">
        <v>56</v>
      </c>
      <c r="I829" s="66" t="s">
        <v>1035</v>
      </c>
      <c r="J829" s="62" t="s">
        <v>40</v>
      </c>
      <c r="K829" s="67" t="s">
        <v>1438</v>
      </c>
      <c r="L829" s="70"/>
      <c r="M829" s="62"/>
      <c r="N829" s="62"/>
      <c r="O829" s="69"/>
      <c r="P829" s="59" t="s">
        <v>42</v>
      </c>
      <c r="Q829" s="73" t="s">
        <v>43</v>
      </c>
      <c r="R829" s="62"/>
    </row>
    <row r="830" ht="27.6" spans="1:18">
      <c r="A830" s="58">
        <v>807</v>
      </c>
      <c r="B830" s="74">
        <v>45756</v>
      </c>
      <c r="C830" s="60" t="s">
        <v>191</v>
      </c>
      <c r="D830" s="61" t="s">
        <v>35</v>
      </c>
      <c r="E830" s="62" t="s">
        <v>73</v>
      </c>
      <c r="F830" s="105" t="s">
        <v>36</v>
      </c>
      <c r="G830" s="62" t="s">
        <v>82</v>
      </c>
      <c r="H830" s="62" t="s">
        <v>56</v>
      </c>
      <c r="I830" s="66" t="s">
        <v>1379</v>
      </c>
      <c r="J830" s="62" t="s">
        <v>40</v>
      </c>
      <c r="K830" s="67" t="s">
        <v>572</v>
      </c>
      <c r="L830" s="70"/>
      <c r="M830" s="62"/>
      <c r="N830" s="62"/>
      <c r="O830" s="69"/>
      <c r="P830" s="59" t="s">
        <v>42</v>
      </c>
      <c r="Q830" s="73" t="s">
        <v>43</v>
      </c>
      <c r="R830" s="62"/>
    </row>
    <row r="831" ht="13.8" spans="1:18">
      <c r="A831" s="58">
        <v>808</v>
      </c>
      <c r="B831" s="74">
        <v>45767</v>
      </c>
      <c r="C831" s="60" t="s">
        <v>49</v>
      </c>
      <c r="D831" s="61" t="s">
        <v>35</v>
      </c>
      <c r="E831" s="62" t="s">
        <v>73</v>
      </c>
      <c r="F831" s="105" t="s">
        <v>36</v>
      </c>
      <c r="G831" s="62" t="s">
        <v>45</v>
      </c>
      <c r="H831" s="62" t="s">
        <v>56</v>
      </c>
      <c r="I831" s="66" t="s">
        <v>1439</v>
      </c>
      <c r="J831" s="62" t="s">
        <v>40</v>
      </c>
      <c r="K831" s="67" t="s">
        <v>1440</v>
      </c>
      <c r="L831" s="70"/>
      <c r="M831" s="62"/>
      <c r="N831" s="62"/>
      <c r="O831" s="69"/>
      <c r="P831" s="59" t="s">
        <v>42</v>
      </c>
      <c r="Q831" s="73" t="s">
        <v>43</v>
      </c>
      <c r="R831" s="62"/>
    </row>
    <row r="832" ht="13.8" spans="1:18">
      <c r="A832" s="58">
        <v>809</v>
      </c>
      <c r="B832" s="74">
        <v>45768</v>
      </c>
      <c r="C832" s="60" t="s">
        <v>208</v>
      </c>
      <c r="D832" s="61" t="s">
        <v>35</v>
      </c>
      <c r="E832" s="62" t="s">
        <v>73</v>
      </c>
      <c r="F832" s="105" t="s">
        <v>36</v>
      </c>
      <c r="G832" s="62" t="s">
        <v>61</v>
      </c>
      <c r="H832" s="62" t="s">
        <v>66</v>
      </c>
      <c r="I832" s="66" t="s">
        <v>1441</v>
      </c>
      <c r="J832" s="62" t="s">
        <v>40</v>
      </c>
      <c r="K832" s="67" t="s">
        <v>1442</v>
      </c>
      <c r="L832" s="70"/>
      <c r="M832" s="62"/>
      <c r="N832" s="62"/>
      <c r="O832" s="69"/>
      <c r="P832" s="59" t="s">
        <v>42</v>
      </c>
      <c r="Q832" s="73" t="s">
        <v>43</v>
      </c>
      <c r="R832" s="62"/>
    </row>
    <row r="833" ht="13.8" spans="1:18">
      <c r="A833" s="58">
        <v>810</v>
      </c>
      <c r="B833" s="74">
        <v>45756</v>
      </c>
      <c r="C833" s="60" t="s">
        <v>208</v>
      </c>
      <c r="D833" s="61" t="s">
        <v>35</v>
      </c>
      <c r="E833" s="62" t="s">
        <v>73</v>
      </c>
      <c r="F833" s="105" t="s">
        <v>36</v>
      </c>
      <c r="G833" s="62" t="s">
        <v>131</v>
      </c>
      <c r="H833" s="62" t="s">
        <v>94</v>
      </c>
      <c r="I833" s="66" t="s">
        <v>509</v>
      </c>
      <c r="J833" s="62" t="s">
        <v>40</v>
      </c>
      <c r="K833" s="67" t="s">
        <v>510</v>
      </c>
      <c r="L833" s="70"/>
      <c r="M833" s="62"/>
      <c r="N833" s="62"/>
      <c r="O833" s="69"/>
      <c r="P833" s="59" t="s">
        <v>42</v>
      </c>
      <c r="Q833" s="73" t="s">
        <v>43</v>
      </c>
      <c r="R833" s="62"/>
    </row>
    <row r="834" ht="27.6" spans="1:18">
      <c r="A834" s="58">
        <v>811</v>
      </c>
      <c r="B834" s="74">
        <v>45770</v>
      </c>
      <c r="C834" s="60" t="s">
        <v>49</v>
      </c>
      <c r="D834" s="61" t="s">
        <v>35</v>
      </c>
      <c r="E834" s="62" t="s">
        <v>73</v>
      </c>
      <c r="F834" s="105" t="s">
        <v>36</v>
      </c>
      <c r="G834" s="62" t="s">
        <v>82</v>
      </c>
      <c r="H834" s="62" t="s">
        <v>132</v>
      </c>
      <c r="I834" s="66" t="s">
        <v>521</v>
      </c>
      <c r="J834" s="62" t="s">
        <v>40</v>
      </c>
      <c r="K834" s="67" t="s">
        <v>1443</v>
      </c>
      <c r="L834" s="70"/>
      <c r="M834" s="62"/>
      <c r="N834" s="62"/>
      <c r="O834" s="69"/>
      <c r="P834" s="59" t="s">
        <v>42</v>
      </c>
      <c r="Q834" s="73" t="s">
        <v>43</v>
      </c>
      <c r="R834" s="62"/>
    </row>
    <row r="835" ht="13.8" spans="1:18">
      <c r="A835" s="58">
        <v>812</v>
      </c>
      <c r="B835" s="74">
        <v>45768</v>
      </c>
      <c r="C835" s="60" t="s">
        <v>49</v>
      </c>
      <c r="D835" s="61" t="s">
        <v>35</v>
      </c>
      <c r="E835" s="62" t="s">
        <v>73</v>
      </c>
      <c r="F835" s="105" t="s">
        <v>36</v>
      </c>
      <c r="G835" s="62" t="s">
        <v>131</v>
      </c>
      <c r="H835" s="62" t="s">
        <v>376</v>
      </c>
      <c r="I835" s="66" t="s">
        <v>440</v>
      </c>
      <c r="J835" s="62" t="s">
        <v>40</v>
      </c>
      <c r="K835" s="67" t="s">
        <v>504</v>
      </c>
      <c r="L835" s="70"/>
      <c r="M835" s="62"/>
      <c r="N835" s="62"/>
      <c r="O835" s="69"/>
      <c r="P835" s="59" t="s">
        <v>42</v>
      </c>
      <c r="Q835" s="73" t="s">
        <v>43</v>
      </c>
      <c r="R835" s="62"/>
    </row>
    <row r="836" ht="27.6" spans="1:18">
      <c r="A836" s="58">
        <v>813</v>
      </c>
      <c r="B836" s="74">
        <v>45756</v>
      </c>
      <c r="C836" s="60" t="s">
        <v>208</v>
      </c>
      <c r="D836" s="61" t="s">
        <v>35</v>
      </c>
      <c r="E836" s="62" t="s">
        <v>73</v>
      </c>
      <c r="F836" s="105" t="s">
        <v>36</v>
      </c>
      <c r="G836" s="62" t="s">
        <v>82</v>
      </c>
      <c r="H836" s="62" t="s">
        <v>132</v>
      </c>
      <c r="I836" s="66" t="s">
        <v>1444</v>
      </c>
      <c r="J836" s="62" t="s">
        <v>40</v>
      </c>
      <c r="K836" s="67" t="s">
        <v>1445</v>
      </c>
      <c r="L836" s="70"/>
      <c r="M836" s="62"/>
      <c r="N836" s="62"/>
      <c r="O836" s="69"/>
      <c r="P836" s="59" t="s">
        <v>42</v>
      </c>
      <c r="Q836" s="73" t="s">
        <v>43</v>
      </c>
      <c r="R836" s="62"/>
    </row>
    <row r="837" ht="13.8" spans="1:18">
      <c r="A837" s="58">
        <v>814</v>
      </c>
      <c r="B837" s="74">
        <v>45766</v>
      </c>
      <c r="C837" s="60" t="s">
        <v>208</v>
      </c>
      <c r="D837" s="61" t="s">
        <v>35</v>
      </c>
      <c r="E837" s="62" t="s">
        <v>73</v>
      </c>
      <c r="F837" s="105" t="s">
        <v>36</v>
      </c>
      <c r="G837" s="62" t="s">
        <v>82</v>
      </c>
      <c r="H837" s="62" t="s">
        <v>56</v>
      </c>
      <c r="I837" s="66" t="s">
        <v>511</v>
      </c>
      <c r="J837" s="62" t="s">
        <v>40</v>
      </c>
      <c r="K837" s="67" t="s">
        <v>1446</v>
      </c>
      <c r="L837" s="70"/>
      <c r="M837" s="62"/>
      <c r="N837" s="62"/>
      <c r="O837" s="69"/>
      <c r="P837" s="59" t="s">
        <v>42</v>
      </c>
      <c r="Q837" s="73" t="s">
        <v>43</v>
      </c>
      <c r="R837" s="62"/>
    </row>
    <row r="838" ht="27.6" spans="1:18">
      <c r="A838" s="58">
        <v>815</v>
      </c>
      <c r="B838" s="74">
        <v>45754</v>
      </c>
      <c r="C838" s="60" t="s">
        <v>49</v>
      </c>
      <c r="D838" s="61" t="s">
        <v>35</v>
      </c>
      <c r="E838" s="62" t="s">
        <v>73</v>
      </c>
      <c r="F838" s="105" t="s">
        <v>36</v>
      </c>
      <c r="G838" s="62" t="s">
        <v>45</v>
      </c>
      <c r="H838" s="62" t="s">
        <v>46</v>
      </c>
      <c r="I838" s="66" t="s">
        <v>1447</v>
      </c>
      <c r="J838" s="62" t="s">
        <v>40</v>
      </c>
      <c r="K838" s="67" t="s">
        <v>544</v>
      </c>
      <c r="L838" s="70"/>
      <c r="M838" s="62"/>
      <c r="N838" s="62"/>
      <c r="O838" s="69"/>
      <c r="P838" s="59" t="s">
        <v>42</v>
      </c>
      <c r="Q838" s="73" t="s">
        <v>43</v>
      </c>
      <c r="R838" s="62"/>
    </row>
    <row r="839" ht="13.8" spans="1:18">
      <c r="A839" s="58">
        <v>816</v>
      </c>
      <c r="B839" s="74">
        <v>45753</v>
      </c>
      <c r="C839" s="60" t="s">
        <v>191</v>
      </c>
      <c r="D839" s="61" t="s">
        <v>35</v>
      </c>
      <c r="E839" s="62" t="s">
        <v>73</v>
      </c>
      <c r="F839" s="105" t="s">
        <v>36</v>
      </c>
      <c r="G839" s="62" t="s">
        <v>61</v>
      </c>
      <c r="H839" s="62" t="s">
        <v>271</v>
      </c>
      <c r="I839" s="66" t="s">
        <v>527</v>
      </c>
      <c r="J839" s="62" t="s">
        <v>40</v>
      </c>
      <c r="K839" s="67" t="s">
        <v>528</v>
      </c>
      <c r="L839" s="70"/>
      <c r="M839" s="62"/>
      <c r="N839" s="62"/>
      <c r="O839" s="69"/>
      <c r="P839" s="59" t="s">
        <v>42</v>
      </c>
      <c r="Q839" s="73" t="s">
        <v>43</v>
      </c>
      <c r="R839" s="62"/>
    </row>
    <row r="840" ht="13.8" spans="1:18">
      <c r="A840" s="58">
        <v>817</v>
      </c>
      <c r="B840" s="74">
        <v>45752</v>
      </c>
      <c r="C840" s="60" t="s">
        <v>208</v>
      </c>
      <c r="D840" s="61" t="s">
        <v>35</v>
      </c>
      <c r="E840" s="62" t="s">
        <v>73</v>
      </c>
      <c r="F840" s="105" t="s">
        <v>36</v>
      </c>
      <c r="G840" s="62" t="s">
        <v>131</v>
      </c>
      <c r="H840" s="62" t="s">
        <v>56</v>
      </c>
      <c r="I840" s="66" t="s">
        <v>1439</v>
      </c>
      <c r="J840" s="62" t="s">
        <v>40</v>
      </c>
      <c r="K840" s="67" t="s">
        <v>1440</v>
      </c>
      <c r="L840" s="70"/>
      <c r="M840" s="62"/>
      <c r="N840" s="62"/>
      <c r="O840" s="69"/>
      <c r="P840" s="59" t="s">
        <v>42</v>
      </c>
      <c r="Q840" s="73" t="s">
        <v>43</v>
      </c>
      <c r="R840" s="62"/>
    </row>
    <row r="841" ht="27.6" spans="1:18">
      <c r="A841" s="58">
        <v>818</v>
      </c>
      <c r="B841" s="74">
        <v>45750</v>
      </c>
      <c r="C841" s="60" t="s">
        <v>49</v>
      </c>
      <c r="D841" s="61" t="s">
        <v>35</v>
      </c>
      <c r="E841" s="62" t="s">
        <v>73</v>
      </c>
      <c r="F841" s="105" t="s">
        <v>36</v>
      </c>
      <c r="G841" s="62" t="s">
        <v>82</v>
      </c>
      <c r="H841" s="62" t="s">
        <v>94</v>
      </c>
      <c r="I841" s="66" t="s">
        <v>1448</v>
      </c>
      <c r="J841" s="62" t="s">
        <v>40</v>
      </c>
      <c r="K841" s="67" t="s">
        <v>1449</v>
      </c>
      <c r="L841" s="70"/>
      <c r="M841" s="62"/>
      <c r="N841" s="62"/>
      <c r="O841" s="69"/>
      <c r="P841" s="59" t="s">
        <v>42</v>
      </c>
      <c r="Q841" s="73" t="s">
        <v>43</v>
      </c>
      <c r="R841" s="62"/>
    </row>
    <row r="842" ht="27.6" spans="1:18">
      <c r="A842" s="58">
        <v>819</v>
      </c>
      <c r="B842" s="74">
        <v>45749</v>
      </c>
      <c r="C842" s="60" t="s">
        <v>191</v>
      </c>
      <c r="D842" s="61" t="s">
        <v>35</v>
      </c>
      <c r="E842" s="62" t="s">
        <v>73</v>
      </c>
      <c r="F842" s="105" t="s">
        <v>36</v>
      </c>
      <c r="G842" s="62" t="s">
        <v>131</v>
      </c>
      <c r="H842" s="62" t="s">
        <v>56</v>
      </c>
      <c r="I842" s="66" t="s">
        <v>1450</v>
      </c>
      <c r="J842" s="62" t="s">
        <v>40</v>
      </c>
      <c r="K842" s="67" t="s">
        <v>1451</v>
      </c>
      <c r="L842" s="70"/>
      <c r="M842" s="62"/>
      <c r="N842" s="62"/>
      <c r="O842" s="69"/>
      <c r="P842" s="59" t="s">
        <v>42</v>
      </c>
      <c r="Q842" s="73" t="s">
        <v>43</v>
      </c>
      <c r="R842" s="62"/>
    </row>
    <row r="843" ht="13.8" spans="1:18">
      <c r="A843" s="58">
        <v>820</v>
      </c>
      <c r="B843" s="74">
        <v>45764</v>
      </c>
      <c r="C843" s="60" t="s">
        <v>49</v>
      </c>
      <c r="D843" s="61" t="s">
        <v>35</v>
      </c>
      <c r="E843" s="62" t="s">
        <v>73</v>
      </c>
      <c r="F843" s="105" t="s">
        <v>36</v>
      </c>
      <c r="G843" s="62" t="s">
        <v>82</v>
      </c>
      <c r="H843" s="62" t="s">
        <v>94</v>
      </c>
      <c r="I843" s="66" t="s">
        <v>509</v>
      </c>
      <c r="J843" s="62" t="s">
        <v>40</v>
      </c>
      <c r="K843" s="67" t="s">
        <v>510</v>
      </c>
      <c r="L843" s="70"/>
      <c r="M843" s="62"/>
      <c r="N843" s="62"/>
      <c r="O843" s="69"/>
      <c r="P843" s="59" t="s">
        <v>42</v>
      </c>
      <c r="Q843" s="73" t="s">
        <v>43</v>
      </c>
      <c r="R843" s="62"/>
    </row>
    <row r="844" ht="13.8" spans="1:18">
      <c r="A844" s="58">
        <v>821</v>
      </c>
      <c r="B844" s="74">
        <v>45756</v>
      </c>
      <c r="C844" s="60" t="s">
        <v>191</v>
      </c>
      <c r="D844" s="61" t="s">
        <v>35</v>
      </c>
      <c r="E844" s="62" t="s">
        <v>73</v>
      </c>
      <c r="F844" s="105" t="s">
        <v>36</v>
      </c>
      <c r="G844" s="62" t="s">
        <v>82</v>
      </c>
      <c r="H844" s="62" t="s">
        <v>38</v>
      </c>
      <c r="I844" s="66" t="s">
        <v>1369</v>
      </c>
      <c r="J844" s="62" t="s">
        <v>40</v>
      </c>
      <c r="K844" s="67" t="s">
        <v>1417</v>
      </c>
      <c r="L844" s="70"/>
      <c r="M844" s="62"/>
      <c r="N844" s="62"/>
      <c r="O844" s="69"/>
      <c r="P844" s="59" t="s">
        <v>42</v>
      </c>
      <c r="Q844" s="73" t="s">
        <v>43</v>
      </c>
      <c r="R844" s="62"/>
    </row>
    <row r="845" ht="13.8" spans="1:18">
      <c r="A845" s="58">
        <v>822</v>
      </c>
      <c r="B845" s="74">
        <v>45769</v>
      </c>
      <c r="C845" s="60" t="s">
        <v>191</v>
      </c>
      <c r="D845" s="61" t="s">
        <v>35</v>
      </c>
      <c r="E845" s="62" t="s">
        <v>73</v>
      </c>
      <c r="F845" s="105" t="s">
        <v>36</v>
      </c>
      <c r="G845" s="62" t="s">
        <v>61</v>
      </c>
      <c r="H845" s="62" t="s">
        <v>376</v>
      </c>
      <c r="I845" s="66" t="s">
        <v>1452</v>
      </c>
      <c r="J845" s="62" t="s">
        <v>40</v>
      </c>
      <c r="K845" s="67" t="s">
        <v>504</v>
      </c>
      <c r="L845" s="70"/>
      <c r="M845" s="62"/>
      <c r="N845" s="62"/>
      <c r="O845" s="69"/>
      <c r="P845" s="59" t="s">
        <v>42</v>
      </c>
      <c r="Q845" s="73" t="s">
        <v>43</v>
      </c>
      <c r="R845" s="62"/>
    </row>
    <row r="846" ht="13.8" spans="1:18">
      <c r="A846" s="58">
        <v>823</v>
      </c>
      <c r="B846" s="74">
        <v>45756</v>
      </c>
      <c r="C846" s="60" t="s">
        <v>49</v>
      </c>
      <c r="D846" s="61" t="s">
        <v>35</v>
      </c>
      <c r="E846" s="62" t="s">
        <v>73</v>
      </c>
      <c r="F846" s="105" t="s">
        <v>36</v>
      </c>
      <c r="G846" s="62" t="s">
        <v>131</v>
      </c>
      <c r="H846" s="62" t="s">
        <v>38</v>
      </c>
      <c r="I846" s="66" t="s">
        <v>1453</v>
      </c>
      <c r="J846" s="62" t="s">
        <v>40</v>
      </c>
      <c r="K846" s="67" t="s">
        <v>1397</v>
      </c>
      <c r="L846" s="70"/>
      <c r="M846" s="62"/>
      <c r="N846" s="62"/>
      <c r="O846" s="69"/>
      <c r="P846" s="59" t="s">
        <v>42</v>
      </c>
      <c r="Q846" s="73" t="s">
        <v>43</v>
      </c>
      <c r="R846" s="62"/>
    </row>
    <row r="847" ht="27.6" spans="1:18">
      <c r="A847" s="58">
        <v>824</v>
      </c>
      <c r="B847" s="74">
        <v>45756</v>
      </c>
      <c r="C847" s="60" t="s">
        <v>208</v>
      </c>
      <c r="D847" s="61" t="s">
        <v>35</v>
      </c>
      <c r="E847" s="62" t="s">
        <v>73</v>
      </c>
      <c r="F847" s="105" t="s">
        <v>36</v>
      </c>
      <c r="G847" s="62" t="s">
        <v>82</v>
      </c>
      <c r="H847" s="62" t="s">
        <v>132</v>
      </c>
      <c r="I847" s="66" t="s">
        <v>521</v>
      </c>
      <c r="J847" s="62" t="s">
        <v>40</v>
      </c>
      <c r="K847" s="67" t="s">
        <v>1443</v>
      </c>
      <c r="L847" s="70"/>
      <c r="M847" s="62"/>
      <c r="N847" s="62"/>
      <c r="O847" s="69"/>
      <c r="P847" s="59" t="s">
        <v>42</v>
      </c>
      <c r="Q847" s="73" t="s">
        <v>43</v>
      </c>
      <c r="R847" s="62"/>
    </row>
    <row r="848" ht="13.8" spans="1:18">
      <c r="A848" s="58">
        <v>825</v>
      </c>
      <c r="B848" s="74">
        <v>45769</v>
      </c>
      <c r="C848" s="60" t="s">
        <v>208</v>
      </c>
      <c r="D848" s="61" t="s">
        <v>35</v>
      </c>
      <c r="E848" s="62" t="s">
        <v>73</v>
      </c>
      <c r="F848" s="105" t="s">
        <v>36</v>
      </c>
      <c r="G848" s="62" t="s">
        <v>131</v>
      </c>
      <c r="H848" s="62" t="s">
        <v>56</v>
      </c>
      <c r="I848" s="66" t="s">
        <v>1439</v>
      </c>
      <c r="J848" s="62" t="s">
        <v>40</v>
      </c>
      <c r="K848" s="67" t="s">
        <v>1440</v>
      </c>
      <c r="L848" s="70"/>
      <c r="M848" s="62"/>
      <c r="N848" s="62"/>
      <c r="O848" s="69"/>
      <c r="P848" s="59" t="s">
        <v>42</v>
      </c>
      <c r="Q848" s="73" t="s">
        <v>43</v>
      </c>
      <c r="R848" s="62"/>
    </row>
    <row r="849" ht="13.8" spans="1:18">
      <c r="A849" s="58">
        <v>826</v>
      </c>
      <c r="B849" s="74">
        <v>45756</v>
      </c>
      <c r="C849" s="60" t="s">
        <v>49</v>
      </c>
      <c r="D849" s="61" t="s">
        <v>35</v>
      </c>
      <c r="E849" s="62" t="s">
        <v>73</v>
      </c>
      <c r="F849" s="105" t="s">
        <v>36</v>
      </c>
      <c r="G849" s="62" t="s">
        <v>82</v>
      </c>
      <c r="H849" s="62" t="s">
        <v>271</v>
      </c>
      <c r="I849" s="66" t="s">
        <v>527</v>
      </c>
      <c r="J849" s="62" t="s">
        <v>40</v>
      </c>
      <c r="K849" s="67" t="s">
        <v>528</v>
      </c>
      <c r="L849" s="70"/>
      <c r="M849" s="62"/>
      <c r="N849" s="62"/>
      <c r="O849" s="69"/>
      <c r="P849" s="59" t="s">
        <v>42</v>
      </c>
      <c r="Q849" s="73" t="s">
        <v>43</v>
      </c>
      <c r="R849" s="62"/>
    </row>
    <row r="850" ht="27.6" spans="1:18">
      <c r="A850" s="58">
        <v>827</v>
      </c>
      <c r="B850" s="74">
        <v>45769</v>
      </c>
      <c r="C850" s="60" t="s">
        <v>191</v>
      </c>
      <c r="D850" s="61" t="s">
        <v>35</v>
      </c>
      <c r="E850" s="62" t="s">
        <v>73</v>
      </c>
      <c r="F850" s="105" t="s">
        <v>36</v>
      </c>
      <c r="G850" s="62" t="s">
        <v>82</v>
      </c>
      <c r="H850" s="62" t="s">
        <v>66</v>
      </c>
      <c r="I850" s="66" t="s">
        <v>511</v>
      </c>
      <c r="J850" s="62" t="s">
        <v>40</v>
      </c>
      <c r="K850" s="67" t="s">
        <v>512</v>
      </c>
      <c r="L850" s="70"/>
      <c r="M850" s="62"/>
      <c r="N850" s="62"/>
      <c r="O850" s="69"/>
      <c r="P850" s="59" t="s">
        <v>42</v>
      </c>
      <c r="Q850" s="73" t="s">
        <v>43</v>
      </c>
      <c r="R850" s="62"/>
    </row>
    <row r="851" ht="27.6" spans="1:18">
      <c r="A851" s="58">
        <v>828</v>
      </c>
      <c r="B851" s="74">
        <v>45777</v>
      </c>
      <c r="C851" s="60" t="s">
        <v>100</v>
      </c>
      <c r="D851" s="61" t="s">
        <v>60</v>
      </c>
      <c r="E851" s="62" t="s">
        <v>101</v>
      </c>
      <c r="F851" s="105" t="s">
        <v>135</v>
      </c>
      <c r="G851" s="62" t="s">
        <v>55</v>
      </c>
      <c r="H851" s="62" t="s">
        <v>56</v>
      </c>
      <c r="I851" s="66" t="s">
        <v>1454</v>
      </c>
      <c r="J851" s="62" t="s">
        <v>137</v>
      </c>
      <c r="K851" s="67"/>
      <c r="L851" s="70"/>
      <c r="M851" s="62"/>
      <c r="N851" s="62"/>
      <c r="O851" s="69"/>
      <c r="P851" s="59" t="s">
        <v>42</v>
      </c>
      <c r="Q851" s="62" t="s">
        <v>8</v>
      </c>
      <c r="R851" s="62"/>
    </row>
    <row r="852" ht="82.8" spans="1:18">
      <c r="A852" s="58">
        <v>829</v>
      </c>
      <c r="B852" s="74">
        <v>45777</v>
      </c>
      <c r="C852" s="60" t="s">
        <v>100</v>
      </c>
      <c r="D852" s="61" t="s">
        <v>60</v>
      </c>
      <c r="E852" s="62" t="s">
        <v>101</v>
      </c>
      <c r="F852" s="105" t="s">
        <v>36</v>
      </c>
      <c r="G852" s="62" t="s">
        <v>61</v>
      </c>
      <c r="H852" s="62" t="s">
        <v>132</v>
      </c>
      <c r="I852" s="66" t="s">
        <v>1455</v>
      </c>
      <c r="J852" s="62" t="s">
        <v>91</v>
      </c>
      <c r="K852" s="67"/>
      <c r="L852" s="70" t="s">
        <v>1456</v>
      </c>
      <c r="M852" s="62" t="s">
        <v>115</v>
      </c>
      <c r="N852" s="62" t="s">
        <v>582</v>
      </c>
      <c r="O852" s="69"/>
      <c r="P852" s="59">
        <v>45780</v>
      </c>
      <c r="Q852" s="73" t="s">
        <v>43</v>
      </c>
      <c r="R852" s="62"/>
    </row>
    <row r="853" ht="13.8" spans="1:18">
      <c r="A853" s="58">
        <v>830</v>
      </c>
      <c r="B853" s="74">
        <v>45775</v>
      </c>
      <c r="C853" s="60" t="s">
        <v>121</v>
      </c>
      <c r="D853" s="61" t="s">
        <v>60</v>
      </c>
      <c r="E853" s="62" t="s">
        <v>73</v>
      </c>
      <c r="F853" s="105" t="s">
        <v>135</v>
      </c>
      <c r="G853" s="62" t="s">
        <v>61</v>
      </c>
      <c r="H853" s="62" t="s">
        <v>51</v>
      </c>
      <c r="I853" s="66" t="s">
        <v>1457</v>
      </c>
      <c r="J853" s="62" t="s">
        <v>137</v>
      </c>
      <c r="K853" s="67"/>
      <c r="L853" s="70"/>
      <c r="M853" s="62"/>
      <c r="N853" s="62"/>
      <c r="O853" s="69"/>
      <c r="P853" s="59" t="s">
        <v>42</v>
      </c>
      <c r="Q853" s="62" t="s">
        <v>8</v>
      </c>
      <c r="R853" s="62"/>
    </row>
    <row r="854" ht="27.6" spans="1:18">
      <c r="A854" s="58">
        <v>831</v>
      </c>
      <c r="B854" s="74">
        <v>45776</v>
      </c>
      <c r="C854" s="60" t="s">
        <v>121</v>
      </c>
      <c r="D854" s="61" t="s">
        <v>60</v>
      </c>
      <c r="E854" s="62" t="s">
        <v>73</v>
      </c>
      <c r="F854" s="105" t="s">
        <v>135</v>
      </c>
      <c r="G854" s="62" t="s">
        <v>37</v>
      </c>
      <c r="H854" s="62" t="s">
        <v>66</v>
      </c>
      <c r="I854" s="66" t="s">
        <v>1458</v>
      </c>
      <c r="J854" s="62" t="s">
        <v>137</v>
      </c>
      <c r="K854" s="67"/>
      <c r="L854" s="70"/>
      <c r="M854" s="62"/>
      <c r="N854" s="62"/>
      <c r="O854" s="69"/>
      <c r="P854" s="59" t="s">
        <v>42</v>
      </c>
      <c r="Q854" s="62" t="s">
        <v>8</v>
      </c>
      <c r="R854" s="62"/>
    </row>
    <row r="855" ht="13.8" spans="1:18">
      <c r="A855" s="58">
        <v>832</v>
      </c>
      <c r="B855" s="74">
        <v>45773</v>
      </c>
      <c r="C855" s="60" t="s">
        <v>59</v>
      </c>
      <c r="D855" s="61" t="s">
        <v>60</v>
      </c>
      <c r="E855" s="62" t="s">
        <v>163</v>
      </c>
      <c r="F855" s="105" t="s">
        <v>135</v>
      </c>
      <c r="G855" s="62" t="s">
        <v>131</v>
      </c>
      <c r="H855" s="62" t="s">
        <v>56</v>
      </c>
      <c r="I855" s="66" t="s">
        <v>1459</v>
      </c>
      <c r="J855" s="62" t="s">
        <v>137</v>
      </c>
      <c r="K855" s="67"/>
      <c r="L855" s="70"/>
      <c r="M855" s="62"/>
      <c r="N855" s="62"/>
      <c r="O855" s="69"/>
      <c r="P855" s="59" t="s">
        <v>42</v>
      </c>
      <c r="Q855" s="62" t="s">
        <v>8</v>
      </c>
      <c r="R855" s="62"/>
    </row>
    <row r="856" ht="27.6" spans="1:18">
      <c r="A856" s="58">
        <v>833</v>
      </c>
      <c r="B856" s="74">
        <v>45773</v>
      </c>
      <c r="C856" s="60" t="s">
        <v>59</v>
      </c>
      <c r="D856" s="61" t="s">
        <v>60</v>
      </c>
      <c r="E856" s="62" t="s">
        <v>163</v>
      </c>
      <c r="F856" s="105" t="s">
        <v>36</v>
      </c>
      <c r="G856" s="62" t="s">
        <v>45</v>
      </c>
      <c r="H856" s="62" t="s">
        <v>56</v>
      </c>
      <c r="I856" s="66" t="s">
        <v>1460</v>
      </c>
      <c r="J856" s="62" t="s">
        <v>40</v>
      </c>
      <c r="K856" s="67" t="s">
        <v>1461</v>
      </c>
      <c r="L856" s="70"/>
      <c r="M856" s="62"/>
      <c r="N856" s="62"/>
      <c r="O856" s="69"/>
      <c r="P856" s="59"/>
      <c r="Q856" s="73" t="s">
        <v>43</v>
      </c>
      <c r="R856" s="62"/>
    </row>
    <row r="857" ht="41.4" spans="1:18">
      <c r="A857" s="58">
        <v>834</v>
      </c>
      <c r="B857" s="74">
        <v>45776</v>
      </c>
      <c r="C857" s="60" t="s">
        <v>121</v>
      </c>
      <c r="D857" s="61" t="s">
        <v>60</v>
      </c>
      <c r="E857" s="62" t="s">
        <v>73</v>
      </c>
      <c r="F857" s="105" t="s">
        <v>50</v>
      </c>
      <c r="G857" s="62" t="s">
        <v>37</v>
      </c>
      <c r="H857" s="62" t="s">
        <v>38</v>
      </c>
      <c r="I857" s="66" t="s">
        <v>1462</v>
      </c>
      <c r="J857" s="62" t="s">
        <v>53</v>
      </c>
      <c r="K857" s="67" t="s">
        <v>1463</v>
      </c>
      <c r="L857" s="70"/>
      <c r="M857" s="62"/>
      <c r="N857" s="62"/>
      <c r="O857" s="69"/>
      <c r="P857" s="59" t="s">
        <v>42</v>
      </c>
      <c r="Q857" s="73" t="s">
        <v>43</v>
      </c>
      <c r="R857" s="62"/>
    </row>
    <row r="858" ht="55.2" spans="1:18">
      <c r="A858" s="58">
        <v>835</v>
      </c>
      <c r="B858" s="74">
        <v>45776</v>
      </c>
      <c r="C858" s="60" t="s">
        <v>121</v>
      </c>
      <c r="D858" s="61" t="s">
        <v>60</v>
      </c>
      <c r="E858" s="62" t="s">
        <v>73</v>
      </c>
      <c r="F858" s="105" t="s">
        <v>36</v>
      </c>
      <c r="G858" s="62" t="s">
        <v>37</v>
      </c>
      <c r="H858" s="62" t="s">
        <v>128</v>
      </c>
      <c r="I858" s="66" t="s">
        <v>1464</v>
      </c>
      <c r="J858" s="62" t="s">
        <v>40</v>
      </c>
      <c r="K858" s="67" t="s">
        <v>1465</v>
      </c>
      <c r="L858" s="70"/>
      <c r="M858" s="62"/>
      <c r="N858" s="62"/>
      <c r="O858" s="69"/>
      <c r="P858" s="59" t="s">
        <v>42</v>
      </c>
      <c r="Q858" s="73" t="s">
        <v>43</v>
      </c>
      <c r="R858" s="62"/>
    </row>
    <row r="859" ht="41.4" spans="1:18">
      <c r="A859" s="58">
        <v>836</v>
      </c>
      <c r="B859" s="74">
        <v>45774</v>
      </c>
      <c r="C859" s="60" t="s">
        <v>798</v>
      </c>
      <c r="D859" s="61" t="s">
        <v>60</v>
      </c>
      <c r="E859" s="62" t="s">
        <v>86</v>
      </c>
      <c r="F859" s="105" t="s">
        <v>36</v>
      </c>
      <c r="G859" s="62" t="s">
        <v>37</v>
      </c>
      <c r="H859" s="62" t="s">
        <v>132</v>
      </c>
      <c r="I859" s="66" t="s">
        <v>1387</v>
      </c>
      <c r="J859" s="62" t="s">
        <v>88</v>
      </c>
      <c r="K859" s="67"/>
      <c r="L859" s="70" t="s">
        <v>1466</v>
      </c>
      <c r="M859" s="62" t="s">
        <v>115</v>
      </c>
      <c r="N859" s="62" t="s">
        <v>582</v>
      </c>
      <c r="O859" s="69"/>
      <c r="P859" s="59">
        <v>45777</v>
      </c>
      <c r="Q859" s="73" t="s">
        <v>43</v>
      </c>
      <c r="R859" s="62"/>
    </row>
    <row r="860" ht="41.4" spans="1:18">
      <c r="A860" s="58">
        <v>837</v>
      </c>
      <c r="B860" s="74">
        <v>45774</v>
      </c>
      <c r="C860" s="60" t="s">
        <v>798</v>
      </c>
      <c r="D860" s="61" t="s">
        <v>60</v>
      </c>
      <c r="E860" s="62" t="s">
        <v>86</v>
      </c>
      <c r="F860" s="105" t="s">
        <v>135</v>
      </c>
      <c r="G860" s="62" t="s">
        <v>93</v>
      </c>
      <c r="H860" s="62" t="s">
        <v>56</v>
      </c>
      <c r="I860" s="66" t="s">
        <v>1467</v>
      </c>
      <c r="J860" s="62" t="s">
        <v>137</v>
      </c>
      <c r="K860" s="67"/>
      <c r="L860" s="70"/>
      <c r="M860" s="62"/>
      <c r="N860" s="62"/>
      <c r="O860" s="69"/>
      <c r="P860" s="59" t="s">
        <v>42</v>
      </c>
      <c r="Q860" s="62" t="s">
        <v>8</v>
      </c>
      <c r="R860" s="62"/>
    </row>
    <row r="861" ht="55.2" spans="1:18">
      <c r="A861" s="58">
        <v>838</v>
      </c>
      <c r="B861" s="74">
        <v>45773</v>
      </c>
      <c r="C861" s="60" t="s">
        <v>798</v>
      </c>
      <c r="D861" s="61" t="s">
        <v>60</v>
      </c>
      <c r="E861" s="62" t="s">
        <v>86</v>
      </c>
      <c r="F861" s="105" t="s">
        <v>36</v>
      </c>
      <c r="G861" s="62" t="s">
        <v>55</v>
      </c>
      <c r="H861" s="62" t="s">
        <v>97</v>
      </c>
      <c r="I861" s="66" t="s">
        <v>1468</v>
      </c>
      <c r="J861" s="62" t="s">
        <v>40</v>
      </c>
      <c r="K861" s="67" t="s">
        <v>1469</v>
      </c>
      <c r="L861" s="70" t="s">
        <v>1470</v>
      </c>
      <c r="M861" s="62" t="s">
        <v>115</v>
      </c>
      <c r="N861" s="62" t="s">
        <v>115</v>
      </c>
      <c r="O861" s="69"/>
      <c r="P861" s="59">
        <v>45780</v>
      </c>
      <c r="Q861" s="73" t="s">
        <v>43</v>
      </c>
      <c r="R861" s="62"/>
    </row>
    <row r="862" ht="69" spans="1:18">
      <c r="A862" s="58">
        <v>839</v>
      </c>
      <c r="B862" s="74">
        <v>45739</v>
      </c>
      <c r="C862" s="60" t="s">
        <v>85</v>
      </c>
      <c r="D862" s="61" t="s">
        <v>60</v>
      </c>
      <c r="E862" s="62" t="s">
        <v>86</v>
      </c>
      <c r="F862" s="105" t="s">
        <v>192</v>
      </c>
      <c r="G862" s="62" t="s">
        <v>55</v>
      </c>
      <c r="H862" s="62" t="s">
        <v>132</v>
      </c>
      <c r="I862" s="66" t="s">
        <v>1471</v>
      </c>
      <c r="J862" s="62" t="s">
        <v>137</v>
      </c>
      <c r="K862" s="67" t="s">
        <v>1472</v>
      </c>
      <c r="L862" s="70" t="s">
        <v>194</v>
      </c>
      <c r="M862" s="62"/>
      <c r="N862" s="62"/>
      <c r="O862" s="69"/>
      <c r="P862" s="59" t="s">
        <v>42</v>
      </c>
      <c r="Q862" s="62" t="s">
        <v>8</v>
      </c>
      <c r="R862" s="62"/>
    </row>
    <row r="863" ht="69" spans="1:18">
      <c r="A863" s="58">
        <v>840</v>
      </c>
      <c r="B863" s="74">
        <v>45739</v>
      </c>
      <c r="C863" s="60" t="s">
        <v>85</v>
      </c>
      <c r="D863" s="61" t="s">
        <v>60</v>
      </c>
      <c r="E863" s="62" t="s">
        <v>86</v>
      </c>
      <c r="F863" s="105" t="s">
        <v>192</v>
      </c>
      <c r="G863" s="62" t="s">
        <v>93</v>
      </c>
      <c r="H863" s="62" t="s">
        <v>56</v>
      </c>
      <c r="I863" s="66" t="s">
        <v>1473</v>
      </c>
      <c r="J863" s="62" t="s">
        <v>137</v>
      </c>
      <c r="K863" s="67" t="s">
        <v>1474</v>
      </c>
      <c r="L863" s="70" t="s">
        <v>194</v>
      </c>
      <c r="M863" s="62"/>
      <c r="N863" s="62"/>
      <c r="O863" s="69"/>
      <c r="P863" s="59" t="s">
        <v>42</v>
      </c>
      <c r="Q863" s="62" t="s">
        <v>8</v>
      </c>
      <c r="R863" s="62"/>
    </row>
    <row r="864" ht="27.6" spans="1:18">
      <c r="A864" s="58">
        <v>841</v>
      </c>
      <c r="B864" s="74">
        <v>45739</v>
      </c>
      <c r="C864" s="60" t="s">
        <v>85</v>
      </c>
      <c r="D864" s="61" t="s">
        <v>60</v>
      </c>
      <c r="E864" s="62" t="s">
        <v>86</v>
      </c>
      <c r="F864" s="105" t="s">
        <v>36</v>
      </c>
      <c r="G864" s="62" t="s">
        <v>37</v>
      </c>
      <c r="H864" s="62" t="s">
        <v>51</v>
      </c>
      <c r="I864" s="66" t="s">
        <v>1475</v>
      </c>
      <c r="J864" s="62" t="s">
        <v>40</v>
      </c>
      <c r="K864" s="67" t="s">
        <v>1476</v>
      </c>
      <c r="L864" s="70" t="s">
        <v>1477</v>
      </c>
      <c r="M864" s="62"/>
      <c r="N864" s="62"/>
      <c r="O864" s="69"/>
      <c r="P864" s="59" t="s">
        <v>42</v>
      </c>
      <c r="Q864" s="73" t="s">
        <v>43</v>
      </c>
      <c r="R864" s="62"/>
    </row>
    <row r="865" ht="41.4" spans="1:18">
      <c r="A865" s="58">
        <v>842</v>
      </c>
      <c r="B865" s="74">
        <v>45739</v>
      </c>
      <c r="C865" s="60" t="s">
        <v>85</v>
      </c>
      <c r="D865" s="61" t="s">
        <v>60</v>
      </c>
      <c r="E865" s="62" t="s">
        <v>86</v>
      </c>
      <c r="F865" s="105" t="s">
        <v>36</v>
      </c>
      <c r="G865" s="62" t="s">
        <v>37</v>
      </c>
      <c r="H865" s="62" t="s">
        <v>94</v>
      </c>
      <c r="I865" s="66" t="s">
        <v>1478</v>
      </c>
      <c r="J865" s="62" t="s">
        <v>40</v>
      </c>
      <c r="K865" s="67" t="s">
        <v>1479</v>
      </c>
      <c r="L865" s="70" t="s">
        <v>1480</v>
      </c>
      <c r="M865" s="62"/>
      <c r="N865" s="62"/>
      <c r="O865" s="69"/>
      <c r="P865" s="59" t="s">
        <v>42</v>
      </c>
      <c r="Q865" s="73" t="s">
        <v>43</v>
      </c>
      <c r="R865" s="62"/>
    </row>
    <row r="866" ht="69" spans="1:18">
      <c r="A866" s="58">
        <v>843</v>
      </c>
      <c r="B866" s="74">
        <v>45739</v>
      </c>
      <c r="C866" s="60" t="s">
        <v>85</v>
      </c>
      <c r="D866" s="61" t="s">
        <v>60</v>
      </c>
      <c r="E866" s="62" t="s">
        <v>86</v>
      </c>
      <c r="F866" s="105" t="s">
        <v>192</v>
      </c>
      <c r="G866" s="62" t="s">
        <v>55</v>
      </c>
      <c r="H866" s="62" t="s">
        <v>94</v>
      </c>
      <c r="I866" s="66" t="s">
        <v>1481</v>
      </c>
      <c r="J866" s="62" t="s">
        <v>137</v>
      </c>
      <c r="K866" s="67" t="s">
        <v>1482</v>
      </c>
      <c r="L866" s="70" t="s">
        <v>194</v>
      </c>
      <c r="M866" s="62"/>
      <c r="N866" s="62"/>
      <c r="O866" s="69"/>
      <c r="P866" s="59" t="s">
        <v>42</v>
      </c>
      <c r="Q866" s="62" t="s">
        <v>8</v>
      </c>
      <c r="R866" s="62"/>
    </row>
    <row r="867" ht="27.6" spans="1:18">
      <c r="A867" s="58">
        <v>844</v>
      </c>
      <c r="B867" s="74">
        <v>45739</v>
      </c>
      <c r="C867" s="60" t="s">
        <v>121</v>
      </c>
      <c r="D867" s="61" t="s">
        <v>60</v>
      </c>
      <c r="E867" s="62" t="s">
        <v>73</v>
      </c>
      <c r="F867" s="105" t="s">
        <v>135</v>
      </c>
      <c r="G867" s="62" t="s">
        <v>131</v>
      </c>
      <c r="H867" s="62" t="s">
        <v>66</v>
      </c>
      <c r="I867" s="66" t="s">
        <v>1483</v>
      </c>
      <c r="J867" s="62" t="s">
        <v>137</v>
      </c>
      <c r="K867" s="67" t="s">
        <v>1484</v>
      </c>
      <c r="L867" s="70" t="s">
        <v>194</v>
      </c>
      <c r="M867" s="62"/>
      <c r="N867" s="62"/>
      <c r="O867" s="69"/>
      <c r="P867" s="59" t="s">
        <v>42</v>
      </c>
      <c r="Q867" s="62" t="s">
        <v>8</v>
      </c>
      <c r="R867" s="62"/>
    </row>
    <row r="868" ht="13.8" spans="1:18">
      <c r="A868" s="58">
        <v>845</v>
      </c>
      <c r="B868" s="74">
        <v>45739</v>
      </c>
      <c r="C868" s="60" t="s">
        <v>121</v>
      </c>
      <c r="D868" s="61" t="s">
        <v>60</v>
      </c>
      <c r="E868" s="62" t="s">
        <v>73</v>
      </c>
      <c r="F868" s="105" t="s">
        <v>192</v>
      </c>
      <c r="G868" s="62" t="s">
        <v>55</v>
      </c>
      <c r="H868" s="62" t="s">
        <v>51</v>
      </c>
      <c r="I868" s="66" t="s">
        <v>1485</v>
      </c>
      <c r="J868" s="62" t="s">
        <v>137</v>
      </c>
      <c r="K868" s="67" t="s">
        <v>1486</v>
      </c>
      <c r="L868" s="70" t="s">
        <v>194</v>
      </c>
      <c r="M868" s="62"/>
      <c r="N868" s="62"/>
      <c r="O868" s="69"/>
      <c r="P868" s="59" t="s">
        <v>42</v>
      </c>
      <c r="Q868" s="62" t="s">
        <v>8</v>
      </c>
      <c r="R868" s="62"/>
    </row>
    <row r="869" ht="41.4" spans="1:18">
      <c r="A869" s="58">
        <v>846</v>
      </c>
      <c r="B869" s="74">
        <v>45740</v>
      </c>
      <c r="C869" s="60" t="s">
        <v>121</v>
      </c>
      <c r="D869" s="61" t="s">
        <v>60</v>
      </c>
      <c r="E869" s="62" t="s">
        <v>73</v>
      </c>
      <c r="F869" s="105" t="s">
        <v>50</v>
      </c>
      <c r="G869" s="62" t="s">
        <v>65</v>
      </c>
      <c r="H869" s="62" t="s">
        <v>51</v>
      </c>
      <c r="I869" s="66" t="s">
        <v>1487</v>
      </c>
      <c r="J869" s="62" t="s">
        <v>40</v>
      </c>
      <c r="K869" s="67" t="s">
        <v>1488</v>
      </c>
      <c r="L869" s="70" t="s">
        <v>1489</v>
      </c>
      <c r="M869" s="62"/>
      <c r="N869" s="62"/>
      <c r="O869" s="69"/>
      <c r="P869" s="59" t="s">
        <v>42</v>
      </c>
      <c r="Q869" s="73" t="s">
        <v>43</v>
      </c>
      <c r="R869" s="62"/>
    </row>
    <row r="870" ht="69" spans="1:18">
      <c r="A870" s="58">
        <v>847</v>
      </c>
      <c r="B870" s="74">
        <v>45740</v>
      </c>
      <c r="C870" s="60" t="s">
        <v>121</v>
      </c>
      <c r="D870" s="61" t="s">
        <v>60</v>
      </c>
      <c r="E870" s="62" t="s">
        <v>73</v>
      </c>
      <c r="F870" s="105" t="s">
        <v>50</v>
      </c>
      <c r="G870" s="62" t="s">
        <v>65</v>
      </c>
      <c r="H870" s="62" t="s">
        <v>94</v>
      </c>
      <c r="I870" s="66" t="s">
        <v>1490</v>
      </c>
      <c r="J870" s="62" t="s">
        <v>91</v>
      </c>
      <c r="K870" s="67" t="s">
        <v>1491</v>
      </c>
      <c r="L870" s="70" t="s">
        <v>1489</v>
      </c>
      <c r="M870" s="62"/>
      <c r="N870" s="62"/>
      <c r="O870" s="69"/>
      <c r="P870" s="59" t="s">
        <v>42</v>
      </c>
      <c r="Q870" s="73" t="s">
        <v>43</v>
      </c>
      <c r="R870" s="62"/>
    </row>
    <row r="871" ht="41.4" spans="1:18">
      <c r="A871" s="58">
        <v>848</v>
      </c>
      <c r="B871" s="74">
        <v>45740</v>
      </c>
      <c r="C871" s="60" t="s">
        <v>100</v>
      </c>
      <c r="D871" s="61" t="s">
        <v>60</v>
      </c>
      <c r="E871" s="62" t="s">
        <v>101</v>
      </c>
      <c r="F871" s="105" t="s">
        <v>135</v>
      </c>
      <c r="G871" s="62" t="s">
        <v>55</v>
      </c>
      <c r="H871" s="62" t="s">
        <v>132</v>
      </c>
      <c r="I871" s="66" t="s">
        <v>1492</v>
      </c>
      <c r="J871" s="62" t="s">
        <v>137</v>
      </c>
      <c r="K871" s="67" t="s">
        <v>194</v>
      </c>
      <c r="L871" s="70" t="s">
        <v>1493</v>
      </c>
      <c r="M871" s="62"/>
      <c r="N871" s="62"/>
      <c r="O871" s="69"/>
      <c r="P871" s="59" t="s">
        <v>42</v>
      </c>
      <c r="Q871" s="62" t="s">
        <v>8</v>
      </c>
      <c r="R871" s="62"/>
    </row>
    <row r="872" ht="41.4" spans="1:18">
      <c r="A872" s="58">
        <v>849</v>
      </c>
      <c r="B872" s="74">
        <v>45740</v>
      </c>
      <c r="C872" s="60" t="s">
        <v>100</v>
      </c>
      <c r="D872" s="61" t="s">
        <v>60</v>
      </c>
      <c r="E872" s="62" t="s">
        <v>101</v>
      </c>
      <c r="F872" s="105" t="s">
        <v>192</v>
      </c>
      <c r="G872" s="62" t="s">
        <v>37</v>
      </c>
      <c r="H872" s="62" t="s">
        <v>51</v>
      </c>
      <c r="I872" s="66" t="s">
        <v>1494</v>
      </c>
      <c r="J872" s="62" t="s">
        <v>137</v>
      </c>
      <c r="K872" s="67" t="s">
        <v>194</v>
      </c>
      <c r="L872" s="70" t="s">
        <v>1495</v>
      </c>
      <c r="M872" s="62"/>
      <c r="N872" s="62"/>
      <c r="O872" s="69"/>
      <c r="P872" s="59" t="s">
        <v>42</v>
      </c>
      <c r="Q872" s="62" t="s">
        <v>8</v>
      </c>
      <c r="R872" s="62"/>
    </row>
    <row r="873" ht="27.6" spans="1:18">
      <c r="A873" s="58">
        <v>850</v>
      </c>
      <c r="B873" s="74">
        <v>45749</v>
      </c>
      <c r="C873" s="60" t="s">
        <v>597</v>
      </c>
      <c r="D873" s="61" t="s">
        <v>60</v>
      </c>
      <c r="E873" s="62" t="s">
        <v>73</v>
      </c>
      <c r="F873" s="105" t="s">
        <v>50</v>
      </c>
      <c r="G873" s="62" t="s">
        <v>55</v>
      </c>
      <c r="H873" s="62" t="s">
        <v>97</v>
      </c>
      <c r="I873" s="66" t="s">
        <v>1496</v>
      </c>
      <c r="J873" s="62" t="s">
        <v>53</v>
      </c>
      <c r="K873" s="67" t="s">
        <v>1497</v>
      </c>
      <c r="L873" s="70" t="s">
        <v>1498</v>
      </c>
      <c r="M873" s="62"/>
      <c r="N873" s="62"/>
      <c r="O873" s="69"/>
      <c r="P873" s="59" t="s">
        <v>42</v>
      </c>
      <c r="Q873" s="73" t="s">
        <v>43</v>
      </c>
      <c r="R873" s="62"/>
    </row>
    <row r="874" ht="41.4" spans="1:18">
      <c r="A874" s="58">
        <v>851</v>
      </c>
      <c r="B874" s="74">
        <v>45763</v>
      </c>
      <c r="C874" s="60" t="s">
        <v>85</v>
      </c>
      <c r="D874" s="61" t="s">
        <v>60</v>
      </c>
      <c r="E874" s="62" t="s">
        <v>86</v>
      </c>
      <c r="F874" s="105" t="s">
        <v>36</v>
      </c>
      <c r="G874" s="62" t="s">
        <v>37</v>
      </c>
      <c r="H874" s="62" t="s">
        <v>56</v>
      </c>
      <c r="I874" s="66" t="s">
        <v>1499</v>
      </c>
      <c r="J874" s="62" t="s">
        <v>40</v>
      </c>
      <c r="K874" s="67" t="s">
        <v>856</v>
      </c>
      <c r="L874" s="70" t="s">
        <v>1500</v>
      </c>
      <c r="M874" s="62"/>
      <c r="N874" s="62"/>
      <c r="O874" s="69"/>
      <c r="P874" s="59" t="s">
        <v>42</v>
      </c>
      <c r="Q874" s="73" t="s">
        <v>43</v>
      </c>
      <c r="R874" s="62"/>
    </row>
    <row r="875" ht="41.4" spans="1:18">
      <c r="A875" s="58">
        <v>852</v>
      </c>
      <c r="B875" s="74">
        <v>45763</v>
      </c>
      <c r="C875" s="60" t="s">
        <v>85</v>
      </c>
      <c r="D875" s="61" t="s">
        <v>60</v>
      </c>
      <c r="E875" s="62" t="s">
        <v>86</v>
      </c>
      <c r="F875" s="105" t="s">
        <v>135</v>
      </c>
      <c r="G875" s="62" t="s">
        <v>82</v>
      </c>
      <c r="H875" s="62" t="s">
        <v>56</v>
      </c>
      <c r="I875" s="66" t="s">
        <v>799</v>
      </c>
      <c r="J875" s="62" t="s">
        <v>137</v>
      </c>
      <c r="K875" s="67" t="s">
        <v>1501</v>
      </c>
      <c r="L875" s="70" t="s">
        <v>194</v>
      </c>
      <c r="M875" s="62"/>
      <c r="N875" s="62"/>
      <c r="O875" s="69"/>
      <c r="P875" s="59" t="s">
        <v>42</v>
      </c>
      <c r="Q875" s="62" t="s">
        <v>8</v>
      </c>
      <c r="R875" s="62"/>
    </row>
    <row r="876" ht="41.4" spans="1:18">
      <c r="A876" s="58">
        <v>853</v>
      </c>
      <c r="B876" s="74">
        <v>45763</v>
      </c>
      <c r="C876" s="60" t="s">
        <v>85</v>
      </c>
      <c r="D876" s="61" t="s">
        <v>60</v>
      </c>
      <c r="E876" s="62" t="s">
        <v>86</v>
      </c>
      <c r="F876" s="105" t="s">
        <v>192</v>
      </c>
      <c r="G876" s="62" t="s">
        <v>37</v>
      </c>
      <c r="H876" s="62" t="s">
        <v>132</v>
      </c>
      <c r="I876" s="66" t="s">
        <v>1215</v>
      </c>
      <c r="J876" s="62" t="s">
        <v>137</v>
      </c>
      <c r="K876" s="67" t="s">
        <v>1216</v>
      </c>
      <c r="L876" s="70" t="s">
        <v>194</v>
      </c>
      <c r="M876" s="62"/>
      <c r="N876" s="62"/>
      <c r="O876" s="69"/>
      <c r="P876" s="59" t="s">
        <v>42</v>
      </c>
      <c r="Q876" s="62" t="s">
        <v>8</v>
      </c>
      <c r="R876" s="62"/>
    </row>
    <row r="877" ht="27.6" spans="1:18">
      <c r="A877" s="58">
        <v>854</v>
      </c>
      <c r="B877" s="74">
        <v>45761</v>
      </c>
      <c r="C877" s="60" t="s">
        <v>100</v>
      </c>
      <c r="D877" s="61" t="s">
        <v>60</v>
      </c>
      <c r="E877" s="62" t="s">
        <v>101</v>
      </c>
      <c r="F877" s="105" t="s">
        <v>36</v>
      </c>
      <c r="G877" s="62" t="s">
        <v>37</v>
      </c>
      <c r="H877" s="62" t="s">
        <v>56</v>
      </c>
      <c r="I877" s="66" t="s">
        <v>1502</v>
      </c>
      <c r="J877" s="62" t="s">
        <v>40</v>
      </c>
      <c r="K877" s="67" t="s">
        <v>1503</v>
      </c>
      <c r="L877" s="70" t="s">
        <v>1504</v>
      </c>
      <c r="M877" s="62"/>
      <c r="N877" s="62"/>
      <c r="O877" s="69"/>
      <c r="P877" s="59" t="s">
        <v>42</v>
      </c>
      <c r="Q877" s="73" t="s">
        <v>43</v>
      </c>
      <c r="R877" s="62"/>
    </row>
    <row r="878" ht="55.2" spans="1:18">
      <c r="A878" s="58">
        <v>855</v>
      </c>
      <c r="B878" s="74">
        <v>45761</v>
      </c>
      <c r="C878" s="60" t="s">
        <v>100</v>
      </c>
      <c r="D878" s="61" t="s">
        <v>60</v>
      </c>
      <c r="E878" s="62" t="s">
        <v>101</v>
      </c>
      <c r="F878" s="105" t="s">
        <v>192</v>
      </c>
      <c r="G878" s="62" t="s">
        <v>37</v>
      </c>
      <c r="H878" s="62" t="s">
        <v>132</v>
      </c>
      <c r="I878" s="66" t="s">
        <v>1505</v>
      </c>
      <c r="J878" s="62" t="s">
        <v>137</v>
      </c>
      <c r="K878" s="67" t="s">
        <v>1506</v>
      </c>
      <c r="L878" s="70" t="s">
        <v>194</v>
      </c>
      <c r="M878" s="62"/>
      <c r="N878" s="62"/>
      <c r="O878" s="69"/>
      <c r="P878" s="59" t="s">
        <v>42</v>
      </c>
      <c r="Q878" s="62" t="s">
        <v>8</v>
      </c>
      <c r="R878" s="62"/>
    </row>
    <row r="879" ht="41.4" spans="1:18">
      <c r="A879" s="58">
        <v>856</v>
      </c>
      <c r="B879" s="74">
        <v>45762</v>
      </c>
      <c r="C879" s="60" t="s">
        <v>717</v>
      </c>
      <c r="D879" s="61" t="s">
        <v>60</v>
      </c>
      <c r="E879" s="62" t="s">
        <v>163</v>
      </c>
      <c r="F879" s="105" t="s">
        <v>192</v>
      </c>
      <c r="G879" s="62" t="s">
        <v>61</v>
      </c>
      <c r="H879" s="62" t="s">
        <v>1507</v>
      </c>
      <c r="I879" s="66" t="s">
        <v>1508</v>
      </c>
      <c r="J879" s="62" t="s">
        <v>137</v>
      </c>
      <c r="K879" s="67" t="s">
        <v>1509</v>
      </c>
      <c r="L879" s="70" t="s">
        <v>194</v>
      </c>
      <c r="M879" s="62"/>
      <c r="N879" s="62"/>
      <c r="O879" s="69"/>
      <c r="P879" s="59" t="s">
        <v>42</v>
      </c>
      <c r="Q879" s="62" t="s">
        <v>8</v>
      </c>
      <c r="R879" s="62"/>
    </row>
    <row r="880" ht="26.4" spans="1:18">
      <c r="A880" s="58">
        <v>857</v>
      </c>
      <c r="B880" s="74">
        <v>45762</v>
      </c>
      <c r="C880" s="60" t="s">
        <v>717</v>
      </c>
      <c r="D880" s="61" t="s">
        <v>60</v>
      </c>
      <c r="E880" s="62" t="s">
        <v>163</v>
      </c>
      <c r="F880" s="105" t="s">
        <v>50</v>
      </c>
      <c r="G880" s="62" t="s">
        <v>55</v>
      </c>
      <c r="H880" s="62" t="s">
        <v>51</v>
      </c>
      <c r="I880" s="66" t="s">
        <v>1510</v>
      </c>
      <c r="J880" s="62" t="s">
        <v>53</v>
      </c>
      <c r="K880" s="67" t="s">
        <v>1511</v>
      </c>
      <c r="L880" s="70" t="s">
        <v>1512</v>
      </c>
      <c r="M880" s="62"/>
      <c r="N880" s="62"/>
      <c r="O880" s="69"/>
      <c r="P880" s="59" t="s">
        <v>42</v>
      </c>
      <c r="Q880" s="73" t="s">
        <v>43</v>
      </c>
      <c r="R880" s="62"/>
    </row>
    <row r="881" ht="27.6" spans="1:18">
      <c r="A881" s="58">
        <v>858</v>
      </c>
      <c r="B881" s="74">
        <v>45762</v>
      </c>
      <c r="C881" s="60" t="s">
        <v>620</v>
      </c>
      <c r="D881" s="61" t="s">
        <v>60</v>
      </c>
      <c r="E881" s="62" t="s">
        <v>621</v>
      </c>
      <c r="F881" s="105" t="s">
        <v>36</v>
      </c>
      <c r="G881" s="62" t="s">
        <v>588</v>
      </c>
      <c r="H881" s="62" t="s">
        <v>51</v>
      </c>
      <c r="I881" s="66" t="s">
        <v>1513</v>
      </c>
      <c r="J881" s="62" t="s">
        <v>40</v>
      </c>
      <c r="K881" s="67" t="s">
        <v>1514</v>
      </c>
      <c r="L881" s="70" t="s">
        <v>1515</v>
      </c>
      <c r="M881" s="62"/>
      <c r="N881" s="62"/>
      <c r="O881" s="69"/>
      <c r="P881" s="59" t="s">
        <v>42</v>
      </c>
      <c r="Q881" s="73" t="s">
        <v>43</v>
      </c>
      <c r="R881" s="62"/>
    </row>
    <row r="882" ht="27.6" spans="1:18">
      <c r="A882" s="58">
        <v>859</v>
      </c>
      <c r="B882" s="74">
        <v>45749</v>
      </c>
      <c r="C882" s="60" t="s">
        <v>597</v>
      </c>
      <c r="D882" s="61" t="s">
        <v>60</v>
      </c>
      <c r="E882" s="62" t="s">
        <v>73</v>
      </c>
      <c r="F882" s="105" t="s">
        <v>50</v>
      </c>
      <c r="G882" s="62" t="s">
        <v>61</v>
      </c>
      <c r="H882" s="62" t="s">
        <v>132</v>
      </c>
      <c r="I882" s="66" t="s">
        <v>1516</v>
      </c>
      <c r="J882" s="62" t="s">
        <v>91</v>
      </c>
      <c r="K882" s="67" t="s">
        <v>1517</v>
      </c>
      <c r="L882" s="70" t="s">
        <v>1518</v>
      </c>
      <c r="M882" s="62"/>
      <c r="N882" s="62"/>
      <c r="O882" s="69"/>
      <c r="P882" s="59" t="s">
        <v>42</v>
      </c>
      <c r="Q882" s="73" t="s">
        <v>43</v>
      </c>
      <c r="R882" s="62"/>
    </row>
    <row r="883" ht="27.6" spans="1:18">
      <c r="A883" s="58">
        <v>860</v>
      </c>
      <c r="B883" s="74">
        <v>45769</v>
      </c>
      <c r="C883" s="60" t="s">
        <v>632</v>
      </c>
      <c r="D883" s="61" t="s">
        <v>72</v>
      </c>
      <c r="E883" s="62" t="s">
        <v>73</v>
      </c>
      <c r="F883" s="105" t="s">
        <v>36</v>
      </c>
      <c r="G883" s="62" t="s">
        <v>55</v>
      </c>
      <c r="H883" s="62" t="s">
        <v>56</v>
      </c>
      <c r="I883" s="66" t="s">
        <v>1519</v>
      </c>
      <c r="J883" s="62" t="s">
        <v>40</v>
      </c>
      <c r="K883" s="67"/>
      <c r="L883" s="70"/>
      <c r="M883" s="62"/>
      <c r="N883" s="62"/>
      <c r="O883" s="69"/>
      <c r="P883" s="59" t="s">
        <v>42</v>
      </c>
      <c r="Q883" s="73" t="s">
        <v>43</v>
      </c>
      <c r="R883" s="62"/>
    </row>
    <row r="884" ht="27.6" spans="1:18">
      <c r="A884" s="58">
        <v>861</v>
      </c>
      <c r="B884" s="74">
        <v>45768</v>
      </c>
      <c r="C884" s="60" t="s">
        <v>632</v>
      </c>
      <c r="D884" s="61" t="s">
        <v>72</v>
      </c>
      <c r="E884" s="62" t="s">
        <v>73</v>
      </c>
      <c r="F884" s="105" t="s">
        <v>36</v>
      </c>
      <c r="G884" s="62" t="s">
        <v>65</v>
      </c>
      <c r="H884" s="62" t="s">
        <v>56</v>
      </c>
      <c r="I884" s="66" t="s">
        <v>1520</v>
      </c>
      <c r="J884" s="62" t="s">
        <v>88</v>
      </c>
      <c r="K884" s="67"/>
      <c r="L884" s="70"/>
      <c r="M884" s="62"/>
      <c r="N884" s="62"/>
      <c r="O884" s="69"/>
      <c r="P884" s="59" t="s">
        <v>42</v>
      </c>
      <c r="Q884" s="73" t="s">
        <v>43</v>
      </c>
      <c r="R884" s="62"/>
    </row>
    <row r="885" ht="27.6" spans="1:18">
      <c r="A885" s="58">
        <v>862</v>
      </c>
      <c r="B885" s="74">
        <v>45770</v>
      </c>
      <c r="C885" s="60" t="s">
        <v>632</v>
      </c>
      <c r="D885" s="61" t="s">
        <v>72</v>
      </c>
      <c r="E885" s="62" t="s">
        <v>73</v>
      </c>
      <c r="F885" s="105" t="s">
        <v>50</v>
      </c>
      <c r="G885" s="62" t="s">
        <v>37</v>
      </c>
      <c r="H885" s="62" t="s">
        <v>989</v>
      </c>
      <c r="I885" s="66" t="s">
        <v>1521</v>
      </c>
      <c r="J885" s="62" t="s">
        <v>53</v>
      </c>
      <c r="K885" s="67"/>
      <c r="L885" s="70"/>
      <c r="M885" s="62"/>
      <c r="N885" s="62"/>
      <c r="O885" s="69"/>
      <c r="P885" s="59" t="s">
        <v>42</v>
      </c>
      <c r="Q885" s="73" t="s">
        <v>43</v>
      </c>
      <c r="R885" s="62"/>
    </row>
    <row r="886" ht="27.6" spans="1:18">
      <c r="A886" s="58">
        <v>863</v>
      </c>
      <c r="B886" s="74">
        <v>45772</v>
      </c>
      <c r="C886" s="60" t="s">
        <v>632</v>
      </c>
      <c r="D886" s="61" t="s">
        <v>72</v>
      </c>
      <c r="E886" s="62" t="s">
        <v>73</v>
      </c>
      <c r="F886" s="105" t="s">
        <v>36</v>
      </c>
      <c r="G886" s="62" t="s">
        <v>55</v>
      </c>
      <c r="H886" s="62" t="s">
        <v>46</v>
      </c>
      <c r="I886" s="66" t="s">
        <v>1522</v>
      </c>
      <c r="J886" s="62" t="s">
        <v>40</v>
      </c>
      <c r="K886" s="67"/>
      <c r="L886" s="70"/>
      <c r="M886" s="62"/>
      <c r="N886" s="62"/>
      <c r="O886" s="69"/>
      <c r="P886" s="59" t="s">
        <v>42</v>
      </c>
      <c r="Q886" s="73" t="s">
        <v>43</v>
      </c>
      <c r="R886" s="62"/>
    </row>
    <row r="887" ht="27.6" spans="1:18">
      <c r="A887" s="58">
        <v>864</v>
      </c>
      <c r="B887" s="74">
        <v>45771</v>
      </c>
      <c r="C887" s="60" t="s">
        <v>632</v>
      </c>
      <c r="D887" s="61" t="s">
        <v>72</v>
      </c>
      <c r="E887" s="62" t="s">
        <v>73</v>
      </c>
      <c r="F887" s="105" t="s">
        <v>36</v>
      </c>
      <c r="G887" s="62" t="s">
        <v>37</v>
      </c>
      <c r="H887" s="62" t="s">
        <v>132</v>
      </c>
      <c r="I887" s="66" t="s">
        <v>1523</v>
      </c>
      <c r="J887" s="62" t="s">
        <v>40</v>
      </c>
      <c r="K887" s="67"/>
      <c r="L887" s="70"/>
      <c r="M887" s="62"/>
      <c r="N887" s="62"/>
      <c r="O887" s="69"/>
      <c r="P887" s="59" t="s">
        <v>42</v>
      </c>
      <c r="Q887" s="73" t="s">
        <v>43</v>
      </c>
      <c r="R887" s="62"/>
    </row>
    <row r="888" ht="13.8" spans="1:18">
      <c r="A888" s="58">
        <v>865</v>
      </c>
      <c r="B888" s="74">
        <v>45772</v>
      </c>
      <c r="C888" s="60" t="s">
        <v>632</v>
      </c>
      <c r="D888" s="61" t="s">
        <v>72</v>
      </c>
      <c r="E888" s="62" t="s">
        <v>73</v>
      </c>
      <c r="F888" s="105" t="s">
        <v>36</v>
      </c>
      <c r="G888" s="62" t="s">
        <v>37</v>
      </c>
      <c r="H888" s="62" t="s">
        <v>38</v>
      </c>
      <c r="I888" s="66" t="s">
        <v>1524</v>
      </c>
      <c r="J888" s="62" t="s">
        <v>91</v>
      </c>
      <c r="K888" s="67"/>
      <c r="L888" s="70"/>
      <c r="M888" s="62"/>
      <c r="N888" s="62"/>
      <c r="O888" s="69"/>
      <c r="P888" s="59" t="s">
        <v>42</v>
      </c>
      <c r="Q888" s="73" t="s">
        <v>43</v>
      </c>
      <c r="R888" s="62"/>
    </row>
    <row r="889" ht="41.4" spans="1:18">
      <c r="A889" s="58">
        <v>866</v>
      </c>
      <c r="B889" s="74">
        <v>45767</v>
      </c>
      <c r="C889" s="60" t="s">
        <v>632</v>
      </c>
      <c r="D889" s="61" t="s">
        <v>72</v>
      </c>
      <c r="E889" s="62" t="s">
        <v>73</v>
      </c>
      <c r="F889" s="105" t="s">
        <v>192</v>
      </c>
      <c r="G889" s="62" t="s">
        <v>93</v>
      </c>
      <c r="H889" s="62" t="s">
        <v>51</v>
      </c>
      <c r="I889" s="66" t="s">
        <v>1525</v>
      </c>
      <c r="J889" s="62" t="s">
        <v>137</v>
      </c>
      <c r="K889" s="67"/>
      <c r="L889" s="70"/>
      <c r="M889" s="62"/>
      <c r="N889" s="62"/>
      <c r="O889" s="69"/>
      <c r="P889" s="59" t="s">
        <v>42</v>
      </c>
      <c r="Q889" s="62" t="s">
        <v>8</v>
      </c>
      <c r="R889" s="62"/>
    </row>
    <row r="890" ht="41.4" spans="1:18">
      <c r="A890" s="58">
        <v>867</v>
      </c>
      <c r="B890" s="74">
        <v>45771</v>
      </c>
      <c r="C890" s="60" t="s">
        <v>1526</v>
      </c>
      <c r="D890" s="61" t="s">
        <v>72</v>
      </c>
      <c r="E890" s="62" t="s">
        <v>73</v>
      </c>
      <c r="F890" s="105" t="s">
        <v>192</v>
      </c>
      <c r="G890" s="62" t="s">
        <v>82</v>
      </c>
      <c r="H890" s="62" t="s">
        <v>132</v>
      </c>
      <c r="I890" s="66" t="s">
        <v>1527</v>
      </c>
      <c r="J890" s="62" t="s">
        <v>137</v>
      </c>
      <c r="K890" s="67"/>
      <c r="L890" s="70"/>
      <c r="M890" s="62"/>
      <c r="N890" s="62"/>
      <c r="O890" s="69"/>
      <c r="P890" s="59" t="s">
        <v>42</v>
      </c>
      <c r="Q890" s="62" t="s">
        <v>8</v>
      </c>
      <c r="R890" s="62"/>
    </row>
    <row r="891" ht="13.8" spans="1:18">
      <c r="A891" s="58">
        <v>868</v>
      </c>
      <c r="B891" s="74">
        <v>45770</v>
      </c>
      <c r="C891" s="60" t="s">
        <v>1526</v>
      </c>
      <c r="D891" s="61" t="s">
        <v>72</v>
      </c>
      <c r="E891" s="62" t="s">
        <v>73</v>
      </c>
      <c r="F891" s="105" t="s">
        <v>36</v>
      </c>
      <c r="G891" s="62" t="s">
        <v>45</v>
      </c>
      <c r="H891" s="62" t="s">
        <v>1008</v>
      </c>
      <c r="I891" s="66" t="s">
        <v>1528</v>
      </c>
      <c r="J891" s="62" t="s">
        <v>40</v>
      </c>
      <c r="K891" s="67"/>
      <c r="L891" s="70"/>
      <c r="M891" s="62"/>
      <c r="N891" s="62"/>
      <c r="O891" s="69"/>
      <c r="P891" s="59" t="s">
        <v>42</v>
      </c>
      <c r="Q891" s="73" t="s">
        <v>43</v>
      </c>
      <c r="R891" s="62"/>
    </row>
    <row r="892" ht="27.6" spans="1:18">
      <c r="A892" s="58">
        <v>869</v>
      </c>
      <c r="B892" s="74">
        <v>45770</v>
      </c>
      <c r="C892" s="60" t="s">
        <v>1526</v>
      </c>
      <c r="D892" s="61" t="s">
        <v>72</v>
      </c>
      <c r="E892" s="62" t="s">
        <v>73</v>
      </c>
      <c r="F892" s="105" t="s">
        <v>50</v>
      </c>
      <c r="G892" s="62" t="s">
        <v>93</v>
      </c>
      <c r="H892" s="62" t="s">
        <v>51</v>
      </c>
      <c r="I892" s="66" t="s">
        <v>1529</v>
      </c>
      <c r="J892" s="62" t="s">
        <v>53</v>
      </c>
      <c r="K892" s="67"/>
      <c r="L892" s="70"/>
      <c r="M892" s="62"/>
      <c r="N892" s="62"/>
      <c r="O892" s="69"/>
      <c r="P892" s="59" t="s">
        <v>42</v>
      </c>
      <c r="Q892" s="73" t="s">
        <v>43</v>
      </c>
      <c r="R892" s="62"/>
    </row>
    <row r="893" ht="27.6" spans="1:18">
      <c r="A893" s="58">
        <v>870</v>
      </c>
      <c r="B893" s="74">
        <v>45772</v>
      </c>
      <c r="C893" s="60" t="s">
        <v>1526</v>
      </c>
      <c r="D893" s="61" t="s">
        <v>72</v>
      </c>
      <c r="E893" s="62" t="s">
        <v>73</v>
      </c>
      <c r="F893" s="105" t="s">
        <v>36</v>
      </c>
      <c r="G893" s="62" t="s">
        <v>45</v>
      </c>
      <c r="H893" s="62" t="s">
        <v>66</v>
      </c>
      <c r="I893" s="66" t="s">
        <v>1530</v>
      </c>
      <c r="J893" s="62" t="s">
        <v>40</v>
      </c>
      <c r="K893" s="67"/>
      <c r="L893" s="70"/>
      <c r="M893" s="62"/>
      <c r="N893" s="62"/>
      <c r="O893" s="69"/>
      <c r="P893" s="59" t="s">
        <v>42</v>
      </c>
      <c r="Q893" s="73" t="s">
        <v>43</v>
      </c>
      <c r="R893" s="62"/>
    </row>
    <row r="894" ht="27.6" spans="1:18">
      <c r="A894" s="58">
        <v>871</v>
      </c>
      <c r="B894" s="74">
        <v>45769</v>
      </c>
      <c r="C894" s="60" t="s">
        <v>1526</v>
      </c>
      <c r="D894" s="61" t="s">
        <v>72</v>
      </c>
      <c r="E894" s="62" t="s">
        <v>73</v>
      </c>
      <c r="F894" s="105" t="s">
        <v>36</v>
      </c>
      <c r="G894" s="62" t="s">
        <v>82</v>
      </c>
      <c r="H894" s="62" t="s">
        <v>97</v>
      </c>
      <c r="I894" s="66" t="s">
        <v>1531</v>
      </c>
      <c r="J894" s="62" t="s">
        <v>40</v>
      </c>
      <c r="K894" s="67"/>
      <c r="L894" s="70"/>
      <c r="M894" s="62"/>
      <c r="N894" s="62"/>
      <c r="O894" s="69"/>
      <c r="P894" s="59" t="s">
        <v>42</v>
      </c>
      <c r="Q894" s="73" t="s">
        <v>43</v>
      </c>
      <c r="R894" s="62"/>
    </row>
    <row r="895" ht="27.6" spans="1:18">
      <c r="A895" s="58">
        <v>872</v>
      </c>
      <c r="B895" s="74">
        <v>45771</v>
      </c>
      <c r="C895" s="60" t="s">
        <v>1526</v>
      </c>
      <c r="D895" s="61" t="s">
        <v>72</v>
      </c>
      <c r="E895" s="62" t="s">
        <v>73</v>
      </c>
      <c r="F895" s="105" t="s">
        <v>36</v>
      </c>
      <c r="G895" s="62" t="s">
        <v>82</v>
      </c>
      <c r="H895" s="62" t="s">
        <v>46</v>
      </c>
      <c r="I895" s="66" t="s">
        <v>1532</v>
      </c>
      <c r="J895" s="62" t="s">
        <v>91</v>
      </c>
      <c r="K895" s="67"/>
      <c r="L895" s="70"/>
      <c r="M895" s="62"/>
      <c r="N895" s="62"/>
      <c r="O895" s="69"/>
      <c r="P895" s="59" t="s">
        <v>42</v>
      </c>
      <c r="Q895" s="73" t="s">
        <v>43</v>
      </c>
      <c r="R895" s="62"/>
    </row>
    <row r="896" ht="13.8" spans="1:18">
      <c r="A896" s="58">
        <v>873</v>
      </c>
      <c r="B896" s="74">
        <v>45767</v>
      </c>
      <c r="C896" s="60" t="s">
        <v>1526</v>
      </c>
      <c r="D896" s="61" t="s">
        <v>72</v>
      </c>
      <c r="E896" s="62" t="s">
        <v>73</v>
      </c>
      <c r="F896" s="105" t="s">
        <v>36</v>
      </c>
      <c r="G896" s="62" t="s">
        <v>82</v>
      </c>
      <c r="H896" s="62" t="s">
        <v>56</v>
      </c>
      <c r="I896" s="66" t="s">
        <v>1533</v>
      </c>
      <c r="J896" s="62" t="s">
        <v>40</v>
      </c>
      <c r="K896" s="67"/>
      <c r="L896" s="70"/>
      <c r="M896" s="62"/>
      <c r="N896" s="62"/>
      <c r="O896" s="69"/>
      <c r="P896" s="59" t="s">
        <v>42</v>
      </c>
      <c r="Q896" s="73" t="s">
        <v>43</v>
      </c>
      <c r="R896" s="62"/>
    </row>
    <row r="897" ht="27.6" spans="1:18">
      <c r="A897" s="58">
        <v>874</v>
      </c>
      <c r="B897" s="74">
        <v>45752</v>
      </c>
      <c r="C897" s="60" t="s">
        <v>641</v>
      </c>
      <c r="D897" s="61" t="s">
        <v>72</v>
      </c>
      <c r="E897" s="62" t="s">
        <v>73</v>
      </c>
      <c r="F897" s="105" t="s">
        <v>36</v>
      </c>
      <c r="G897" s="62" t="s">
        <v>37</v>
      </c>
      <c r="H897" s="62" t="s">
        <v>94</v>
      </c>
      <c r="I897" s="66" t="s">
        <v>1534</v>
      </c>
      <c r="J897" s="62" t="s">
        <v>40</v>
      </c>
      <c r="K897" s="67"/>
      <c r="L897" s="70"/>
      <c r="M897" s="62"/>
      <c r="N897" s="62"/>
      <c r="O897" s="69"/>
      <c r="P897" s="59" t="s">
        <v>42</v>
      </c>
      <c r="Q897" s="73" t="s">
        <v>43</v>
      </c>
      <c r="R897" s="62"/>
    </row>
    <row r="898" ht="13.8" spans="1:18">
      <c r="A898" s="58">
        <v>875</v>
      </c>
      <c r="B898" s="74">
        <v>45757</v>
      </c>
      <c r="C898" s="60" t="s">
        <v>1526</v>
      </c>
      <c r="D898" s="61" t="s">
        <v>72</v>
      </c>
      <c r="E898" s="62" t="s">
        <v>73</v>
      </c>
      <c r="F898" s="105" t="s">
        <v>36</v>
      </c>
      <c r="G898" s="62" t="s">
        <v>45</v>
      </c>
      <c r="H898" s="62" t="s">
        <v>38</v>
      </c>
      <c r="I898" s="66" t="s">
        <v>1535</v>
      </c>
      <c r="J898" s="62" t="s">
        <v>40</v>
      </c>
      <c r="K898" s="67"/>
      <c r="L898" s="70"/>
      <c r="M898" s="62"/>
      <c r="N898" s="62"/>
      <c r="O898" s="69"/>
      <c r="P898" s="59" t="s">
        <v>42</v>
      </c>
      <c r="Q898" s="73" t="s">
        <v>43</v>
      </c>
      <c r="R898" s="62"/>
    </row>
    <row r="899" ht="27.6" spans="1:18">
      <c r="A899" s="58">
        <v>876</v>
      </c>
      <c r="B899" s="74">
        <v>45755</v>
      </c>
      <c r="C899" s="60" t="s">
        <v>641</v>
      </c>
      <c r="D899" s="61" t="s">
        <v>72</v>
      </c>
      <c r="E899" s="62" t="s">
        <v>73</v>
      </c>
      <c r="F899" s="105" t="s">
        <v>36</v>
      </c>
      <c r="G899" s="62" t="s">
        <v>55</v>
      </c>
      <c r="H899" s="62" t="s">
        <v>1008</v>
      </c>
      <c r="I899" s="66" t="s">
        <v>1536</v>
      </c>
      <c r="J899" s="62" t="s">
        <v>88</v>
      </c>
      <c r="K899" s="67"/>
      <c r="L899" s="70"/>
      <c r="M899" s="62"/>
      <c r="N899" s="62"/>
      <c r="O899" s="69"/>
      <c r="P899" s="59" t="s">
        <v>42</v>
      </c>
      <c r="Q899" s="73" t="s">
        <v>43</v>
      </c>
      <c r="R899" s="62"/>
    </row>
    <row r="900" ht="27.6" spans="1:18">
      <c r="A900" s="58">
        <v>877</v>
      </c>
      <c r="B900" s="74">
        <v>45756</v>
      </c>
      <c r="C900" s="60" t="s">
        <v>641</v>
      </c>
      <c r="D900" s="61" t="s">
        <v>72</v>
      </c>
      <c r="E900" s="62" t="s">
        <v>73</v>
      </c>
      <c r="F900" s="105" t="s">
        <v>36</v>
      </c>
      <c r="G900" s="62" t="s">
        <v>37</v>
      </c>
      <c r="H900" s="62" t="s">
        <v>38</v>
      </c>
      <c r="I900" s="66" t="s">
        <v>1537</v>
      </c>
      <c r="J900" s="62" t="s">
        <v>88</v>
      </c>
      <c r="K900" s="67"/>
      <c r="L900" s="70"/>
      <c r="M900" s="62"/>
      <c r="N900" s="62"/>
      <c r="O900" s="69"/>
      <c r="P900" s="59" t="s">
        <v>42</v>
      </c>
      <c r="Q900" s="73" t="s">
        <v>43</v>
      </c>
      <c r="R900" s="62"/>
    </row>
    <row r="901" ht="13.8" spans="1:18">
      <c r="A901" s="58">
        <v>878</v>
      </c>
      <c r="B901" s="74">
        <v>45753</v>
      </c>
      <c r="C901" s="60" t="s">
        <v>641</v>
      </c>
      <c r="D901" s="61" t="s">
        <v>72</v>
      </c>
      <c r="E901" s="62" t="s">
        <v>73</v>
      </c>
      <c r="F901" s="105" t="s">
        <v>50</v>
      </c>
      <c r="G901" s="62" t="s">
        <v>55</v>
      </c>
      <c r="H901" s="62" t="s">
        <v>94</v>
      </c>
      <c r="I901" s="66" t="s">
        <v>1538</v>
      </c>
      <c r="J901" s="62" t="s">
        <v>91</v>
      </c>
      <c r="K901" s="67"/>
      <c r="L901" s="70"/>
      <c r="M901" s="62"/>
      <c r="N901" s="62"/>
      <c r="O901" s="69"/>
      <c r="P901" s="59" t="s">
        <v>42</v>
      </c>
      <c r="Q901" s="73" t="s">
        <v>43</v>
      </c>
      <c r="R901" s="62"/>
    </row>
    <row r="902" ht="27.6" spans="1:18">
      <c r="A902" s="58">
        <v>879</v>
      </c>
      <c r="B902" s="74">
        <v>45753</v>
      </c>
      <c r="C902" s="60" t="s">
        <v>632</v>
      </c>
      <c r="D902" s="61" t="s">
        <v>72</v>
      </c>
      <c r="E902" s="62" t="s">
        <v>73</v>
      </c>
      <c r="F902" s="105" t="s">
        <v>36</v>
      </c>
      <c r="G902" s="62" t="s">
        <v>79</v>
      </c>
      <c r="H902" s="62" t="s">
        <v>56</v>
      </c>
      <c r="I902" s="66" t="s">
        <v>1539</v>
      </c>
      <c r="J902" s="62" t="s">
        <v>40</v>
      </c>
      <c r="K902" s="67"/>
      <c r="L902" s="70"/>
      <c r="M902" s="62"/>
      <c r="N902" s="62"/>
      <c r="O902" s="69"/>
      <c r="P902" s="59" t="s">
        <v>42</v>
      </c>
      <c r="Q902" s="73" t="s">
        <v>43</v>
      </c>
      <c r="R902" s="62"/>
    </row>
    <row r="903" ht="13.8" spans="1:18">
      <c r="A903" s="58">
        <v>880</v>
      </c>
      <c r="B903" s="74">
        <v>45756</v>
      </c>
      <c r="C903" s="60" t="s">
        <v>632</v>
      </c>
      <c r="D903" s="61" t="s">
        <v>72</v>
      </c>
      <c r="E903" s="62" t="s">
        <v>73</v>
      </c>
      <c r="F903" s="105" t="s">
        <v>36</v>
      </c>
      <c r="G903" s="62" t="s">
        <v>79</v>
      </c>
      <c r="H903" s="62" t="s">
        <v>376</v>
      </c>
      <c r="I903" s="66" t="s">
        <v>1540</v>
      </c>
      <c r="J903" s="62" t="s">
        <v>88</v>
      </c>
      <c r="K903" s="67"/>
      <c r="L903" s="70"/>
      <c r="M903" s="62"/>
      <c r="N903" s="62"/>
      <c r="O903" s="69"/>
      <c r="P903" s="59" t="s">
        <v>42</v>
      </c>
      <c r="Q903" s="73" t="s">
        <v>43</v>
      </c>
      <c r="R903" s="62"/>
    </row>
    <row r="904" ht="13.8" spans="1:18">
      <c r="A904" s="58">
        <v>881</v>
      </c>
      <c r="B904" s="74">
        <v>45755</v>
      </c>
      <c r="C904" s="60" t="s">
        <v>1526</v>
      </c>
      <c r="D904" s="61" t="s">
        <v>72</v>
      </c>
      <c r="E904" s="62" t="s">
        <v>73</v>
      </c>
      <c r="F904" s="105" t="s">
        <v>36</v>
      </c>
      <c r="G904" s="62" t="s">
        <v>45</v>
      </c>
      <c r="H904" s="62" t="s">
        <v>150</v>
      </c>
      <c r="I904" s="66" t="s">
        <v>1541</v>
      </c>
      <c r="J904" s="62" t="s">
        <v>91</v>
      </c>
      <c r="K904" s="67"/>
      <c r="L904" s="70"/>
      <c r="M904" s="62"/>
      <c r="N904" s="62"/>
      <c r="O904" s="69"/>
      <c r="P904" s="59" t="s">
        <v>42</v>
      </c>
      <c r="Q904" s="73" t="s">
        <v>43</v>
      </c>
      <c r="R904" s="62"/>
    </row>
    <row r="905" ht="27.6" spans="1:18">
      <c r="A905" s="58">
        <v>882</v>
      </c>
      <c r="B905" s="74">
        <v>45754</v>
      </c>
      <c r="C905" s="60" t="s">
        <v>641</v>
      </c>
      <c r="D905" s="61" t="s">
        <v>72</v>
      </c>
      <c r="E905" s="62" t="s">
        <v>73</v>
      </c>
      <c r="F905" s="105" t="s">
        <v>36</v>
      </c>
      <c r="G905" s="62" t="s">
        <v>37</v>
      </c>
      <c r="H905" s="62" t="s">
        <v>94</v>
      </c>
      <c r="I905" s="66" t="s">
        <v>1542</v>
      </c>
      <c r="J905" s="62" t="s">
        <v>91</v>
      </c>
      <c r="K905" s="67"/>
      <c r="L905" s="70"/>
      <c r="M905" s="62"/>
      <c r="N905" s="62"/>
      <c r="O905" s="69"/>
      <c r="P905" s="59" t="s">
        <v>42</v>
      </c>
      <c r="Q905" s="73" t="s">
        <v>43</v>
      </c>
      <c r="R905" s="62"/>
    </row>
    <row r="906" ht="27.6" spans="1:18">
      <c r="A906" s="58">
        <v>883</v>
      </c>
      <c r="B906" s="74">
        <v>45756</v>
      </c>
      <c r="C906" s="60" t="s">
        <v>632</v>
      </c>
      <c r="D906" s="61" t="s">
        <v>72</v>
      </c>
      <c r="E906" s="62" t="s">
        <v>73</v>
      </c>
      <c r="F906" s="105" t="s">
        <v>36</v>
      </c>
      <c r="G906" s="62" t="s">
        <v>61</v>
      </c>
      <c r="H906" s="62" t="s">
        <v>46</v>
      </c>
      <c r="I906" s="66" t="s">
        <v>1543</v>
      </c>
      <c r="J906" s="62" t="s">
        <v>40</v>
      </c>
      <c r="K906" s="67"/>
      <c r="L906" s="70"/>
      <c r="M906" s="62"/>
      <c r="N906" s="62"/>
      <c r="O906" s="69"/>
      <c r="P906" s="59" t="s">
        <v>42</v>
      </c>
      <c r="Q906" s="73" t="s">
        <v>43</v>
      </c>
      <c r="R906" s="62"/>
    </row>
    <row r="907" ht="13.8" spans="1:18">
      <c r="A907" s="58">
        <v>884</v>
      </c>
      <c r="B907" s="74">
        <v>45756</v>
      </c>
      <c r="C907" s="60" t="s">
        <v>641</v>
      </c>
      <c r="D907" s="61" t="s">
        <v>72</v>
      </c>
      <c r="E907" s="62" t="s">
        <v>73</v>
      </c>
      <c r="F907" s="105" t="s">
        <v>36</v>
      </c>
      <c r="G907" s="62" t="s">
        <v>55</v>
      </c>
      <c r="H907" s="62" t="s">
        <v>132</v>
      </c>
      <c r="I907" s="66" t="s">
        <v>1544</v>
      </c>
      <c r="J907" s="62" t="s">
        <v>40</v>
      </c>
      <c r="K907" s="67"/>
      <c r="L907" s="70"/>
      <c r="M907" s="62"/>
      <c r="N907" s="62"/>
      <c r="O907" s="69"/>
      <c r="P907" s="59" t="s">
        <v>42</v>
      </c>
      <c r="Q907" s="73" t="s">
        <v>43</v>
      </c>
      <c r="R907" s="62"/>
    </row>
    <row r="908" ht="27.6" spans="1:18">
      <c r="A908" s="58">
        <v>885</v>
      </c>
      <c r="B908" s="74">
        <v>45752</v>
      </c>
      <c r="C908" s="60" t="s">
        <v>641</v>
      </c>
      <c r="D908" s="61" t="s">
        <v>72</v>
      </c>
      <c r="E908" s="62" t="s">
        <v>73</v>
      </c>
      <c r="F908" s="105" t="s">
        <v>135</v>
      </c>
      <c r="G908" s="62" t="s">
        <v>55</v>
      </c>
      <c r="H908" s="62" t="s">
        <v>56</v>
      </c>
      <c r="I908" s="66" t="s">
        <v>1545</v>
      </c>
      <c r="J908" s="62" t="s">
        <v>137</v>
      </c>
      <c r="K908" s="67"/>
      <c r="L908" s="70"/>
      <c r="M908" s="62"/>
      <c r="N908" s="62"/>
      <c r="O908" s="69"/>
      <c r="P908" s="59" t="s">
        <v>42</v>
      </c>
      <c r="Q908" s="62" t="s">
        <v>8</v>
      </c>
      <c r="R908" s="62"/>
    </row>
    <row r="909" ht="27.6" spans="1:18">
      <c r="A909" s="58">
        <v>886</v>
      </c>
      <c r="B909" s="74">
        <v>45756</v>
      </c>
      <c r="C909" s="60" t="s">
        <v>632</v>
      </c>
      <c r="D909" s="61" t="s">
        <v>72</v>
      </c>
      <c r="E909" s="62" t="s">
        <v>73</v>
      </c>
      <c r="F909" s="105" t="s">
        <v>36</v>
      </c>
      <c r="G909" s="62" t="s">
        <v>79</v>
      </c>
      <c r="H909" s="62" t="s">
        <v>1546</v>
      </c>
      <c r="I909" s="66" t="s">
        <v>1547</v>
      </c>
      <c r="J909" s="62" t="s">
        <v>91</v>
      </c>
      <c r="K909" s="67"/>
      <c r="L909" s="70"/>
      <c r="M909" s="62"/>
      <c r="N909" s="62"/>
      <c r="O909" s="69"/>
      <c r="P909" s="59" t="s">
        <v>42</v>
      </c>
      <c r="Q909" s="73" t="s">
        <v>43</v>
      </c>
      <c r="R909" s="62"/>
    </row>
    <row r="910" ht="27.6" spans="1:18">
      <c r="A910" s="58">
        <v>887</v>
      </c>
      <c r="B910" s="74">
        <v>45750</v>
      </c>
      <c r="C910" s="60" t="s">
        <v>632</v>
      </c>
      <c r="D910" s="61" t="s">
        <v>72</v>
      </c>
      <c r="E910" s="62" t="s">
        <v>73</v>
      </c>
      <c r="F910" s="105" t="s">
        <v>192</v>
      </c>
      <c r="G910" s="62" t="s">
        <v>45</v>
      </c>
      <c r="H910" s="62" t="s">
        <v>56</v>
      </c>
      <c r="I910" s="66" t="s">
        <v>1548</v>
      </c>
      <c r="J910" s="62" t="s">
        <v>137</v>
      </c>
      <c r="K910" s="67"/>
      <c r="L910" s="70"/>
      <c r="M910" s="62"/>
      <c r="N910" s="62"/>
      <c r="O910" s="69"/>
      <c r="P910" s="59" t="s">
        <v>42</v>
      </c>
      <c r="Q910" s="62" t="s">
        <v>8</v>
      </c>
      <c r="R910" s="62"/>
    </row>
    <row r="911" ht="27.6" spans="1:18">
      <c r="A911" s="58">
        <v>888</v>
      </c>
      <c r="B911" s="74">
        <v>45753</v>
      </c>
      <c r="C911" s="60" t="s">
        <v>1526</v>
      </c>
      <c r="D911" s="61" t="s">
        <v>72</v>
      </c>
      <c r="E911" s="62" t="s">
        <v>73</v>
      </c>
      <c r="F911" s="105" t="s">
        <v>50</v>
      </c>
      <c r="G911" s="62" t="s">
        <v>61</v>
      </c>
      <c r="H911" s="62" t="s">
        <v>622</v>
      </c>
      <c r="I911" s="66" t="s">
        <v>1549</v>
      </c>
      <c r="J911" s="62" t="s">
        <v>53</v>
      </c>
      <c r="K911" s="67"/>
      <c r="L911" s="70"/>
      <c r="M911" s="62"/>
      <c r="N911" s="62"/>
      <c r="O911" s="69"/>
      <c r="P911" s="59" t="s">
        <v>42</v>
      </c>
      <c r="Q911" s="73" t="s">
        <v>43</v>
      </c>
      <c r="R911" s="62"/>
    </row>
    <row r="912" ht="13.8" spans="1:18">
      <c r="A912" s="58">
        <v>889</v>
      </c>
      <c r="B912" s="74">
        <v>45754</v>
      </c>
      <c r="C912" s="60" t="s">
        <v>632</v>
      </c>
      <c r="D912" s="61" t="s">
        <v>72</v>
      </c>
      <c r="E912" s="62" t="s">
        <v>73</v>
      </c>
      <c r="F912" s="105" t="s">
        <v>36</v>
      </c>
      <c r="G912" s="62" t="s">
        <v>131</v>
      </c>
      <c r="H912" s="62" t="s">
        <v>132</v>
      </c>
      <c r="I912" s="66" t="s">
        <v>1550</v>
      </c>
      <c r="J912" s="62" t="s">
        <v>40</v>
      </c>
      <c r="K912" s="67"/>
      <c r="L912" s="70"/>
      <c r="M912" s="62"/>
      <c r="N912" s="62"/>
      <c r="O912" s="69"/>
      <c r="P912" s="59" t="s">
        <v>42</v>
      </c>
      <c r="Q912" s="73" t="s">
        <v>43</v>
      </c>
      <c r="R912" s="62"/>
    </row>
    <row r="913" ht="27.6" spans="1:18">
      <c r="A913" s="58">
        <v>890</v>
      </c>
      <c r="B913" s="74">
        <v>45754</v>
      </c>
      <c r="C913" s="60" t="s">
        <v>641</v>
      </c>
      <c r="D913" s="61" t="s">
        <v>72</v>
      </c>
      <c r="E913" s="62" t="s">
        <v>73</v>
      </c>
      <c r="F913" s="105" t="s">
        <v>36</v>
      </c>
      <c r="G913" s="62" t="s">
        <v>55</v>
      </c>
      <c r="H913" s="62" t="s">
        <v>94</v>
      </c>
      <c r="I913" s="66" t="s">
        <v>1551</v>
      </c>
      <c r="J913" s="62" t="s">
        <v>40</v>
      </c>
      <c r="K913" s="67"/>
      <c r="L913" s="70"/>
      <c r="M913" s="62"/>
      <c r="N913" s="62"/>
      <c r="O913" s="69"/>
      <c r="P913" s="59" t="s">
        <v>42</v>
      </c>
      <c r="Q913" s="73" t="s">
        <v>43</v>
      </c>
      <c r="R913" s="62"/>
    </row>
    <row r="914" ht="27.6" spans="1:18">
      <c r="A914" s="58">
        <v>891</v>
      </c>
      <c r="B914" s="74">
        <v>45750</v>
      </c>
      <c r="C914" s="60" t="s">
        <v>641</v>
      </c>
      <c r="D914" s="61" t="s">
        <v>72</v>
      </c>
      <c r="E914" s="62" t="s">
        <v>73</v>
      </c>
      <c r="F914" s="105" t="s">
        <v>192</v>
      </c>
      <c r="G914" s="62" t="s">
        <v>37</v>
      </c>
      <c r="H914" s="62" t="s">
        <v>271</v>
      </c>
      <c r="I914" s="66" t="s">
        <v>1552</v>
      </c>
      <c r="J914" s="62" t="s">
        <v>137</v>
      </c>
      <c r="K914" s="67"/>
      <c r="L914" s="70"/>
      <c r="M914" s="62"/>
      <c r="N914" s="62"/>
      <c r="O914" s="69"/>
      <c r="P914" s="59" t="s">
        <v>42</v>
      </c>
      <c r="Q914" s="62" t="s">
        <v>8</v>
      </c>
      <c r="R914" s="62"/>
    </row>
    <row r="915" ht="13.8" spans="1:18">
      <c r="A915" s="58">
        <v>892</v>
      </c>
      <c r="B915" s="74">
        <v>45755</v>
      </c>
      <c r="C915" s="60" t="s">
        <v>641</v>
      </c>
      <c r="D915" s="61" t="s">
        <v>72</v>
      </c>
      <c r="E915" s="62" t="s">
        <v>73</v>
      </c>
      <c r="F915" s="105" t="s">
        <v>36</v>
      </c>
      <c r="G915" s="62" t="s">
        <v>93</v>
      </c>
      <c r="H915" s="62" t="s">
        <v>97</v>
      </c>
      <c r="I915" s="66" t="s">
        <v>1553</v>
      </c>
      <c r="J915" s="62" t="s">
        <v>40</v>
      </c>
      <c r="K915" s="67"/>
      <c r="L915" s="70"/>
      <c r="M915" s="62"/>
      <c r="N915" s="62"/>
      <c r="O915" s="69"/>
      <c r="P915" s="59" t="s">
        <v>42</v>
      </c>
      <c r="Q915" s="73" t="s">
        <v>43</v>
      </c>
      <c r="R915" s="62"/>
    </row>
    <row r="916" ht="27.6" spans="1:18">
      <c r="A916" s="58">
        <v>893</v>
      </c>
      <c r="B916" s="74">
        <v>45750</v>
      </c>
      <c r="C916" s="60" t="s">
        <v>632</v>
      </c>
      <c r="D916" s="61" t="s">
        <v>72</v>
      </c>
      <c r="E916" s="62" t="s">
        <v>73</v>
      </c>
      <c r="F916" s="105" t="s">
        <v>36</v>
      </c>
      <c r="G916" s="62" t="s">
        <v>61</v>
      </c>
      <c r="H916" s="62" t="s">
        <v>132</v>
      </c>
      <c r="I916" s="66" t="s">
        <v>1554</v>
      </c>
      <c r="J916" s="62" t="s">
        <v>91</v>
      </c>
      <c r="K916" s="67"/>
      <c r="L916" s="70"/>
      <c r="M916" s="62"/>
      <c r="N916" s="62"/>
      <c r="O916" s="69"/>
      <c r="P916" s="59" t="s">
        <v>42</v>
      </c>
      <c r="Q916" s="73" t="s">
        <v>43</v>
      </c>
      <c r="R916" s="62"/>
    </row>
    <row r="917" ht="27.6" spans="1:18">
      <c r="A917" s="58">
        <v>894</v>
      </c>
      <c r="B917" s="74">
        <v>45757</v>
      </c>
      <c r="C917" s="60" t="s">
        <v>1526</v>
      </c>
      <c r="D917" s="61" t="s">
        <v>72</v>
      </c>
      <c r="E917" s="62" t="s">
        <v>73</v>
      </c>
      <c r="F917" s="105" t="s">
        <v>36</v>
      </c>
      <c r="G917" s="62" t="s">
        <v>45</v>
      </c>
      <c r="H917" s="62" t="s">
        <v>94</v>
      </c>
      <c r="I917" s="66" t="s">
        <v>1555</v>
      </c>
      <c r="J917" s="62" t="s">
        <v>91</v>
      </c>
      <c r="K917" s="67"/>
      <c r="L917" s="70"/>
      <c r="M917" s="62"/>
      <c r="N917" s="62"/>
      <c r="O917" s="69"/>
      <c r="P917" s="59" t="s">
        <v>42</v>
      </c>
      <c r="Q917" s="73" t="s">
        <v>43</v>
      </c>
      <c r="R917" s="62"/>
    </row>
    <row r="918" ht="27.6" spans="1:18">
      <c r="A918" s="58">
        <v>895</v>
      </c>
      <c r="B918" s="74">
        <v>45757</v>
      </c>
      <c r="C918" s="60" t="s">
        <v>1526</v>
      </c>
      <c r="D918" s="61" t="s">
        <v>72</v>
      </c>
      <c r="E918" s="62" t="s">
        <v>73</v>
      </c>
      <c r="F918" s="105" t="s">
        <v>36</v>
      </c>
      <c r="G918" s="62" t="s">
        <v>45</v>
      </c>
      <c r="H918" s="62" t="s">
        <v>128</v>
      </c>
      <c r="I918" s="66" t="s">
        <v>1556</v>
      </c>
      <c r="J918" s="62" t="s">
        <v>40</v>
      </c>
      <c r="K918" s="67"/>
      <c r="L918" s="70"/>
      <c r="M918" s="62"/>
      <c r="N918" s="62"/>
      <c r="O918" s="69"/>
      <c r="P918" s="59" t="s">
        <v>42</v>
      </c>
      <c r="Q918" s="73" t="s">
        <v>43</v>
      </c>
      <c r="R918" s="62"/>
    </row>
    <row r="919" ht="27.6" spans="1:18">
      <c r="A919" s="58">
        <v>896</v>
      </c>
      <c r="B919" s="74">
        <v>45757</v>
      </c>
      <c r="C919" s="60" t="s">
        <v>641</v>
      </c>
      <c r="D919" s="61" t="s">
        <v>72</v>
      </c>
      <c r="E919" s="62" t="s">
        <v>73</v>
      </c>
      <c r="F919" s="105" t="s">
        <v>36</v>
      </c>
      <c r="G919" s="62" t="s">
        <v>55</v>
      </c>
      <c r="H919" s="62" t="s">
        <v>94</v>
      </c>
      <c r="I919" s="66" t="s">
        <v>1557</v>
      </c>
      <c r="J919" s="62" t="s">
        <v>91</v>
      </c>
      <c r="K919" s="67"/>
      <c r="L919" s="70"/>
      <c r="M919" s="62"/>
      <c r="N919" s="62"/>
      <c r="O919" s="69"/>
      <c r="P919" s="59" t="s">
        <v>42</v>
      </c>
      <c r="Q919" s="73" t="s">
        <v>43</v>
      </c>
      <c r="R919" s="62"/>
    </row>
    <row r="920" ht="27.6" spans="1:18">
      <c r="A920" s="58">
        <v>897</v>
      </c>
      <c r="B920" s="74">
        <v>45757</v>
      </c>
      <c r="C920" s="60" t="s">
        <v>641</v>
      </c>
      <c r="D920" s="61" t="s">
        <v>72</v>
      </c>
      <c r="E920" s="62" t="s">
        <v>73</v>
      </c>
      <c r="F920" s="105" t="s">
        <v>36</v>
      </c>
      <c r="G920" s="62" t="s">
        <v>37</v>
      </c>
      <c r="H920" s="62" t="s">
        <v>132</v>
      </c>
      <c r="I920" s="66" t="s">
        <v>1558</v>
      </c>
      <c r="J920" s="62" t="s">
        <v>91</v>
      </c>
      <c r="K920" s="67"/>
      <c r="L920" s="70"/>
      <c r="M920" s="62"/>
      <c r="N920" s="62"/>
      <c r="O920" s="69"/>
      <c r="P920" s="59" t="s">
        <v>42</v>
      </c>
      <c r="Q920" s="73" t="s">
        <v>43</v>
      </c>
      <c r="R920" s="62"/>
    </row>
    <row r="921" ht="41.4" spans="1:18">
      <c r="A921" s="58">
        <v>898</v>
      </c>
      <c r="B921" s="74">
        <v>45758</v>
      </c>
      <c r="C921" s="60" t="s">
        <v>632</v>
      </c>
      <c r="D921" s="61" t="s">
        <v>72</v>
      </c>
      <c r="E921" s="62" t="s">
        <v>73</v>
      </c>
      <c r="F921" s="105" t="s">
        <v>50</v>
      </c>
      <c r="G921" s="62" t="s">
        <v>45</v>
      </c>
      <c r="H921" s="62" t="s">
        <v>132</v>
      </c>
      <c r="I921" s="66" t="s">
        <v>1559</v>
      </c>
      <c r="J921" s="62" t="s">
        <v>91</v>
      </c>
      <c r="K921" s="67"/>
      <c r="L921" s="70"/>
      <c r="M921" s="62"/>
      <c r="N921" s="62"/>
      <c r="O921" s="69"/>
      <c r="P921" s="59" t="s">
        <v>42</v>
      </c>
      <c r="Q921" s="73" t="s">
        <v>43</v>
      </c>
      <c r="R921" s="62"/>
    </row>
    <row r="922" ht="27.6" spans="1:18">
      <c r="A922" s="58">
        <v>899</v>
      </c>
      <c r="B922" s="74">
        <v>45757</v>
      </c>
      <c r="C922" s="60" t="s">
        <v>1526</v>
      </c>
      <c r="D922" s="61" t="s">
        <v>72</v>
      </c>
      <c r="E922" s="62" t="s">
        <v>73</v>
      </c>
      <c r="F922" s="105" t="s">
        <v>50</v>
      </c>
      <c r="G922" s="62" t="s">
        <v>82</v>
      </c>
      <c r="H922" s="62" t="s">
        <v>97</v>
      </c>
      <c r="I922" s="66" t="s">
        <v>1560</v>
      </c>
      <c r="J922" s="62" t="s">
        <v>53</v>
      </c>
      <c r="K922" s="67"/>
      <c r="L922" s="70"/>
      <c r="M922" s="62"/>
      <c r="N922" s="62"/>
      <c r="O922" s="69"/>
      <c r="P922" s="59" t="s">
        <v>42</v>
      </c>
      <c r="Q922" s="73" t="s">
        <v>43</v>
      </c>
      <c r="R922" s="62"/>
    </row>
    <row r="923" ht="27.6" spans="1:18">
      <c r="A923" s="58">
        <v>900</v>
      </c>
      <c r="B923" s="74">
        <v>45755</v>
      </c>
      <c r="C923" s="60" t="s">
        <v>641</v>
      </c>
      <c r="D923" s="61" t="s">
        <v>72</v>
      </c>
      <c r="E923" s="62" t="s">
        <v>73</v>
      </c>
      <c r="F923" s="105" t="s">
        <v>36</v>
      </c>
      <c r="G923" s="62" t="s">
        <v>55</v>
      </c>
      <c r="H923" s="62" t="s">
        <v>150</v>
      </c>
      <c r="I923" s="66" t="s">
        <v>1560</v>
      </c>
      <c r="J923" s="62" t="s">
        <v>88</v>
      </c>
      <c r="K923" s="67"/>
      <c r="L923" s="70"/>
      <c r="M923" s="62"/>
      <c r="N923" s="62"/>
      <c r="O923" s="69"/>
      <c r="P923" s="59" t="s">
        <v>42</v>
      </c>
      <c r="Q923" s="73" t="s">
        <v>43</v>
      </c>
      <c r="R923" s="62"/>
    </row>
    <row r="924" ht="27.6" spans="1:18">
      <c r="A924" s="58">
        <v>901</v>
      </c>
      <c r="B924" s="74">
        <v>45758</v>
      </c>
      <c r="C924" s="60" t="s">
        <v>641</v>
      </c>
      <c r="D924" s="61" t="s">
        <v>72</v>
      </c>
      <c r="E924" s="62" t="s">
        <v>73</v>
      </c>
      <c r="F924" s="105" t="s">
        <v>36</v>
      </c>
      <c r="G924" s="62" t="s">
        <v>55</v>
      </c>
      <c r="H924" s="62" t="s">
        <v>94</v>
      </c>
      <c r="I924" s="66" t="s">
        <v>1561</v>
      </c>
      <c r="J924" s="62" t="s">
        <v>91</v>
      </c>
      <c r="K924" s="67"/>
      <c r="L924" s="70"/>
      <c r="M924" s="62"/>
      <c r="N924" s="62"/>
      <c r="O924" s="69"/>
      <c r="P924" s="59" t="s">
        <v>42</v>
      </c>
      <c r="Q924" s="73" t="s">
        <v>43</v>
      </c>
      <c r="R924" s="62"/>
    </row>
    <row r="925" ht="13.8" spans="1:18">
      <c r="A925" s="58">
        <v>902</v>
      </c>
      <c r="B925" s="74">
        <v>45756</v>
      </c>
      <c r="C925" s="60" t="s">
        <v>632</v>
      </c>
      <c r="D925" s="61" t="s">
        <v>72</v>
      </c>
      <c r="E925" s="62" t="s">
        <v>73</v>
      </c>
      <c r="F925" s="105" t="s">
        <v>192</v>
      </c>
      <c r="G925" s="62" t="s">
        <v>79</v>
      </c>
      <c r="H925" s="62" t="s">
        <v>144</v>
      </c>
      <c r="I925" s="66" t="s">
        <v>1562</v>
      </c>
      <c r="J925" s="62" t="s">
        <v>137</v>
      </c>
      <c r="K925" s="67"/>
      <c r="L925" s="70"/>
      <c r="M925" s="62"/>
      <c r="N925" s="62"/>
      <c r="O925" s="69"/>
      <c r="P925" s="59" t="s">
        <v>42</v>
      </c>
      <c r="Q925" s="62" t="s">
        <v>8</v>
      </c>
      <c r="R925" s="62"/>
    </row>
    <row r="926" ht="27.6" spans="1:18">
      <c r="A926" s="58">
        <v>903</v>
      </c>
      <c r="B926" s="74">
        <v>45756</v>
      </c>
      <c r="C926" s="60" t="s">
        <v>641</v>
      </c>
      <c r="D926" s="61" t="s">
        <v>72</v>
      </c>
      <c r="E926" s="62" t="s">
        <v>73</v>
      </c>
      <c r="F926" s="105" t="s">
        <v>36</v>
      </c>
      <c r="G926" s="62" t="s">
        <v>37</v>
      </c>
      <c r="H926" s="62" t="s">
        <v>56</v>
      </c>
      <c r="I926" s="66" t="s">
        <v>1563</v>
      </c>
      <c r="J926" s="62" t="s">
        <v>40</v>
      </c>
      <c r="K926" s="67"/>
      <c r="L926" s="70"/>
      <c r="M926" s="62"/>
      <c r="N926" s="62"/>
      <c r="O926" s="69"/>
      <c r="P926" s="59" t="s">
        <v>42</v>
      </c>
      <c r="Q926" s="73" t="s">
        <v>43</v>
      </c>
      <c r="R926" s="62"/>
    </row>
    <row r="927" ht="13.8" spans="1:18">
      <c r="A927" s="58">
        <v>904</v>
      </c>
      <c r="B927" s="74">
        <v>45759</v>
      </c>
      <c r="C927" s="60" t="s">
        <v>641</v>
      </c>
      <c r="D927" s="61" t="s">
        <v>72</v>
      </c>
      <c r="E927" s="62" t="s">
        <v>73</v>
      </c>
      <c r="F927" s="105" t="s">
        <v>36</v>
      </c>
      <c r="G927" s="62" t="s">
        <v>37</v>
      </c>
      <c r="H927" s="62" t="s">
        <v>94</v>
      </c>
      <c r="I927" s="66" t="s">
        <v>1564</v>
      </c>
      <c r="J927" s="62" t="s">
        <v>91</v>
      </c>
      <c r="K927" s="67"/>
      <c r="L927" s="70"/>
      <c r="M927" s="62"/>
      <c r="N927" s="62"/>
      <c r="O927" s="69"/>
      <c r="P927" s="59" t="s">
        <v>42</v>
      </c>
      <c r="Q927" s="73" t="s">
        <v>43</v>
      </c>
      <c r="R927" s="62"/>
    </row>
    <row r="928" ht="27.6" spans="1:18">
      <c r="A928" s="58">
        <v>905</v>
      </c>
      <c r="B928" s="74">
        <v>45759</v>
      </c>
      <c r="C928" s="60" t="s">
        <v>641</v>
      </c>
      <c r="D928" s="61" t="s">
        <v>72</v>
      </c>
      <c r="E928" s="62" t="s">
        <v>73</v>
      </c>
      <c r="F928" s="105" t="s">
        <v>135</v>
      </c>
      <c r="G928" s="62" t="s">
        <v>37</v>
      </c>
      <c r="H928" s="62" t="s">
        <v>56</v>
      </c>
      <c r="I928" s="66" t="s">
        <v>1565</v>
      </c>
      <c r="J928" s="62" t="s">
        <v>137</v>
      </c>
      <c r="K928" s="67"/>
      <c r="L928" s="70"/>
      <c r="M928" s="62"/>
      <c r="N928" s="62"/>
      <c r="O928" s="69"/>
      <c r="P928" s="59" t="s">
        <v>42</v>
      </c>
      <c r="Q928" s="62" t="s">
        <v>8</v>
      </c>
      <c r="R928" s="62"/>
    </row>
    <row r="929" ht="27.6" spans="1:18">
      <c r="A929" s="58">
        <v>906</v>
      </c>
      <c r="B929" s="74">
        <v>45759</v>
      </c>
      <c r="C929" s="60" t="s">
        <v>632</v>
      </c>
      <c r="D929" s="61" t="s">
        <v>72</v>
      </c>
      <c r="E929" s="62" t="s">
        <v>73</v>
      </c>
      <c r="F929" s="105" t="s">
        <v>192</v>
      </c>
      <c r="G929" s="62" t="s">
        <v>61</v>
      </c>
      <c r="H929" s="62" t="s">
        <v>94</v>
      </c>
      <c r="I929" s="66" t="s">
        <v>1566</v>
      </c>
      <c r="J929" s="62" t="s">
        <v>137</v>
      </c>
      <c r="K929" s="67"/>
      <c r="L929" s="70"/>
      <c r="M929" s="62"/>
      <c r="N929" s="62"/>
      <c r="O929" s="69"/>
      <c r="P929" s="59" t="s">
        <v>42</v>
      </c>
      <c r="Q929" s="62" t="s">
        <v>8</v>
      </c>
      <c r="R929" s="62"/>
    </row>
    <row r="930" ht="27.6" spans="1:18">
      <c r="A930" s="58">
        <v>907</v>
      </c>
      <c r="B930" s="74">
        <v>45756</v>
      </c>
      <c r="C930" s="60" t="s">
        <v>641</v>
      </c>
      <c r="D930" s="61" t="s">
        <v>72</v>
      </c>
      <c r="E930" s="62" t="s">
        <v>73</v>
      </c>
      <c r="F930" s="105" t="s">
        <v>36</v>
      </c>
      <c r="G930" s="62" t="s">
        <v>37</v>
      </c>
      <c r="H930" s="62" t="s">
        <v>94</v>
      </c>
      <c r="I930" s="66" t="s">
        <v>1567</v>
      </c>
      <c r="J930" s="62" t="s">
        <v>91</v>
      </c>
      <c r="K930" s="67"/>
      <c r="L930" s="70"/>
      <c r="M930" s="62"/>
      <c r="N930" s="62"/>
      <c r="O930" s="69"/>
      <c r="P930" s="59" t="s">
        <v>42</v>
      </c>
      <c r="Q930" s="73" t="s">
        <v>43</v>
      </c>
      <c r="R930" s="62"/>
    </row>
    <row r="931" ht="27.6" spans="1:18">
      <c r="A931" s="58">
        <v>908</v>
      </c>
      <c r="B931" s="74">
        <v>45756</v>
      </c>
      <c r="C931" s="60" t="s">
        <v>1526</v>
      </c>
      <c r="D931" s="61" t="s">
        <v>72</v>
      </c>
      <c r="E931" s="62" t="s">
        <v>73</v>
      </c>
      <c r="F931" s="105" t="s">
        <v>36</v>
      </c>
      <c r="G931" s="62" t="s">
        <v>45</v>
      </c>
      <c r="H931" s="62" t="s">
        <v>51</v>
      </c>
      <c r="I931" s="66" t="s">
        <v>1568</v>
      </c>
      <c r="J931" s="62" t="s">
        <v>91</v>
      </c>
      <c r="K931" s="67"/>
      <c r="L931" s="70"/>
      <c r="M931" s="62"/>
      <c r="N931" s="62"/>
      <c r="O931" s="69"/>
      <c r="P931" s="59" t="s">
        <v>42</v>
      </c>
      <c r="Q931" s="73" t="s">
        <v>43</v>
      </c>
      <c r="R931" s="62"/>
    </row>
    <row r="932" ht="27.6" spans="1:18">
      <c r="A932" s="58">
        <v>909</v>
      </c>
      <c r="B932" s="74">
        <v>45759</v>
      </c>
      <c r="C932" s="60" t="s">
        <v>632</v>
      </c>
      <c r="D932" s="61" t="s">
        <v>72</v>
      </c>
      <c r="E932" s="62" t="s">
        <v>73</v>
      </c>
      <c r="F932" s="105" t="s">
        <v>36</v>
      </c>
      <c r="G932" s="62" t="s">
        <v>61</v>
      </c>
      <c r="H932" s="62" t="s">
        <v>94</v>
      </c>
      <c r="I932" s="66" t="s">
        <v>1569</v>
      </c>
      <c r="J932" s="62" t="s">
        <v>40</v>
      </c>
      <c r="K932" s="67"/>
      <c r="L932" s="70"/>
      <c r="M932" s="62"/>
      <c r="N932" s="62"/>
      <c r="O932" s="69"/>
      <c r="P932" s="59" t="s">
        <v>42</v>
      </c>
      <c r="Q932" s="73" t="s">
        <v>43</v>
      </c>
      <c r="R932" s="62"/>
    </row>
    <row r="933" ht="27.6" spans="1:18">
      <c r="A933" s="58">
        <v>910</v>
      </c>
      <c r="B933" s="74">
        <v>45761</v>
      </c>
      <c r="C933" s="60" t="s">
        <v>1526</v>
      </c>
      <c r="D933" s="61" t="s">
        <v>72</v>
      </c>
      <c r="E933" s="62" t="s">
        <v>73</v>
      </c>
      <c r="F933" s="105" t="s">
        <v>36</v>
      </c>
      <c r="G933" s="62" t="s">
        <v>45</v>
      </c>
      <c r="H933" s="62" t="s">
        <v>1008</v>
      </c>
      <c r="I933" s="66" t="s">
        <v>1570</v>
      </c>
      <c r="J933" s="62" t="s">
        <v>40</v>
      </c>
      <c r="K933" s="67"/>
      <c r="L933" s="70"/>
      <c r="M933" s="62"/>
      <c r="N933" s="62"/>
      <c r="O933" s="69"/>
      <c r="P933" s="59" t="s">
        <v>42</v>
      </c>
      <c r="Q933" s="73" t="s">
        <v>43</v>
      </c>
      <c r="R933" s="62"/>
    </row>
    <row r="934" ht="27.6" spans="1:18">
      <c r="A934" s="58">
        <v>911</v>
      </c>
      <c r="B934" s="74">
        <v>45760</v>
      </c>
      <c r="C934" s="60" t="s">
        <v>632</v>
      </c>
      <c r="D934" s="61" t="s">
        <v>72</v>
      </c>
      <c r="E934" s="62" t="s">
        <v>73</v>
      </c>
      <c r="F934" s="105" t="s">
        <v>36</v>
      </c>
      <c r="G934" s="62" t="s">
        <v>61</v>
      </c>
      <c r="H934" s="62" t="s">
        <v>150</v>
      </c>
      <c r="I934" s="66" t="s">
        <v>1571</v>
      </c>
      <c r="J934" s="62" t="s">
        <v>91</v>
      </c>
      <c r="K934" s="67"/>
      <c r="L934" s="70"/>
      <c r="M934" s="62"/>
      <c r="N934" s="62"/>
      <c r="O934" s="69"/>
      <c r="P934" s="59" t="s">
        <v>42</v>
      </c>
      <c r="Q934" s="73" t="s">
        <v>43</v>
      </c>
      <c r="R934" s="62"/>
    </row>
    <row r="935" ht="27.6" spans="1:18">
      <c r="A935" s="58">
        <v>912</v>
      </c>
      <c r="B935" s="74">
        <v>45760</v>
      </c>
      <c r="C935" s="60" t="s">
        <v>641</v>
      </c>
      <c r="D935" s="61" t="s">
        <v>72</v>
      </c>
      <c r="E935" s="62" t="s">
        <v>73</v>
      </c>
      <c r="F935" s="105" t="s">
        <v>192</v>
      </c>
      <c r="G935" s="62" t="s">
        <v>55</v>
      </c>
      <c r="H935" s="62" t="s">
        <v>132</v>
      </c>
      <c r="I935" s="66" t="s">
        <v>1572</v>
      </c>
      <c r="J935" s="62" t="s">
        <v>137</v>
      </c>
      <c r="K935" s="67"/>
      <c r="L935" s="70"/>
      <c r="M935" s="62"/>
      <c r="N935" s="62"/>
      <c r="O935" s="69"/>
      <c r="P935" s="59" t="s">
        <v>42</v>
      </c>
      <c r="Q935" s="62" t="s">
        <v>8</v>
      </c>
      <c r="R935" s="62"/>
    </row>
    <row r="936" ht="27.6" spans="1:18">
      <c r="A936" s="58">
        <v>913</v>
      </c>
      <c r="B936" s="74">
        <v>45760</v>
      </c>
      <c r="C936" s="60" t="s">
        <v>641</v>
      </c>
      <c r="D936" s="61" t="s">
        <v>72</v>
      </c>
      <c r="E936" s="62" t="s">
        <v>73</v>
      </c>
      <c r="F936" s="105" t="s">
        <v>36</v>
      </c>
      <c r="G936" s="62" t="s">
        <v>55</v>
      </c>
      <c r="H936" s="62" t="s">
        <v>1008</v>
      </c>
      <c r="I936" s="66" t="s">
        <v>1573</v>
      </c>
      <c r="J936" s="62" t="s">
        <v>40</v>
      </c>
      <c r="K936" s="67"/>
      <c r="L936" s="70"/>
      <c r="M936" s="62"/>
      <c r="N936" s="62"/>
      <c r="O936" s="69"/>
      <c r="P936" s="59" t="s">
        <v>42</v>
      </c>
      <c r="Q936" s="73" t="s">
        <v>43</v>
      </c>
      <c r="R936" s="62"/>
    </row>
    <row r="937" ht="27.6" spans="1:18">
      <c r="A937" s="58">
        <v>914</v>
      </c>
      <c r="B937" s="74">
        <v>45760</v>
      </c>
      <c r="C937" s="60" t="s">
        <v>632</v>
      </c>
      <c r="D937" s="61" t="s">
        <v>72</v>
      </c>
      <c r="E937" s="62" t="s">
        <v>73</v>
      </c>
      <c r="F937" s="105" t="s">
        <v>36</v>
      </c>
      <c r="G937" s="62" t="s">
        <v>79</v>
      </c>
      <c r="H937" s="62" t="s">
        <v>56</v>
      </c>
      <c r="I937" s="66" t="s">
        <v>1574</v>
      </c>
      <c r="J937" s="62" t="s">
        <v>88</v>
      </c>
      <c r="K937" s="67"/>
      <c r="L937" s="70"/>
      <c r="M937" s="62"/>
      <c r="N937" s="62"/>
      <c r="O937" s="69"/>
      <c r="P937" s="59" t="s">
        <v>42</v>
      </c>
      <c r="Q937" s="73" t="s">
        <v>43</v>
      </c>
      <c r="R937" s="62"/>
    </row>
    <row r="938" ht="27.6" spans="1:18">
      <c r="A938" s="58">
        <v>915</v>
      </c>
      <c r="B938" s="74">
        <v>45760</v>
      </c>
      <c r="C938" s="60" t="s">
        <v>1526</v>
      </c>
      <c r="D938" s="61" t="s">
        <v>72</v>
      </c>
      <c r="E938" s="62" t="s">
        <v>73</v>
      </c>
      <c r="F938" s="105" t="s">
        <v>192</v>
      </c>
      <c r="G938" s="62" t="s">
        <v>45</v>
      </c>
      <c r="H938" s="62" t="s">
        <v>94</v>
      </c>
      <c r="I938" s="66" t="s">
        <v>1575</v>
      </c>
      <c r="J938" s="62" t="s">
        <v>137</v>
      </c>
      <c r="K938" s="67"/>
      <c r="L938" s="70"/>
      <c r="M938" s="62"/>
      <c r="N938" s="62"/>
      <c r="O938" s="69"/>
      <c r="P938" s="59" t="s">
        <v>42</v>
      </c>
      <c r="Q938" s="62" t="s">
        <v>8</v>
      </c>
      <c r="R938" s="62"/>
    </row>
    <row r="939" ht="27.6" spans="1:18">
      <c r="A939" s="58">
        <v>916</v>
      </c>
      <c r="B939" s="74">
        <v>45761</v>
      </c>
      <c r="C939" s="60" t="s">
        <v>1526</v>
      </c>
      <c r="D939" s="61" t="s">
        <v>72</v>
      </c>
      <c r="E939" s="62" t="s">
        <v>73</v>
      </c>
      <c r="F939" s="105" t="s">
        <v>50</v>
      </c>
      <c r="G939" s="62" t="s">
        <v>82</v>
      </c>
      <c r="H939" s="62" t="s">
        <v>94</v>
      </c>
      <c r="I939" s="66" t="s">
        <v>1576</v>
      </c>
      <c r="J939" s="62" t="s">
        <v>91</v>
      </c>
      <c r="K939" s="67"/>
      <c r="L939" s="70"/>
      <c r="M939" s="62"/>
      <c r="N939" s="62"/>
      <c r="O939" s="69"/>
      <c r="P939" s="59" t="s">
        <v>42</v>
      </c>
      <c r="Q939" s="73" t="s">
        <v>43</v>
      </c>
      <c r="R939" s="62"/>
    </row>
    <row r="940" ht="27.6" spans="1:18">
      <c r="A940" s="58">
        <v>917</v>
      </c>
      <c r="B940" s="74">
        <v>45760</v>
      </c>
      <c r="C940" s="60" t="s">
        <v>641</v>
      </c>
      <c r="D940" s="61" t="s">
        <v>72</v>
      </c>
      <c r="E940" s="62" t="s">
        <v>73</v>
      </c>
      <c r="F940" s="105" t="s">
        <v>50</v>
      </c>
      <c r="G940" s="62" t="s">
        <v>37</v>
      </c>
      <c r="H940" s="62" t="s">
        <v>94</v>
      </c>
      <c r="I940" s="66" t="s">
        <v>1577</v>
      </c>
      <c r="J940" s="62" t="s">
        <v>53</v>
      </c>
      <c r="K940" s="67"/>
      <c r="L940" s="70"/>
      <c r="M940" s="62"/>
      <c r="N940" s="62"/>
      <c r="O940" s="69"/>
      <c r="P940" s="59" t="s">
        <v>42</v>
      </c>
      <c r="Q940" s="73" t="s">
        <v>43</v>
      </c>
      <c r="R940" s="62"/>
    </row>
    <row r="941" ht="41.4" spans="1:18">
      <c r="A941" s="58">
        <v>918</v>
      </c>
      <c r="B941" s="74">
        <v>45761</v>
      </c>
      <c r="C941" s="60" t="s">
        <v>1526</v>
      </c>
      <c r="D941" s="61" t="s">
        <v>72</v>
      </c>
      <c r="E941" s="62" t="s">
        <v>73</v>
      </c>
      <c r="F941" s="105" t="s">
        <v>36</v>
      </c>
      <c r="G941" s="62" t="s">
        <v>82</v>
      </c>
      <c r="H941" s="62" t="s">
        <v>132</v>
      </c>
      <c r="I941" s="66" t="s">
        <v>1578</v>
      </c>
      <c r="J941" s="62" t="s">
        <v>40</v>
      </c>
      <c r="K941" s="67"/>
      <c r="L941" s="70"/>
      <c r="M941" s="62"/>
      <c r="N941" s="62"/>
      <c r="O941" s="69"/>
      <c r="P941" s="59" t="s">
        <v>42</v>
      </c>
      <c r="Q941" s="73" t="s">
        <v>43</v>
      </c>
      <c r="R941" s="62"/>
    </row>
    <row r="942" ht="27.6" spans="1:18">
      <c r="A942" s="58">
        <v>919</v>
      </c>
      <c r="B942" s="74">
        <v>45761</v>
      </c>
      <c r="C942" s="60" t="s">
        <v>632</v>
      </c>
      <c r="D942" s="61" t="s">
        <v>72</v>
      </c>
      <c r="E942" s="62" t="s">
        <v>73</v>
      </c>
      <c r="F942" s="105" t="s">
        <v>36</v>
      </c>
      <c r="G942" s="62" t="s">
        <v>61</v>
      </c>
      <c r="H942" s="62" t="s">
        <v>97</v>
      </c>
      <c r="I942" s="66" t="s">
        <v>1579</v>
      </c>
      <c r="J942" s="62" t="s">
        <v>91</v>
      </c>
      <c r="K942" s="67"/>
      <c r="L942" s="70"/>
      <c r="M942" s="62"/>
      <c r="N942" s="62"/>
      <c r="O942" s="69"/>
      <c r="P942" s="59" t="s">
        <v>42</v>
      </c>
      <c r="Q942" s="73" t="s">
        <v>43</v>
      </c>
      <c r="R942" s="62"/>
    </row>
    <row r="943" ht="13.8" spans="1:18">
      <c r="A943" s="58">
        <v>920</v>
      </c>
      <c r="B943" s="74">
        <v>45775</v>
      </c>
      <c r="C943" s="60" t="s">
        <v>632</v>
      </c>
      <c r="D943" s="61" t="s">
        <v>72</v>
      </c>
      <c r="E943" s="62" t="s">
        <v>73</v>
      </c>
      <c r="F943" s="105" t="s">
        <v>135</v>
      </c>
      <c r="G943" s="62" t="s">
        <v>79</v>
      </c>
      <c r="H943" s="62" t="s">
        <v>38</v>
      </c>
      <c r="I943" s="66" t="s">
        <v>1580</v>
      </c>
      <c r="J943" s="62" t="s">
        <v>137</v>
      </c>
      <c r="K943" s="67"/>
      <c r="L943" s="70"/>
      <c r="M943" s="62"/>
      <c r="N943" s="62"/>
      <c r="O943" s="69"/>
      <c r="P943" s="59" t="s">
        <v>42</v>
      </c>
      <c r="Q943" s="62" t="s">
        <v>8</v>
      </c>
      <c r="R943" s="62"/>
    </row>
    <row r="944" ht="13.8" spans="1:18">
      <c r="A944" s="58">
        <v>921</v>
      </c>
      <c r="B944" s="74">
        <v>45775</v>
      </c>
      <c r="C944" s="60" t="s">
        <v>641</v>
      </c>
      <c r="D944" s="61" t="s">
        <v>72</v>
      </c>
      <c r="E944" s="62" t="s">
        <v>73</v>
      </c>
      <c r="F944" s="105" t="s">
        <v>192</v>
      </c>
      <c r="G944" s="62" t="s">
        <v>37</v>
      </c>
      <c r="H944" s="62" t="s">
        <v>51</v>
      </c>
      <c r="I944" s="66" t="s">
        <v>1581</v>
      </c>
      <c r="J944" s="62" t="s">
        <v>137</v>
      </c>
      <c r="K944" s="67"/>
      <c r="L944" s="70"/>
      <c r="M944" s="62"/>
      <c r="N944" s="62"/>
      <c r="O944" s="69"/>
      <c r="P944" s="59" t="s">
        <v>42</v>
      </c>
      <c r="Q944" s="62" t="s">
        <v>8</v>
      </c>
      <c r="R944" s="62"/>
    </row>
    <row r="945" ht="13.8" spans="1:18">
      <c r="A945" s="58">
        <v>922</v>
      </c>
      <c r="B945" s="74">
        <v>45775</v>
      </c>
      <c r="C945" s="60" t="s">
        <v>640</v>
      </c>
      <c r="D945" s="61" t="s">
        <v>72</v>
      </c>
      <c r="E945" s="62" t="s">
        <v>73</v>
      </c>
      <c r="F945" s="105" t="s">
        <v>192</v>
      </c>
      <c r="G945" s="62" t="s">
        <v>131</v>
      </c>
      <c r="H945" s="62" t="s">
        <v>144</v>
      </c>
      <c r="I945" s="66" t="s">
        <v>1425</v>
      </c>
      <c r="J945" s="62" t="s">
        <v>137</v>
      </c>
      <c r="K945" s="67"/>
      <c r="L945" s="70"/>
      <c r="M945" s="62"/>
      <c r="N945" s="62"/>
      <c r="O945" s="69"/>
      <c r="P945" s="59" t="s">
        <v>42</v>
      </c>
      <c r="Q945" s="62" t="s">
        <v>8</v>
      </c>
      <c r="R945" s="62"/>
    </row>
    <row r="946" ht="13.8" spans="1:18">
      <c r="A946" s="58">
        <v>923</v>
      </c>
      <c r="B946" s="74">
        <v>45774</v>
      </c>
      <c r="C946" s="60" t="s">
        <v>641</v>
      </c>
      <c r="D946" s="61" t="s">
        <v>72</v>
      </c>
      <c r="E946" s="62" t="s">
        <v>73</v>
      </c>
      <c r="F946" s="105" t="s">
        <v>36</v>
      </c>
      <c r="G946" s="62" t="s">
        <v>588</v>
      </c>
      <c r="H946" s="62" t="s">
        <v>66</v>
      </c>
      <c r="I946" s="66" t="s">
        <v>1281</v>
      </c>
      <c r="J946" s="62" t="s">
        <v>40</v>
      </c>
      <c r="K946" s="67" t="s">
        <v>1282</v>
      </c>
      <c r="L946" s="70"/>
      <c r="M946" s="62"/>
      <c r="N946" s="62"/>
      <c r="O946" s="69"/>
      <c r="P946" s="59" t="s">
        <v>42</v>
      </c>
      <c r="Q946" s="73" t="s">
        <v>43</v>
      </c>
      <c r="R946" s="62"/>
    </row>
    <row r="947" ht="13.8" spans="1:18">
      <c r="A947" s="58">
        <v>924</v>
      </c>
      <c r="B947" s="74">
        <v>45773</v>
      </c>
      <c r="C947" s="60" t="s">
        <v>640</v>
      </c>
      <c r="D947" s="61" t="s">
        <v>72</v>
      </c>
      <c r="E947" s="62" t="s">
        <v>73</v>
      </c>
      <c r="F947" s="105" t="s">
        <v>36</v>
      </c>
      <c r="G947" s="62" t="s">
        <v>37</v>
      </c>
      <c r="H947" s="62" t="s">
        <v>56</v>
      </c>
      <c r="I947" s="66" t="s">
        <v>1283</v>
      </c>
      <c r="J947" s="62" t="s">
        <v>40</v>
      </c>
      <c r="K947" s="67" t="s">
        <v>1284</v>
      </c>
      <c r="L947" s="70"/>
      <c r="M947" s="62"/>
      <c r="N947" s="62"/>
      <c r="O947" s="69"/>
      <c r="P947" s="59" t="s">
        <v>42</v>
      </c>
      <c r="Q947" s="73" t="s">
        <v>43</v>
      </c>
      <c r="R947" s="62"/>
    </row>
    <row r="948" ht="27.6" spans="1:18">
      <c r="A948" s="58">
        <v>925</v>
      </c>
      <c r="B948" s="74">
        <v>45769</v>
      </c>
      <c r="C948" s="60" t="s">
        <v>632</v>
      </c>
      <c r="D948" s="61" t="s">
        <v>72</v>
      </c>
      <c r="E948" s="62" t="s">
        <v>73</v>
      </c>
      <c r="F948" s="105" t="s">
        <v>36</v>
      </c>
      <c r="G948" s="62" t="s">
        <v>588</v>
      </c>
      <c r="H948" s="62" t="s">
        <v>38</v>
      </c>
      <c r="I948" s="66" t="s">
        <v>1285</v>
      </c>
      <c r="J948" s="62" t="s">
        <v>40</v>
      </c>
      <c r="K948" s="67" t="s">
        <v>1286</v>
      </c>
      <c r="L948" s="70"/>
      <c r="M948" s="62"/>
      <c r="N948" s="62"/>
      <c r="O948" s="69"/>
      <c r="P948" s="59" t="s">
        <v>42</v>
      </c>
      <c r="Q948" s="73" t="s">
        <v>43</v>
      </c>
      <c r="R948" s="62"/>
    </row>
    <row r="949" ht="13.8" spans="1:18">
      <c r="A949" s="58">
        <v>926</v>
      </c>
      <c r="B949" s="74">
        <v>45777</v>
      </c>
      <c r="C949" s="60" t="s">
        <v>640</v>
      </c>
      <c r="D949" s="61" t="s">
        <v>72</v>
      </c>
      <c r="E949" s="62" t="s">
        <v>73</v>
      </c>
      <c r="F949" s="105" t="s">
        <v>36</v>
      </c>
      <c r="G949" s="62" t="s">
        <v>588</v>
      </c>
      <c r="H949" s="62" t="s">
        <v>132</v>
      </c>
      <c r="I949" s="66" t="s">
        <v>1287</v>
      </c>
      <c r="J949" s="62" t="s">
        <v>91</v>
      </c>
      <c r="K949" s="67" t="s">
        <v>1288</v>
      </c>
      <c r="L949" s="70"/>
      <c r="M949" s="62"/>
      <c r="N949" s="62"/>
      <c r="O949" s="69"/>
      <c r="P949" s="59" t="s">
        <v>42</v>
      </c>
      <c r="Q949" s="73" t="s">
        <v>43</v>
      </c>
      <c r="R949" s="62"/>
    </row>
    <row r="950" ht="27.6" spans="1:18">
      <c r="A950" s="58">
        <v>927</v>
      </c>
      <c r="B950" s="74">
        <v>45776</v>
      </c>
      <c r="C950" s="60" t="s">
        <v>640</v>
      </c>
      <c r="D950" s="61" t="s">
        <v>72</v>
      </c>
      <c r="E950" s="62" t="s">
        <v>73</v>
      </c>
      <c r="F950" s="105" t="s">
        <v>36</v>
      </c>
      <c r="G950" s="62" t="s">
        <v>588</v>
      </c>
      <c r="H950" s="62" t="s">
        <v>132</v>
      </c>
      <c r="I950" s="66" t="s">
        <v>1289</v>
      </c>
      <c r="J950" s="62" t="s">
        <v>40</v>
      </c>
      <c r="K950" s="67"/>
      <c r="L950" s="70"/>
      <c r="M950" s="62"/>
      <c r="N950" s="62"/>
      <c r="O950" s="69"/>
      <c r="P950" s="59" t="s">
        <v>42</v>
      </c>
      <c r="Q950" s="73" t="s">
        <v>43</v>
      </c>
      <c r="R950" s="62"/>
    </row>
    <row r="951" ht="13.8" spans="1:18">
      <c r="A951" s="58">
        <v>928</v>
      </c>
      <c r="B951" s="74">
        <v>45753</v>
      </c>
      <c r="C951" s="60" t="s">
        <v>641</v>
      </c>
      <c r="D951" s="61" t="s">
        <v>72</v>
      </c>
      <c r="E951" s="62" t="s">
        <v>73</v>
      </c>
      <c r="F951" s="105" t="s">
        <v>36</v>
      </c>
      <c r="G951" s="62" t="s">
        <v>588</v>
      </c>
      <c r="H951" s="62" t="s">
        <v>1008</v>
      </c>
      <c r="I951" s="66" t="s">
        <v>1290</v>
      </c>
      <c r="J951" s="62" t="s">
        <v>40</v>
      </c>
      <c r="K951" s="67"/>
      <c r="L951" s="70"/>
      <c r="M951" s="62"/>
      <c r="N951" s="62"/>
      <c r="O951" s="69"/>
      <c r="P951" s="59" t="s">
        <v>42</v>
      </c>
      <c r="Q951" s="73" t="s">
        <v>43</v>
      </c>
      <c r="R951" s="62"/>
    </row>
    <row r="952" ht="13.8" spans="1:18">
      <c r="A952" s="58">
        <v>929</v>
      </c>
      <c r="B952" s="74">
        <v>45769</v>
      </c>
      <c r="C952" s="60" t="s">
        <v>632</v>
      </c>
      <c r="D952" s="61" t="s">
        <v>72</v>
      </c>
      <c r="E952" s="62" t="s">
        <v>73</v>
      </c>
      <c r="F952" s="105" t="s">
        <v>36</v>
      </c>
      <c r="G952" s="62" t="s">
        <v>588</v>
      </c>
      <c r="H952" s="62" t="s">
        <v>150</v>
      </c>
      <c r="I952" s="66" t="s">
        <v>1291</v>
      </c>
      <c r="J952" s="62" t="s">
        <v>40</v>
      </c>
      <c r="K952" s="67" t="s">
        <v>1292</v>
      </c>
      <c r="L952" s="70"/>
      <c r="M952" s="62"/>
      <c r="N952" s="62"/>
      <c r="O952" s="69"/>
      <c r="P952" s="59" t="s">
        <v>42</v>
      </c>
      <c r="Q952" s="73" t="s">
        <v>43</v>
      </c>
      <c r="R952" s="62"/>
    </row>
    <row r="953" ht="13.8" spans="1:18">
      <c r="A953" s="58">
        <v>930</v>
      </c>
      <c r="B953" s="74">
        <v>45774</v>
      </c>
      <c r="C953" s="60" t="s">
        <v>641</v>
      </c>
      <c r="D953" s="61" t="s">
        <v>72</v>
      </c>
      <c r="E953" s="62" t="s">
        <v>73</v>
      </c>
      <c r="F953" s="105" t="s">
        <v>36</v>
      </c>
      <c r="G953" s="62" t="s">
        <v>37</v>
      </c>
      <c r="H953" s="62" t="s">
        <v>38</v>
      </c>
      <c r="I953" s="66" t="s">
        <v>1293</v>
      </c>
      <c r="J953" s="62" t="s">
        <v>91</v>
      </c>
      <c r="K953" s="67" t="s">
        <v>1294</v>
      </c>
      <c r="L953" s="70"/>
      <c r="M953" s="62"/>
      <c r="N953" s="62"/>
      <c r="O953" s="69"/>
      <c r="P953" s="59" t="s">
        <v>42</v>
      </c>
      <c r="Q953" s="73" t="s">
        <v>43</v>
      </c>
      <c r="R953" s="62"/>
    </row>
    <row r="954" ht="13.8" spans="1:18">
      <c r="A954" s="58">
        <v>931</v>
      </c>
      <c r="B954" s="74">
        <v>45773</v>
      </c>
      <c r="C954" s="60" t="s">
        <v>640</v>
      </c>
      <c r="D954" s="61" t="s">
        <v>72</v>
      </c>
      <c r="E954" s="62" t="s">
        <v>73</v>
      </c>
      <c r="F954" s="105" t="s">
        <v>36</v>
      </c>
      <c r="G954" s="62" t="s">
        <v>588</v>
      </c>
      <c r="H954" s="62" t="s">
        <v>94</v>
      </c>
      <c r="I954" s="66" t="s">
        <v>1295</v>
      </c>
      <c r="J954" s="62" t="s">
        <v>40</v>
      </c>
      <c r="K954" s="67" t="s">
        <v>1296</v>
      </c>
      <c r="L954" s="70"/>
      <c r="M954" s="62"/>
      <c r="N954" s="62"/>
      <c r="O954" s="69"/>
      <c r="P954" s="59" t="s">
        <v>42</v>
      </c>
      <c r="Q954" s="73" t="s">
        <v>43</v>
      </c>
      <c r="R954" s="62"/>
    </row>
    <row r="955" ht="13.8" spans="1:18">
      <c r="A955" s="58">
        <v>932</v>
      </c>
      <c r="B955" s="74">
        <v>45774</v>
      </c>
      <c r="C955" s="60" t="s">
        <v>71</v>
      </c>
      <c r="D955" s="61" t="s">
        <v>72</v>
      </c>
      <c r="E955" s="62" t="s">
        <v>73</v>
      </c>
      <c r="F955" s="105" t="s">
        <v>50</v>
      </c>
      <c r="G955" s="62" t="s">
        <v>37</v>
      </c>
      <c r="H955" s="62" t="s">
        <v>46</v>
      </c>
      <c r="I955" s="66" t="s">
        <v>1582</v>
      </c>
      <c r="J955" s="62" t="s">
        <v>53</v>
      </c>
      <c r="K955" s="67"/>
      <c r="L955" s="70"/>
      <c r="M955" s="62"/>
      <c r="N955" s="62"/>
      <c r="O955" s="69"/>
      <c r="P955" s="59" t="s">
        <v>42</v>
      </c>
      <c r="Q955" s="73" t="s">
        <v>43</v>
      </c>
      <c r="R955" s="62"/>
    </row>
    <row r="956" ht="13.8" spans="1:18">
      <c r="A956" s="58">
        <v>933</v>
      </c>
      <c r="B956" s="74">
        <v>45774</v>
      </c>
      <c r="C956" s="60" t="s">
        <v>641</v>
      </c>
      <c r="D956" s="61" t="s">
        <v>72</v>
      </c>
      <c r="E956" s="62" t="s">
        <v>73</v>
      </c>
      <c r="F956" s="105" t="s">
        <v>50</v>
      </c>
      <c r="G956" s="62" t="s">
        <v>37</v>
      </c>
      <c r="H956" s="62" t="s">
        <v>51</v>
      </c>
      <c r="I956" s="66" t="s">
        <v>1583</v>
      </c>
      <c r="J956" s="62" t="s">
        <v>53</v>
      </c>
      <c r="K956" s="67"/>
      <c r="L956" s="70"/>
      <c r="M956" s="62"/>
      <c r="N956" s="62"/>
      <c r="O956" s="69"/>
      <c r="P956" s="59" t="s">
        <v>42</v>
      </c>
      <c r="Q956" s="73" t="s">
        <v>43</v>
      </c>
      <c r="R956" s="62"/>
    </row>
    <row r="957" ht="13.8" spans="1:18">
      <c r="A957" s="58">
        <v>934</v>
      </c>
      <c r="B957" s="74">
        <v>45774</v>
      </c>
      <c r="C957" s="60" t="s">
        <v>1526</v>
      </c>
      <c r="D957" s="61" t="s">
        <v>72</v>
      </c>
      <c r="E957" s="62" t="s">
        <v>73</v>
      </c>
      <c r="F957" s="105" t="s">
        <v>50</v>
      </c>
      <c r="G957" s="62" t="s">
        <v>61</v>
      </c>
      <c r="H957" s="62" t="s">
        <v>1008</v>
      </c>
      <c r="I957" s="66" t="s">
        <v>1584</v>
      </c>
      <c r="J957" s="62" t="s">
        <v>53</v>
      </c>
      <c r="K957" s="67"/>
      <c r="L957" s="70"/>
      <c r="M957" s="62"/>
      <c r="N957" s="62"/>
      <c r="O957" s="69"/>
      <c r="P957" s="59" t="s">
        <v>42</v>
      </c>
      <c r="Q957" s="73" t="s">
        <v>43</v>
      </c>
      <c r="R957" s="62"/>
    </row>
    <row r="958" ht="27.6" spans="1:18">
      <c r="A958" s="58">
        <v>935</v>
      </c>
      <c r="B958" s="74">
        <v>45774</v>
      </c>
      <c r="C958" s="60" t="s">
        <v>632</v>
      </c>
      <c r="D958" s="61" t="s">
        <v>72</v>
      </c>
      <c r="E958" s="62" t="s">
        <v>73</v>
      </c>
      <c r="F958" s="105" t="s">
        <v>50</v>
      </c>
      <c r="G958" s="62" t="s">
        <v>45</v>
      </c>
      <c r="H958" s="62" t="s">
        <v>1008</v>
      </c>
      <c r="I958" s="66" t="s">
        <v>1585</v>
      </c>
      <c r="J958" s="62" t="s">
        <v>53</v>
      </c>
      <c r="K958" s="67"/>
      <c r="L958" s="70"/>
      <c r="M958" s="62"/>
      <c r="N958" s="62"/>
      <c r="O958" s="69"/>
      <c r="P958" s="59" t="s">
        <v>42</v>
      </c>
      <c r="Q958" s="73" t="s">
        <v>43</v>
      </c>
      <c r="R958" s="62"/>
    </row>
    <row r="959" ht="27.6" spans="1:18">
      <c r="A959" s="58">
        <v>936</v>
      </c>
      <c r="B959" s="74">
        <v>45756</v>
      </c>
      <c r="C959" s="60" t="s">
        <v>100</v>
      </c>
      <c r="D959" s="61" t="s">
        <v>60</v>
      </c>
      <c r="E959" s="62" t="s">
        <v>101</v>
      </c>
      <c r="F959" s="105" t="s">
        <v>36</v>
      </c>
      <c r="G959" s="62" t="s">
        <v>588</v>
      </c>
      <c r="H959" s="62" t="s">
        <v>128</v>
      </c>
      <c r="I959" s="66" t="s">
        <v>1586</v>
      </c>
      <c r="J959" s="62" t="s">
        <v>40</v>
      </c>
      <c r="K959" s="67"/>
      <c r="L959" s="70"/>
      <c r="M959" s="62"/>
      <c r="N959" s="62"/>
      <c r="O959" s="69"/>
      <c r="P959" s="59" t="s">
        <v>42</v>
      </c>
      <c r="Q959" s="73" t="s">
        <v>43</v>
      </c>
      <c r="R959" s="62"/>
    </row>
    <row r="960" ht="41.4" spans="1:18">
      <c r="A960" s="58">
        <v>937</v>
      </c>
      <c r="B960" s="74">
        <v>45756</v>
      </c>
      <c r="C960" s="60" t="s">
        <v>100</v>
      </c>
      <c r="D960" s="61" t="s">
        <v>60</v>
      </c>
      <c r="E960" s="62" t="s">
        <v>101</v>
      </c>
      <c r="F960" s="105" t="s">
        <v>192</v>
      </c>
      <c r="G960" s="62" t="s">
        <v>79</v>
      </c>
      <c r="H960" s="62" t="s">
        <v>51</v>
      </c>
      <c r="I960" s="66" t="s">
        <v>1587</v>
      </c>
      <c r="J960" s="62" t="s">
        <v>137</v>
      </c>
      <c r="K960" s="67"/>
      <c r="L960" s="70"/>
      <c r="M960" s="62"/>
      <c r="N960" s="62"/>
      <c r="O960" s="69"/>
      <c r="P960" s="59" t="s">
        <v>42</v>
      </c>
      <c r="Q960" s="62" t="s">
        <v>8</v>
      </c>
      <c r="R960" s="62"/>
    </row>
    <row r="961" ht="27.6" spans="1:18">
      <c r="A961" s="58">
        <v>938</v>
      </c>
      <c r="B961" s="74">
        <v>45756</v>
      </c>
      <c r="C961" s="60" t="s">
        <v>717</v>
      </c>
      <c r="D961" s="61" t="s">
        <v>60</v>
      </c>
      <c r="E961" s="62" t="s">
        <v>163</v>
      </c>
      <c r="F961" s="105" t="s">
        <v>192</v>
      </c>
      <c r="G961" s="62" t="s">
        <v>37</v>
      </c>
      <c r="H961" s="62" t="s">
        <v>51</v>
      </c>
      <c r="I961" s="66" t="s">
        <v>1588</v>
      </c>
      <c r="J961" s="62" t="s">
        <v>137</v>
      </c>
      <c r="K961" s="67"/>
      <c r="L961" s="70"/>
      <c r="M961" s="62"/>
      <c r="N961" s="62"/>
      <c r="O961" s="69"/>
      <c r="P961" s="59" t="s">
        <v>42</v>
      </c>
      <c r="Q961" s="62" t="s">
        <v>8</v>
      </c>
      <c r="R961" s="62"/>
    </row>
    <row r="962" ht="27.6" spans="1:18">
      <c r="A962" s="58">
        <v>939</v>
      </c>
      <c r="B962" s="74">
        <v>45756</v>
      </c>
      <c r="C962" s="60" t="s">
        <v>717</v>
      </c>
      <c r="D962" s="61" t="s">
        <v>60</v>
      </c>
      <c r="E962" s="62" t="s">
        <v>163</v>
      </c>
      <c r="F962" s="105" t="s">
        <v>192</v>
      </c>
      <c r="G962" s="62" t="s">
        <v>55</v>
      </c>
      <c r="H962" s="62" t="s">
        <v>51</v>
      </c>
      <c r="I962" s="66" t="s">
        <v>1589</v>
      </c>
      <c r="J962" s="62" t="s">
        <v>137</v>
      </c>
      <c r="K962" s="67"/>
      <c r="L962" s="70"/>
      <c r="M962" s="62"/>
      <c r="N962" s="62"/>
      <c r="O962" s="69"/>
      <c r="P962" s="59" t="s">
        <v>42</v>
      </c>
      <c r="Q962" s="62" t="s">
        <v>8</v>
      </c>
      <c r="R962" s="62"/>
    </row>
    <row r="963" ht="13.8" spans="1:18">
      <c r="A963" s="58">
        <v>940</v>
      </c>
      <c r="B963" s="74">
        <v>45755</v>
      </c>
      <c r="C963" s="60" t="s">
        <v>620</v>
      </c>
      <c r="D963" s="61" t="s">
        <v>60</v>
      </c>
      <c r="E963" s="62" t="s">
        <v>621</v>
      </c>
      <c r="F963" s="105" t="s">
        <v>36</v>
      </c>
      <c r="G963" s="62" t="s">
        <v>79</v>
      </c>
      <c r="H963" s="62" t="s">
        <v>51</v>
      </c>
      <c r="I963" s="66" t="s">
        <v>1590</v>
      </c>
      <c r="J963" s="62" t="s">
        <v>40</v>
      </c>
      <c r="K963" s="67"/>
      <c r="L963" s="70"/>
      <c r="M963" s="62"/>
      <c r="N963" s="62"/>
      <c r="O963" s="69"/>
      <c r="P963" s="59" t="s">
        <v>42</v>
      </c>
      <c r="Q963" s="73" t="s">
        <v>43</v>
      </c>
      <c r="R963" s="62"/>
    </row>
    <row r="964" ht="13.8" spans="1:18">
      <c r="A964" s="58">
        <v>941</v>
      </c>
      <c r="B964" s="74">
        <v>45754</v>
      </c>
      <c r="C964" s="60" t="s">
        <v>620</v>
      </c>
      <c r="D964" s="61" t="s">
        <v>60</v>
      </c>
      <c r="E964" s="62" t="s">
        <v>621</v>
      </c>
      <c r="F964" s="105" t="s">
        <v>36</v>
      </c>
      <c r="G964" s="62" t="s">
        <v>79</v>
      </c>
      <c r="H964" s="62" t="s">
        <v>51</v>
      </c>
      <c r="I964" s="66" t="s">
        <v>1591</v>
      </c>
      <c r="J964" s="62" t="s">
        <v>40</v>
      </c>
      <c r="K964" s="67"/>
      <c r="L964" s="70"/>
      <c r="M964" s="62"/>
      <c r="N964" s="62"/>
      <c r="O964" s="69"/>
      <c r="P964" s="59" t="s">
        <v>42</v>
      </c>
      <c r="Q964" s="73" t="s">
        <v>43</v>
      </c>
      <c r="R964" s="62"/>
    </row>
    <row r="965" ht="27.6" spans="1:18">
      <c r="A965" s="58">
        <v>942</v>
      </c>
      <c r="B965" s="74">
        <v>45753</v>
      </c>
      <c r="C965" s="60" t="s">
        <v>85</v>
      </c>
      <c r="D965" s="61" t="s">
        <v>60</v>
      </c>
      <c r="E965" s="62" t="s">
        <v>86</v>
      </c>
      <c r="F965" s="105" t="s">
        <v>36</v>
      </c>
      <c r="G965" s="62" t="s">
        <v>37</v>
      </c>
      <c r="H965" s="62" t="s">
        <v>56</v>
      </c>
      <c r="I965" s="66" t="s">
        <v>1219</v>
      </c>
      <c r="J965" s="62" t="s">
        <v>88</v>
      </c>
      <c r="K965" s="67"/>
      <c r="L965" s="70"/>
      <c r="M965" s="62"/>
      <c r="N965" s="62"/>
      <c r="O965" s="69"/>
      <c r="P965" s="59" t="s">
        <v>42</v>
      </c>
      <c r="Q965" s="73" t="s">
        <v>43</v>
      </c>
      <c r="R965" s="62"/>
    </row>
    <row r="966" ht="27.6" spans="1:18">
      <c r="A966" s="58">
        <v>943</v>
      </c>
      <c r="B966" s="74">
        <v>45753</v>
      </c>
      <c r="C966" s="60" t="s">
        <v>85</v>
      </c>
      <c r="D966" s="61" t="s">
        <v>60</v>
      </c>
      <c r="E966" s="62" t="s">
        <v>86</v>
      </c>
      <c r="F966" s="105" t="s">
        <v>36</v>
      </c>
      <c r="G966" s="62" t="s">
        <v>61</v>
      </c>
      <c r="H966" s="62" t="s">
        <v>144</v>
      </c>
      <c r="I966" s="66" t="s">
        <v>1221</v>
      </c>
      <c r="J966" s="62" t="s">
        <v>88</v>
      </c>
      <c r="K966" s="67"/>
      <c r="L966" s="70"/>
      <c r="M966" s="62"/>
      <c r="N966" s="62"/>
      <c r="O966" s="69"/>
      <c r="P966" s="59" t="s">
        <v>42</v>
      </c>
      <c r="Q966" s="73" t="s">
        <v>43</v>
      </c>
      <c r="R966" s="62"/>
    </row>
    <row r="967" ht="55.2" spans="1:18">
      <c r="A967" s="58">
        <v>944</v>
      </c>
      <c r="B967" s="74">
        <v>45754</v>
      </c>
      <c r="C967" s="60" t="s">
        <v>85</v>
      </c>
      <c r="D967" s="61" t="s">
        <v>60</v>
      </c>
      <c r="E967" s="62" t="s">
        <v>86</v>
      </c>
      <c r="F967" s="105" t="s">
        <v>36</v>
      </c>
      <c r="G967" s="62" t="s">
        <v>588</v>
      </c>
      <c r="H967" s="62" t="s">
        <v>97</v>
      </c>
      <c r="I967" s="66" t="s">
        <v>98</v>
      </c>
      <c r="J967" s="62" t="s">
        <v>88</v>
      </c>
      <c r="K967" s="67"/>
      <c r="L967" s="70"/>
      <c r="M967" s="62"/>
      <c r="N967" s="62"/>
      <c r="O967" s="69"/>
      <c r="P967" s="59" t="s">
        <v>42</v>
      </c>
      <c r="Q967" s="73" t="s">
        <v>43</v>
      </c>
      <c r="R967" s="62"/>
    </row>
    <row r="968" ht="41.4" spans="1:18">
      <c r="A968" s="58">
        <v>945</v>
      </c>
      <c r="B968" s="74">
        <v>45753</v>
      </c>
      <c r="C968" s="60" t="s">
        <v>85</v>
      </c>
      <c r="D968" s="61" t="s">
        <v>60</v>
      </c>
      <c r="E968" s="62" t="s">
        <v>86</v>
      </c>
      <c r="F968" s="105" t="s">
        <v>36</v>
      </c>
      <c r="G968" s="62" t="s">
        <v>65</v>
      </c>
      <c r="H968" s="62" t="s">
        <v>56</v>
      </c>
      <c r="I968" s="66" t="s">
        <v>855</v>
      </c>
      <c r="J968" s="62" t="s">
        <v>88</v>
      </c>
      <c r="K968" s="67"/>
      <c r="L968" s="70"/>
      <c r="M968" s="62"/>
      <c r="N968" s="62"/>
      <c r="O968" s="69"/>
      <c r="P968" s="59" t="s">
        <v>42</v>
      </c>
      <c r="Q968" s="73" t="s">
        <v>43</v>
      </c>
      <c r="R968" s="62"/>
    </row>
    <row r="969" ht="27.6" spans="1:18">
      <c r="A969" s="58">
        <v>946</v>
      </c>
      <c r="B969" s="74">
        <v>45753</v>
      </c>
      <c r="C969" s="60" t="s">
        <v>85</v>
      </c>
      <c r="D969" s="61" t="s">
        <v>60</v>
      </c>
      <c r="E969" s="62" t="s">
        <v>86</v>
      </c>
      <c r="F969" s="105" t="s">
        <v>36</v>
      </c>
      <c r="G969" s="62" t="s">
        <v>37</v>
      </c>
      <c r="H969" s="62" t="s">
        <v>150</v>
      </c>
      <c r="I969" s="66" t="s">
        <v>1381</v>
      </c>
      <c r="J969" s="62" t="s">
        <v>40</v>
      </c>
      <c r="K969" s="67"/>
      <c r="L969" s="70"/>
      <c r="M969" s="62"/>
      <c r="N969" s="62"/>
      <c r="O969" s="69"/>
      <c r="P969" s="59" t="s">
        <v>42</v>
      </c>
      <c r="Q969" s="73" t="s">
        <v>43</v>
      </c>
      <c r="R969" s="62"/>
    </row>
    <row r="970" ht="27.6" spans="1:18">
      <c r="A970" s="58">
        <v>947</v>
      </c>
      <c r="B970" s="74">
        <v>45753</v>
      </c>
      <c r="C970" s="60" t="s">
        <v>597</v>
      </c>
      <c r="D970" s="61" t="s">
        <v>60</v>
      </c>
      <c r="E970" s="62" t="s">
        <v>73</v>
      </c>
      <c r="F970" s="105" t="s">
        <v>192</v>
      </c>
      <c r="G970" s="62" t="s">
        <v>82</v>
      </c>
      <c r="H970" s="62" t="s">
        <v>51</v>
      </c>
      <c r="I970" s="66" t="s">
        <v>1592</v>
      </c>
      <c r="J970" s="62" t="s">
        <v>137</v>
      </c>
      <c r="K970" s="67"/>
      <c r="L970" s="70"/>
      <c r="M970" s="62"/>
      <c r="N970" s="62"/>
      <c r="O970" s="69"/>
      <c r="P970" s="59" t="s">
        <v>42</v>
      </c>
      <c r="Q970" s="62" t="s">
        <v>8</v>
      </c>
      <c r="R970" s="62"/>
    </row>
    <row r="971" ht="27.6" spans="1:18">
      <c r="A971" s="58">
        <v>948</v>
      </c>
      <c r="B971" s="74">
        <v>45753</v>
      </c>
      <c r="C971" s="60" t="s">
        <v>597</v>
      </c>
      <c r="D971" s="61" t="s">
        <v>60</v>
      </c>
      <c r="E971" s="62" t="s">
        <v>73</v>
      </c>
      <c r="F971" s="105" t="s">
        <v>192</v>
      </c>
      <c r="G971" s="62" t="s">
        <v>37</v>
      </c>
      <c r="H971" s="62" t="s">
        <v>94</v>
      </c>
      <c r="I971" s="66" t="s">
        <v>1593</v>
      </c>
      <c r="J971" s="62" t="s">
        <v>137</v>
      </c>
      <c r="K971" s="67"/>
      <c r="L971" s="70"/>
      <c r="M971" s="62"/>
      <c r="N971" s="62"/>
      <c r="O971" s="69"/>
      <c r="P971" s="59" t="s">
        <v>42</v>
      </c>
      <c r="Q971" s="62" t="s">
        <v>8</v>
      </c>
      <c r="R971" s="62"/>
    </row>
    <row r="972" ht="27.6" spans="1:18">
      <c r="A972" s="58">
        <v>949</v>
      </c>
      <c r="B972" s="74">
        <v>45749</v>
      </c>
      <c r="C972" s="60" t="s">
        <v>597</v>
      </c>
      <c r="D972" s="61" t="s">
        <v>60</v>
      </c>
      <c r="E972" s="62" t="s">
        <v>73</v>
      </c>
      <c r="F972" s="105" t="s">
        <v>36</v>
      </c>
      <c r="G972" s="62" t="s">
        <v>37</v>
      </c>
      <c r="H972" s="62" t="s">
        <v>38</v>
      </c>
      <c r="I972" s="66" t="s">
        <v>1594</v>
      </c>
      <c r="J972" s="62" t="s">
        <v>91</v>
      </c>
      <c r="K972" s="67" t="s">
        <v>1595</v>
      </c>
      <c r="L972" s="70"/>
      <c r="M972" s="62"/>
      <c r="N972" s="62"/>
      <c r="O972" s="69"/>
      <c r="P972" s="59" t="s">
        <v>42</v>
      </c>
      <c r="Q972" s="73" t="s">
        <v>43</v>
      </c>
      <c r="R972" s="62"/>
    </row>
    <row r="973" ht="27.6" spans="1:18">
      <c r="A973" s="58">
        <v>950</v>
      </c>
      <c r="B973" s="74">
        <v>45749</v>
      </c>
      <c r="C973" s="60" t="s">
        <v>597</v>
      </c>
      <c r="D973" s="61" t="s">
        <v>60</v>
      </c>
      <c r="E973" s="62" t="s">
        <v>73</v>
      </c>
      <c r="F973" s="105" t="s">
        <v>50</v>
      </c>
      <c r="G973" s="62" t="s">
        <v>37</v>
      </c>
      <c r="H973" s="62" t="s">
        <v>51</v>
      </c>
      <c r="I973" s="66" t="s">
        <v>1596</v>
      </c>
      <c r="J973" s="62" t="s">
        <v>91</v>
      </c>
      <c r="K973" s="67" t="s">
        <v>1597</v>
      </c>
      <c r="L973" s="70"/>
      <c r="M973" s="62"/>
      <c r="N973" s="62"/>
      <c r="O973" s="69"/>
      <c r="P973" s="59" t="s">
        <v>42</v>
      </c>
      <c r="Q973" s="73" t="s">
        <v>43</v>
      </c>
      <c r="R973" s="62"/>
    </row>
    <row r="974" ht="27.6" spans="1:18">
      <c r="A974" s="58">
        <v>951</v>
      </c>
      <c r="B974" s="74">
        <v>45749</v>
      </c>
      <c r="C974" s="60" t="s">
        <v>100</v>
      </c>
      <c r="D974" s="61" t="s">
        <v>60</v>
      </c>
      <c r="E974" s="62" t="s">
        <v>101</v>
      </c>
      <c r="F974" s="105" t="s">
        <v>36</v>
      </c>
      <c r="G974" s="62" t="s">
        <v>55</v>
      </c>
      <c r="H974" s="62" t="s">
        <v>56</v>
      </c>
      <c r="I974" s="66" t="s">
        <v>1598</v>
      </c>
      <c r="J974" s="62" t="s">
        <v>88</v>
      </c>
      <c r="K974" s="67" t="s">
        <v>1599</v>
      </c>
      <c r="L974" s="70"/>
      <c r="M974" s="62"/>
      <c r="N974" s="62"/>
      <c r="O974" s="69"/>
      <c r="P974" s="59" t="s">
        <v>42</v>
      </c>
      <c r="Q974" s="73" t="s">
        <v>43</v>
      </c>
      <c r="R974" s="62"/>
    </row>
    <row r="975" ht="69" spans="1:18">
      <c r="A975" s="58">
        <v>952</v>
      </c>
      <c r="B975" s="74">
        <v>45749</v>
      </c>
      <c r="C975" s="60" t="s">
        <v>100</v>
      </c>
      <c r="D975" s="61" t="s">
        <v>60</v>
      </c>
      <c r="E975" s="62" t="s">
        <v>101</v>
      </c>
      <c r="F975" s="105" t="s">
        <v>50</v>
      </c>
      <c r="G975" s="62" t="s">
        <v>588</v>
      </c>
      <c r="H975" s="62" t="s">
        <v>622</v>
      </c>
      <c r="I975" s="66" t="s">
        <v>1600</v>
      </c>
      <c r="J975" s="62" t="s">
        <v>88</v>
      </c>
      <c r="K975" s="67" t="s">
        <v>1601</v>
      </c>
      <c r="L975" s="70"/>
      <c r="M975" s="62"/>
      <c r="N975" s="62"/>
      <c r="O975" s="69"/>
      <c r="P975" s="59" t="s">
        <v>42</v>
      </c>
      <c r="Q975" s="73" t="s">
        <v>43</v>
      </c>
      <c r="R975" s="62"/>
    </row>
    <row r="976" ht="55.2" spans="1:18">
      <c r="A976" s="58">
        <v>953</v>
      </c>
      <c r="B976" s="74">
        <v>45749</v>
      </c>
      <c r="C976" s="60" t="s">
        <v>100</v>
      </c>
      <c r="D976" s="61" t="s">
        <v>60</v>
      </c>
      <c r="E976" s="62" t="s">
        <v>101</v>
      </c>
      <c r="F976" s="105" t="s">
        <v>50</v>
      </c>
      <c r="G976" s="62" t="s">
        <v>588</v>
      </c>
      <c r="H976" s="62" t="s">
        <v>51</v>
      </c>
      <c r="I976" s="66" t="s">
        <v>1602</v>
      </c>
      <c r="J976" s="62" t="s">
        <v>53</v>
      </c>
      <c r="K976" s="67" t="s">
        <v>1603</v>
      </c>
      <c r="L976" s="70"/>
      <c r="M976" s="62"/>
      <c r="N976" s="62"/>
      <c r="O976" s="69"/>
      <c r="P976" s="59" t="s">
        <v>42</v>
      </c>
      <c r="Q976" s="73" t="s">
        <v>43</v>
      </c>
      <c r="R976" s="62"/>
    </row>
    <row r="977" ht="82.8" spans="1:18">
      <c r="A977" s="58">
        <v>954</v>
      </c>
      <c r="B977" s="74">
        <v>45749</v>
      </c>
      <c r="C977" s="60" t="s">
        <v>100</v>
      </c>
      <c r="D977" s="61" t="s">
        <v>60</v>
      </c>
      <c r="E977" s="62" t="s">
        <v>101</v>
      </c>
      <c r="F977" s="105" t="s">
        <v>36</v>
      </c>
      <c r="G977" s="62" t="s">
        <v>588</v>
      </c>
      <c r="H977" s="62" t="s">
        <v>56</v>
      </c>
      <c r="I977" s="66" t="s">
        <v>1604</v>
      </c>
      <c r="J977" s="62" t="s">
        <v>40</v>
      </c>
      <c r="K977" s="67" t="s">
        <v>1605</v>
      </c>
      <c r="L977" s="70"/>
      <c r="M977" s="62"/>
      <c r="N977" s="62"/>
      <c r="O977" s="69"/>
      <c r="P977" s="59" t="s">
        <v>42</v>
      </c>
      <c r="Q977" s="73" t="s">
        <v>43</v>
      </c>
      <c r="R977" s="62"/>
    </row>
    <row r="978" ht="13.8" spans="1:18">
      <c r="A978" s="58">
        <v>955</v>
      </c>
      <c r="B978" s="74">
        <v>45750</v>
      </c>
      <c r="C978" s="60" t="s">
        <v>59</v>
      </c>
      <c r="D978" s="61" t="s">
        <v>60</v>
      </c>
      <c r="E978" s="62" t="s">
        <v>163</v>
      </c>
      <c r="F978" s="105" t="s">
        <v>50</v>
      </c>
      <c r="G978" s="62" t="s">
        <v>61</v>
      </c>
      <c r="H978" s="62" t="s">
        <v>94</v>
      </c>
      <c r="I978" s="66" t="s">
        <v>1606</v>
      </c>
      <c r="J978" s="62" t="s">
        <v>53</v>
      </c>
      <c r="K978" s="67" t="s">
        <v>1607</v>
      </c>
      <c r="L978" s="70"/>
      <c r="M978" s="62"/>
      <c r="N978" s="62"/>
      <c r="O978" s="69"/>
      <c r="P978" s="59"/>
      <c r="Q978" s="73" t="s">
        <v>43</v>
      </c>
      <c r="R978" s="62"/>
    </row>
    <row r="979" ht="13.8" spans="1:18">
      <c r="A979" s="58">
        <v>956</v>
      </c>
      <c r="B979" s="74">
        <v>45750</v>
      </c>
      <c r="C979" s="60" t="s">
        <v>1608</v>
      </c>
      <c r="D979" s="61" t="s">
        <v>60</v>
      </c>
      <c r="E979" s="62" t="s">
        <v>163</v>
      </c>
      <c r="F979" s="105" t="s">
        <v>36</v>
      </c>
      <c r="G979" s="62" t="s">
        <v>61</v>
      </c>
      <c r="H979" s="62" t="s">
        <v>56</v>
      </c>
      <c r="I979" s="66" t="s">
        <v>1609</v>
      </c>
      <c r="J979" s="62" t="s">
        <v>88</v>
      </c>
      <c r="K979" s="67"/>
      <c r="L979" s="70"/>
      <c r="M979" s="62"/>
      <c r="N979" s="62"/>
      <c r="O979" s="69"/>
      <c r="P979" s="59"/>
      <c r="Q979" s="73" t="s">
        <v>43</v>
      </c>
      <c r="R979" s="62"/>
    </row>
    <row r="980" ht="69" spans="1:18">
      <c r="A980" s="58">
        <v>957</v>
      </c>
      <c r="B980" s="74">
        <v>45750</v>
      </c>
      <c r="C980" s="60" t="s">
        <v>798</v>
      </c>
      <c r="D980" s="61" t="s">
        <v>60</v>
      </c>
      <c r="E980" s="62" t="s">
        <v>86</v>
      </c>
      <c r="F980" s="105" t="s">
        <v>36</v>
      </c>
      <c r="G980" s="62" t="s">
        <v>61</v>
      </c>
      <c r="H980" s="62" t="s">
        <v>66</v>
      </c>
      <c r="I980" s="66" t="s">
        <v>1610</v>
      </c>
      <c r="J980" s="62" t="s">
        <v>40</v>
      </c>
      <c r="K980" s="67" t="s">
        <v>1611</v>
      </c>
      <c r="L980" s="70"/>
      <c r="M980" s="62"/>
      <c r="N980" s="62"/>
      <c r="O980" s="69"/>
      <c r="P980" s="59" t="s">
        <v>42</v>
      </c>
      <c r="Q980" s="73" t="s">
        <v>43</v>
      </c>
      <c r="R980" s="62"/>
    </row>
    <row r="981" ht="41.4" spans="1:18">
      <c r="A981" s="58">
        <v>958</v>
      </c>
      <c r="B981" s="74">
        <v>45750</v>
      </c>
      <c r="C981" s="60" t="s">
        <v>798</v>
      </c>
      <c r="D981" s="61" t="s">
        <v>60</v>
      </c>
      <c r="E981" s="62" t="s">
        <v>86</v>
      </c>
      <c r="F981" s="105" t="s">
        <v>36</v>
      </c>
      <c r="G981" s="62" t="s">
        <v>61</v>
      </c>
      <c r="H981" s="62" t="s">
        <v>94</v>
      </c>
      <c r="I981" s="66" t="s">
        <v>95</v>
      </c>
      <c r="J981" s="62" t="s">
        <v>40</v>
      </c>
      <c r="K981" s="67" t="s">
        <v>1612</v>
      </c>
      <c r="L981" s="70"/>
      <c r="M981" s="62"/>
      <c r="N981" s="62"/>
      <c r="O981" s="69"/>
      <c r="P981" s="59" t="s">
        <v>42</v>
      </c>
      <c r="Q981" s="73" t="s">
        <v>43</v>
      </c>
      <c r="R981" s="62"/>
    </row>
    <row r="982" ht="69" spans="1:18">
      <c r="A982" s="58">
        <v>959</v>
      </c>
      <c r="B982" s="74">
        <v>45750</v>
      </c>
      <c r="C982" s="60" t="s">
        <v>798</v>
      </c>
      <c r="D982" s="61" t="s">
        <v>60</v>
      </c>
      <c r="E982" s="62" t="s">
        <v>86</v>
      </c>
      <c r="F982" s="105" t="s">
        <v>36</v>
      </c>
      <c r="G982" s="62" t="s">
        <v>588</v>
      </c>
      <c r="H982" s="62" t="s">
        <v>66</v>
      </c>
      <c r="I982" s="66" t="s">
        <v>1613</v>
      </c>
      <c r="J982" s="62" t="s">
        <v>88</v>
      </c>
      <c r="K982" s="67" t="s">
        <v>1614</v>
      </c>
      <c r="L982" s="70"/>
      <c r="M982" s="62"/>
      <c r="N982" s="62"/>
      <c r="O982" s="69"/>
      <c r="P982" s="59" t="s">
        <v>42</v>
      </c>
      <c r="Q982" s="73" t="s">
        <v>43</v>
      </c>
      <c r="R982" s="62"/>
    </row>
    <row r="983" ht="55.2" spans="1:18">
      <c r="A983" s="58">
        <v>960</v>
      </c>
      <c r="B983" s="74">
        <v>45767</v>
      </c>
      <c r="C983" s="60" t="s">
        <v>85</v>
      </c>
      <c r="D983" s="61" t="s">
        <v>60</v>
      </c>
      <c r="E983" s="62" t="s">
        <v>86</v>
      </c>
      <c r="F983" s="105" t="s">
        <v>36</v>
      </c>
      <c r="G983" s="62" t="s">
        <v>37</v>
      </c>
      <c r="H983" s="62" t="s">
        <v>66</v>
      </c>
      <c r="I983" s="66" t="s">
        <v>1615</v>
      </c>
      <c r="J983" s="62" t="s">
        <v>40</v>
      </c>
      <c r="K983" s="67" t="s">
        <v>856</v>
      </c>
      <c r="L983" s="70"/>
      <c r="M983" s="62"/>
      <c r="N983" s="62"/>
      <c r="O983" s="69"/>
      <c r="P983" s="59" t="s">
        <v>42</v>
      </c>
      <c r="Q983" s="73" t="s">
        <v>43</v>
      </c>
      <c r="R983" s="62"/>
    </row>
    <row r="984" ht="41.4" spans="1:18">
      <c r="A984" s="58">
        <v>961</v>
      </c>
      <c r="B984" s="74">
        <v>45768</v>
      </c>
      <c r="C984" s="60" t="s">
        <v>85</v>
      </c>
      <c r="D984" s="61" t="s">
        <v>60</v>
      </c>
      <c r="E984" s="62" t="s">
        <v>86</v>
      </c>
      <c r="F984" s="105" t="s">
        <v>36</v>
      </c>
      <c r="G984" s="62" t="s">
        <v>131</v>
      </c>
      <c r="H984" s="62" t="s">
        <v>56</v>
      </c>
      <c r="I984" s="66" t="s">
        <v>799</v>
      </c>
      <c r="J984" s="62" t="s">
        <v>88</v>
      </c>
      <c r="K984" s="67" t="s">
        <v>800</v>
      </c>
      <c r="L984" s="70"/>
      <c r="M984" s="62"/>
      <c r="N984" s="62"/>
      <c r="O984" s="69"/>
      <c r="P984" s="59" t="s">
        <v>42</v>
      </c>
      <c r="Q984" s="73" t="s">
        <v>43</v>
      </c>
      <c r="R984" s="62"/>
    </row>
    <row r="985" ht="55.2" spans="1:18">
      <c r="A985" s="58">
        <v>962</v>
      </c>
      <c r="B985" s="74">
        <v>45768</v>
      </c>
      <c r="C985" s="60" t="s">
        <v>85</v>
      </c>
      <c r="D985" s="61" t="s">
        <v>60</v>
      </c>
      <c r="E985" s="62" t="s">
        <v>86</v>
      </c>
      <c r="F985" s="105" t="s">
        <v>36</v>
      </c>
      <c r="G985" s="62" t="s">
        <v>588</v>
      </c>
      <c r="H985" s="62" t="s">
        <v>66</v>
      </c>
      <c r="I985" s="66" t="s">
        <v>98</v>
      </c>
      <c r="J985" s="62" t="s">
        <v>40</v>
      </c>
      <c r="K985" s="67" t="s">
        <v>1616</v>
      </c>
      <c r="L985" s="70"/>
      <c r="M985" s="62"/>
      <c r="N985" s="62"/>
      <c r="O985" s="69"/>
      <c r="P985" s="59" t="s">
        <v>42</v>
      </c>
      <c r="Q985" s="73" t="s">
        <v>43</v>
      </c>
      <c r="R985" s="62"/>
    </row>
    <row r="986" ht="41.4" spans="1:18">
      <c r="A986" s="58">
        <v>963</v>
      </c>
      <c r="B986" s="74">
        <v>45768</v>
      </c>
      <c r="C986" s="60" t="s">
        <v>85</v>
      </c>
      <c r="D986" s="61" t="s">
        <v>60</v>
      </c>
      <c r="E986" s="62" t="s">
        <v>86</v>
      </c>
      <c r="F986" s="105" t="s">
        <v>36</v>
      </c>
      <c r="G986" s="62" t="s">
        <v>588</v>
      </c>
      <c r="H986" s="62" t="s">
        <v>56</v>
      </c>
      <c r="I986" s="66" t="s">
        <v>106</v>
      </c>
      <c r="J986" s="62" t="s">
        <v>40</v>
      </c>
      <c r="K986" s="67" t="s">
        <v>860</v>
      </c>
      <c r="L986" s="70"/>
      <c r="M986" s="62"/>
      <c r="N986" s="62"/>
      <c r="O986" s="69"/>
      <c r="P986" s="59" t="s">
        <v>42</v>
      </c>
      <c r="Q986" s="73" t="s">
        <v>43</v>
      </c>
      <c r="R986" s="62"/>
    </row>
    <row r="987" ht="27.6" spans="1:18">
      <c r="A987" s="58">
        <v>964</v>
      </c>
      <c r="B987" s="74">
        <v>45768</v>
      </c>
      <c r="C987" s="60" t="s">
        <v>100</v>
      </c>
      <c r="D987" s="61" t="s">
        <v>60</v>
      </c>
      <c r="E987" s="62" t="s">
        <v>101</v>
      </c>
      <c r="F987" s="105" t="s">
        <v>36</v>
      </c>
      <c r="G987" s="62" t="s">
        <v>1617</v>
      </c>
      <c r="H987" s="62" t="s">
        <v>56</v>
      </c>
      <c r="I987" s="66" t="s">
        <v>1618</v>
      </c>
      <c r="J987" s="62" t="s">
        <v>40</v>
      </c>
      <c r="K987" s="67" t="s">
        <v>1619</v>
      </c>
      <c r="L987" s="70"/>
      <c r="M987" s="62"/>
      <c r="N987" s="62"/>
      <c r="O987" s="69"/>
      <c r="P987" s="59" t="s">
        <v>42</v>
      </c>
      <c r="Q987" s="73" t="s">
        <v>43</v>
      </c>
      <c r="R987" s="62"/>
    </row>
    <row r="988" ht="41.4" spans="1:18">
      <c r="A988" s="58">
        <v>965</v>
      </c>
      <c r="B988" s="74">
        <v>45768</v>
      </c>
      <c r="C988" s="60" t="s">
        <v>100</v>
      </c>
      <c r="D988" s="61" t="s">
        <v>60</v>
      </c>
      <c r="E988" s="62" t="s">
        <v>101</v>
      </c>
      <c r="F988" s="105" t="s">
        <v>36</v>
      </c>
      <c r="G988" s="62" t="s">
        <v>55</v>
      </c>
      <c r="H988" s="62" t="s">
        <v>97</v>
      </c>
      <c r="I988" s="66" t="s">
        <v>1620</v>
      </c>
      <c r="J988" s="62" t="s">
        <v>88</v>
      </c>
      <c r="K988" s="67" t="s">
        <v>1621</v>
      </c>
      <c r="L988" s="70"/>
      <c r="M988" s="62"/>
      <c r="N988" s="62"/>
      <c r="O988" s="69"/>
      <c r="P988" s="59" t="s">
        <v>42</v>
      </c>
      <c r="Q988" s="73" t="s">
        <v>43</v>
      </c>
      <c r="R988" s="62"/>
    </row>
    <row r="989" ht="27.6" spans="1:18">
      <c r="A989" s="58">
        <v>966</v>
      </c>
      <c r="B989" s="74">
        <v>45768</v>
      </c>
      <c r="C989" s="60" t="s">
        <v>620</v>
      </c>
      <c r="D989" s="61" t="s">
        <v>60</v>
      </c>
      <c r="E989" s="62" t="s">
        <v>621</v>
      </c>
      <c r="F989" s="105" t="s">
        <v>50</v>
      </c>
      <c r="G989" s="62" t="s">
        <v>79</v>
      </c>
      <c r="H989" s="62" t="s">
        <v>51</v>
      </c>
      <c r="I989" s="66" t="s">
        <v>1622</v>
      </c>
      <c r="J989" s="62" t="s">
        <v>53</v>
      </c>
      <c r="K989" s="67" t="s">
        <v>1623</v>
      </c>
      <c r="L989" s="70"/>
      <c r="M989" s="62"/>
      <c r="N989" s="62"/>
      <c r="O989" s="69"/>
      <c r="P989" s="59" t="s">
        <v>42</v>
      </c>
      <c r="Q989" s="73" t="s">
        <v>43</v>
      </c>
      <c r="R989" s="62"/>
    </row>
    <row r="990" ht="27.6" spans="1:18">
      <c r="A990" s="58">
        <v>967</v>
      </c>
      <c r="B990" s="74">
        <v>45768</v>
      </c>
      <c r="C990" s="60" t="s">
        <v>620</v>
      </c>
      <c r="D990" s="61" t="s">
        <v>60</v>
      </c>
      <c r="E990" s="62" t="s">
        <v>621</v>
      </c>
      <c r="F990" s="105" t="s">
        <v>50</v>
      </c>
      <c r="G990" s="62" t="s">
        <v>79</v>
      </c>
      <c r="H990" s="62" t="s">
        <v>51</v>
      </c>
      <c r="I990" s="66" t="s">
        <v>1624</v>
      </c>
      <c r="J990" s="62" t="s">
        <v>53</v>
      </c>
      <c r="K990" s="67" t="s">
        <v>1625</v>
      </c>
      <c r="L990" s="70"/>
      <c r="M990" s="62"/>
      <c r="N990" s="62"/>
      <c r="O990" s="69"/>
      <c r="P990" s="59" t="s">
        <v>42</v>
      </c>
      <c r="Q990" s="73" t="s">
        <v>43</v>
      </c>
      <c r="R990" s="62"/>
    </row>
    <row r="991" ht="27.6" spans="1:18">
      <c r="A991" s="58">
        <v>968</v>
      </c>
      <c r="B991" s="74">
        <v>45768</v>
      </c>
      <c r="C991" s="60" t="s">
        <v>620</v>
      </c>
      <c r="D991" s="61" t="s">
        <v>60</v>
      </c>
      <c r="E991" s="62" t="s">
        <v>621</v>
      </c>
      <c r="F991" s="105" t="s">
        <v>36</v>
      </c>
      <c r="G991" s="62" t="s">
        <v>79</v>
      </c>
      <c r="H991" s="62" t="s">
        <v>376</v>
      </c>
      <c r="I991" s="66" t="s">
        <v>1626</v>
      </c>
      <c r="J991" s="62" t="s">
        <v>40</v>
      </c>
      <c r="K991" s="67" t="s">
        <v>1627</v>
      </c>
      <c r="L991" s="70"/>
      <c r="M991" s="62"/>
      <c r="N991" s="62"/>
      <c r="O991" s="69"/>
      <c r="P991" s="59" t="s">
        <v>42</v>
      </c>
      <c r="Q991" s="73" t="s">
        <v>43</v>
      </c>
      <c r="R991" s="62"/>
    </row>
    <row r="992" ht="27.6" spans="1:18">
      <c r="A992" s="58">
        <v>969</v>
      </c>
      <c r="B992" s="74">
        <v>45770</v>
      </c>
      <c r="C992" s="60" t="s">
        <v>597</v>
      </c>
      <c r="D992" s="61" t="s">
        <v>60</v>
      </c>
      <c r="E992" s="62" t="s">
        <v>73</v>
      </c>
      <c r="F992" s="105" t="s">
        <v>192</v>
      </c>
      <c r="G992" s="62" t="s">
        <v>37</v>
      </c>
      <c r="H992" s="62" t="s">
        <v>51</v>
      </c>
      <c r="I992" s="66" t="s">
        <v>1628</v>
      </c>
      <c r="J992" s="62" t="s">
        <v>137</v>
      </c>
      <c r="K992" s="67" t="s">
        <v>1629</v>
      </c>
      <c r="L992" s="70"/>
      <c r="M992" s="62"/>
      <c r="N992" s="62"/>
      <c r="O992" s="69"/>
      <c r="P992" s="59" t="s">
        <v>42</v>
      </c>
      <c r="Q992" s="73" t="s">
        <v>8</v>
      </c>
      <c r="R992" s="62"/>
    </row>
    <row r="993" ht="27.6" spans="1:18">
      <c r="A993" s="58">
        <v>970</v>
      </c>
      <c r="B993" s="74">
        <v>45771</v>
      </c>
      <c r="C993" s="60" t="s">
        <v>597</v>
      </c>
      <c r="D993" s="61" t="s">
        <v>60</v>
      </c>
      <c r="E993" s="62" t="s">
        <v>73</v>
      </c>
      <c r="F993" s="105" t="s">
        <v>192</v>
      </c>
      <c r="G993" s="62" t="s">
        <v>93</v>
      </c>
      <c r="H993" s="62" t="s">
        <v>51</v>
      </c>
      <c r="I993" s="66" t="s">
        <v>1630</v>
      </c>
      <c r="J993" s="62" t="s">
        <v>137</v>
      </c>
      <c r="K993" s="67" t="s">
        <v>1631</v>
      </c>
      <c r="L993" s="70"/>
      <c r="M993" s="62"/>
      <c r="N993" s="62"/>
      <c r="O993" s="69"/>
      <c r="P993" s="59" t="s">
        <v>42</v>
      </c>
      <c r="Q993" s="73" t="s">
        <v>8</v>
      </c>
      <c r="R993" s="62"/>
    </row>
    <row r="994" ht="27.6" spans="1:18">
      <c r="A994" s="58">
        <v>971</v>
      </c>
      <c r="B994" s="74">
        <v>45770</v>
      </c>
      <c r="C994" s="60" t="s">
        <v>597</v>
      </c>
      <c r="D994" s="61" t="s">
        <v>60</v>
      </c>
      <c r="E994" s="62" t="s">
        <v>73</v>
      </c>
      <c r="F994" s="105" t="s">
        <v>192</v>
      </c>
      <c r="G994" s="62" t="s">
        <v>55</v>
      </c>
      <c r="H994" s="62" t="s">
        <v>1632</v>
      </c>
      <c r="I994" s="66" t="s">
        <v>1633</v>
      </c>
      <c r="J994" s="62" t="s">
        <v>137</v>
      </c>
      <c r="K994" s="67" t="s">
        <v>1634</v>
      </c>
      <c r="L994" s="70"/>
      <c r="M994" s="62"/>
      <c r="N994" s="62"/>
      <c r="O994" s="69"/>
      <c r="P994" s="59" t="s">
        <v>42</v>
      </c>
      <c r="Q994" s="73" t="s">
        <v>8</v>
      </c>
      <c r="R994" s="62"/>
    </row>
    <row r="995" ht="27.6" spans="1:18">
      <c r="A995" s="58">
        <v>972</v>
      </c>
      <c r="B995" s="74">
        <v>45751</v>
      </c>
      <c r="C995" s="60" t="s">
        <v>85</v>
      </c>
      <c r="D995" s="61" t="s">
        <v>60</v>
      </c>
      <c r="E995" s="62" t="s">
        <v>86</v>
      </c>
      <c r="F995" s="105" t="s">
        <v>36</v>
      </c>
      <c r="G995" s="62" t="s">
        <v>93</v>
      </c>
      <c r="H995" s="62" t="s">
        <v>51</v>
      </c>
      <c r="I995" s="66" t="s">
        <v>686</v>
      </c>
      <c r="J995" s="62" t="s">
        <v>88</v>
      </c>
      <c r="K995" s="67" t="s">
        <v>858</v>
      </c>
      <c r="L995" s="70"/>
      <c r="M995" s="62"/>
      <c r="N995" s="62"/>
      <c r="O995" s="69"/>
      <c r="P995" s="59" t="s">
        <v>42</v>
      </c>
      <c r="Q995" s="73" t="s">
        <v>43</v>
      </c>
      <c r="R995" s="62"/>
    </row>
    <row r="996" ht="41.4" spans="1:18">
      <c r="A996" s="58">
        <v>973</v>
      </c>
      <c r="B996" s="74">
        <v>45752</v>
      </c>
      <c r="C996" s="60" t="s">
        <v>85</v>
      </c>
      <c r="D996" s="61" t="s">
        <v>60</v>
      </c>
      <c r="E996" s="62" t="s">
        <v>86</v>
      </c>
      <c r="F996" s="105" t="s">
        <v>36</v>
      </c>
      <c r="G996" s="62" t="s">
        <v>131</v>
      </c>
      <c r="H996" s="62" t="s">
        <v>56</v>
      </c>
      <c r="I996" s="66" t="s">
        <v>106</v>
      </c>
      <c r="J996" s="62" t="s">
        <v>88</v>
      </c>
      <c r="K996" s="67" t="s">
        <v>860</v>
      </c>
      <c r="L996" s="70"/>
      <c r="M996" s="62"/>
      <c r="N996" s="62"/>
      <c r="O996" s="69"/>
      <c r="P996" s="59" t="s">
        <v>42</v>
      </c>
      <c r="Q996" s="73" t="s">
        <v>43</v>
      </c>
      <c r="R996" s="62"/>
    </row>
    <row r="997" ht="27.6" spans="1:18">
      <c r="A997" s="58">
        <v>974</v>
      </c>
      <c r="B997" s="74">
        <v>45777</v>
      </c>
      <c r="C997" s="60" t="s">
        <v>100</v>
      </c>
      <c r="D997" s="61" t="s">
        <v>60</v>
      </c>
      <c r="E997" s="62" t="s">
        <v>101</v>
      </c>
      <c r="F997" s="105" t="s">
        <v>192</v>
      </c>
      <c r="G997" s="62" t="s">
        <v>37</v>
      </c>
      <c r="H997" s="62" t="s">
        <v>56</v>
      </c>
      <c r="I997" s="66" t="s">
        <v>1454</v>
      </c>
      <c r="J997" s="62" t="s">
        <v>137</v>
      </c>
      <c r="K997" s="67" t="s">
        <v>1635</v>
      </c>
      <c r="L997" s="70"/>
      <c r="M997" s="62"/>
      <c r="N997" s="62"/>
      <c r="O997" s="69"/>
      <c r="P997" s="59" t="s">
        <v>42</v>
      </c>
      <c r="Q997" s="73" t="s">
        <v>8</v>
      </c>
      <c r="R997" s="62"/>
    </row>
    <row r="998" ht="96.6" spans="1:18">
      <c r="A998" s="58">
        <v>975</v>
      </c>
      <c r="B998" s="74">
        <v>45777</v>
      </c>
      <c r="C998" s="60" t="s">
        <v>100</v>
      </c>
      <c r="D998" s="61" t="s">
        <v>60</v>
      </c>
      <c r="E998" s="62" t="s">
        <v>101</v>
      </c>
      <c r="F998" s="105" t="s">
        <v>36</v>
      </c>
      <c r="G998" s="62" t="s">
        <v>61</v>
      </c>
      <c r="H998" s="62" t="s">
        <v>66</v>
      </c>
      <c r="I998" s="66" t="s">
        <v>1636</v>
      </c>
      <c r="J998" s="62" t="s">
        <v>88</v>
      </c>
      <c r="K998" s="67" t="s">
        <v>1637</v>
      </c>
      <c r="L998" s="70"/>
      <c r="M998" s="62"/>
      <c r="N998" s="62"/>
      <c r="O998" s="69"/>
      <c r="P998" s="59" t="s">
        <v>42</v>
      </c>
      <c r="Q998" s="73" t="s">
        <v>43</v>
      </c>
      <c r="R998" s="62"/>
    </row>
    <row r="999" ht="27.6" spans="1:18">
      <c r="A999" s="58">
        <v>976</v>
      </c>
      <c r="B999" s="74">
        <v>45775</v>
      </c>
      <c r="C999" s="60" t="s">
        <v>121</v>
      </c>
      <c r="D999" s="61" t="s">
        <v>60</v>
      </c>
      <c r="E999" s="62" t="s">
        <v>73</v>
      </c>
      <c r="F999" s="105" t="s">
        <v>192</v>
      </c>
      <c r="G999" s="62" t="s">
        <v>61</v>
      </c>
      <c r="H999" s="62" t="s">
        <v>150</v>
      </c>
      <c r="I999" s="66" t="s">
        <v>1638</v>
      </c>
      <c r="J999" s="62" t="s">
        <v>137</v>
      </c>
      <c r="K999" s="67" t="s">
        <v>1639</v>
      </c>
      <c r="L999" s="70"/>
      <c r="M999" s="62"/>
      <c r="N999" s="62"/>
      <c r="O999" s="69"/>
      <c r="P999" s="59" t="s">
        <v>42</v>
      </c>
      <c r="Q999" s="73" t="s">
        <v>8</v>
      </c>
      <c r="R999" s="62"/>
    </row>
    <row r="1000" ht="27.6" spans="1:18">
      <c r="A1000" s="58">
        <v>977</v>
      </c>
      <c r="B1000" s="74">
        <v>45776</v>
      </c>
      <c r="C1000" s="60" t="s">
        <v>121</v>
      </c>
      <c r="D1000" s="61" t="s">
        <v>60</v>
      </c>
      <c r="E1000" s="62" t="s">
        <v>73</v>
      </c>
      <c r="F1000" s="105" t="s">
        <v>50</v>
      </c>
      <c r="G1000" s="62" t="s">
        <v>37</v>
      </c>
      <c r="H1000" s="62" t="s">
        <v>150</v>
      </c>
      <c r="I1000" s="66" t="s">
        <v>1640</v>
      </c>
      <c r="J1000" s="62" t="s">
        <v>137</v>
      </c>
      <c r="K1000" s="67" t="s">
        <v>1641</v>
      </c>
      <c r="L1000" s="70"/>
      <c r="M1000" s="62"/>
      <c r="N1000" s="62"/>
      <c r="O1000" s="69"/>
      <c r="P1000" s="59" t="s">
        <v>42</v>
      </c>
      <c r="Q1000" s="73" t="s">
        <v>43</v>
      </c>
      <c r="R1000" s="62"/>
    </row>
    <row r="1001" ht="27.6" spans="1:18">
      <c r="A1001" s="58">
        <v>978</v>
      </c>
      <c r="B1001" s="74">
        <v>45773</v>
      </c>
      <c r="C1001" s="60" t="s">
        <v>59</v>
      </c>
      <c r="D1001" s="61" t="s">
        <v>60</v>
      </c>
      <c r="E1001" s="62" t="s">
        <v>163</v>
      </c>
      <c r="F1001" s="105" t="s">
        <v>135</v>
      </c>
      <c r="G1001" s="62" t="s">
        <v>131</v>
      </c>
      <c r="H1001" s="62" t="s">
        <v>94</v>
      </c>
      <c r="I1001" s="66" t="s">
        <v>1642</v>
      </c>
      <c r="J1001" s="62" t="s">
        <v>137</v>
      </c>
      <c r="K1001" s="67" t="s">
        <v>1643</v>
      </c>
      <c r="L1001" s="70"/>
      <c r="M1001" s="62"/>
      <c r="N1001" s="62"/>
      <c r="O1001" s="69"/>
      <c r="P1001" s="59" t="s">
        <v>42</v>
      </c>
      <c r="Q1001" s="73" t="s">
        <v>8</v>
      </c>
      <c r="R1001" s="62"/>
    </row>
    <row r="1002" ht="55.2" spans="1:18">
      <c r="A1002" s="58">
        <v>979</v>
      </c>
      <c r="B1002" s="74">
        <v>45773</v>
      </c>
      <c r="C1002" s="60" t="s">
        <v>59</v>
      </c>
      <c r="D1002" s="61" t="s">
        <v>60</v>
      </c>
      <c r="E1002" s="62" t="s">
        <v>163</v>
      </c>
      <c r="F1002" s="105" t="s">
        <v>36</v>
      </c>
      <c r="G1002" s="62" t="s">
        <v>45</v>
      </c>
      <c r="H1002" s="62" t="s">
        <v>56</v>
      </c>
      <c r="I1002" s="66" t="s">
        <v>1644</v>
      </c>
      <c r="J1002" s="62" t="s">
        <v>88</v>
      </c>
      <c r="K1002" s="67" t="s">
        <v>1645</v>
      </c>
      <c r="L1002" s="70"/>
      <c r="M1002" s="62"/>
      <c r="N1002" s="62"/>
      <c r="O1002" s="69"/>
      <c r="P1002" s="59"/>
      <c r="Q1002" s="73" t="s">
        <v>43</v>
      </c>
      <c r="R1002" s="62"/>
    </row>
    <row r="1003" ht="96.6" spans="1:18">
      <c r="A1003" s="58">
        <v>980</v>
      </c>
      <c r="B1003" s="74">
        <v>45776</v>
      </c>
      <c r="C1003" s="60" t="s">
        <v>121</v>
      </c>
      <c r="D1003" s="61" t="s">
        <v>60</v>
      </c>
      <c r="E1003" s="62" t="s">
        <v>73</v>
      </c>
      <c r="F1003" s="105" t="s">
        <v>50</v>
      </c>
      <c r="G1003" s="62" t="s">
        <v>37</v>
      </c>
      <c r="H1003" s="62" t="s">
        <v>94</v>
      </c>
      <c r="I1003" s="66" t="s">
        <v>1462</v>
      </c>
      <c r="J1003" s="62" t="s">
        <v>53</v>
      </c>
      <c r="K1003" s="67" t="s">
        <v>1646</v>
      </c>
      <c r="L1003" s="70"/>
      <c r="M1003" s="62"/>
      <c r="N1003" s="62"/>
      <c r="O1003" s="69"/>
      <c r="P1003" s="59" t="s">
        <v>42</v>
      </c>
      <c r="Q1003" s="73" t="s">
        <v>43</v>
      </c>
      <c r="R1003" s="62"/>
    </row>
    <row r="1004" ht="69" spans="1:18">
      <c r="A1004" s="58">
        <v>981</v>
      </c>
      <c r="B1004" s="74">
        <v>45776</v>
      </c>
      <c r="C1004" s="60" t="s">
        <v>121</v>
      </c>
      <c r="D1004" s="61" t="s">
        <v>60</v>
      </c>
      <c r="E1004" s="62" t="s">
        <v>73</v>
      </c>
      <c r="F1004" s="105" t="s">
        <v>36</v>
      </c>
      <c r="G1004" s="62" t="s">
        <v>37</v>
      </c>
      <c r="H1004" s="62" t="s">
        <v>128</v>
      </c>
      <c r="I1004" s="66" t="s">
        <v>1647</v>
      </c>
      <c r="J1004" s="62" t="s">
        <v>88</v>
      </c>
      <c r="K1004" s="67" t="s">
        <v>1648</v>
      </c>
      <c r="L1004" s="70"/>
      <c r="M1004" s="62"/>
      <c r="N1004" s="62"/>
      <c r="O1004" s="69"/>
      <c r="P1004" s="59" t="s">
        <v>42</v>
      </c>
      <c r="Q1004" s="73" t="s">
        <v>43</v>
      </c>
      <c r="R1004" s="62"/>
    </row>
    <row r="1005" ht="69" spans="1:18">
      <c r="A1005" s="58">
        <v>982</v>
      </c>
      <c r="B1005" s="74">
        <v>45774</v>
      </c>
      <c r="C1005" s="60" t="s">
        <v>85</v>
      </c>
      <c r="D1005" s="61" t="s">
        <v>60</v>
      </c>
      <c r="E1005" s="62" t="s">
        <v>86</v>
      </c>
      <c r="F1005" s="105" t="s">
        <v>36</v>
      </c>
      <c r="G1005" s="62" t="s">
        <v>37</v>
      </c>
      <c r="H1005" s="62" t="s">
        <v>234</v>
      </c>
      <c r="I1005" s="66" t="s">
        <v>1499</v>
      </c>
      <c r="J1005" s="62" t="s">
        <v>88</v>
      </c>
      <c r="K1005" s="67" t="s">
        <v>1649</v>
      </c>
      <c r="L1005" s="70"/>
      <c r="M1005" s="62"/>
      <c r="N1005" s="62"/>
      <c r="O1005" s="69"/>
      <c r="P1005" s="59" t="s">
        <v>42</v>
      </c>
      <c r="Q1005" s="73" t="s">
        <v>43</v>
      </c>
      <c r="R1005" s="62"/>
    </row>
    <row r="1006" ht="41.4" spans="1:18">
      <c r="A1006" s="58">
        <v>983</v>
      </c>
      <c r="B1006" s="74">
        <v>45774</v>
      </c>
      <c r="C1006" s="60" t="s">
        <v>85</v>
      </c>
      <c r="D1006" s="61" t="s">
        <v>60</v>
      </c>
      <c r="E1006" s="62" t="s">
        <v>86</v>
      </c>
      <c r="F1006" s="105" t="s">
        <v>135</v>
      </c>
      <c r="G1006" s="62" t="s">
        <v>93</v>
      </c>
      <c r="H1006" s="62" t="s">
        <v>94</v>
      </c>
      <c r="I1006" s="66" t="s">
        <v>1650</v>
      </c>
      <c r="J1006" s="62" t="s">
        <v>137</v>
      </c>
      <c r="K1006" s="67" t="s">
        <v>1501</v>
      </c>
      <c r="L1006" s="70"/>
      <c r="M1006" s="62"/>
      <c r="N1006" s="62"/>
      <c r="O1006" s="69"/>
      <c r="P1006" s="59" t="s">
        <v>42</v>
      </c>
      <c r="Q1006" s="73" t="s">
        <v>8</v>
      </c>
      <c r="R1006" s="62"/>
    </row>
    <row r="1007" ht="110.4" spans="1:18">
      <c r="A1007" s="58">
        <v>984</v>
      </c>
      <c r="B1007" s="74">
        <v>45773</v>
      </c>
      <c r="C1007" s="60" t="s">
        <v>85</v>
      </c>
      <c r="D1007" s="61" t="s">
        <v>60</v>
      </c>
      <c r="E1007" s="62" t="s">
        <v>86</v>
      </c>
      <c r="F1007" s="105" t="s">
        <v>36</v>
      </c>
      <c r="G1007" s="62" t="s">
        <v>55</v>
      </c>
      <c r="H1007" s="62" t="s">
        <v>234</v>
      </c>
      <c r="I1007" s="66" t="s">
        <v>1651</v>
      </c>
      <c r="J1007" s="62" t="s">
        <v>88</v>
      </c>
      <c r="K1007" s="67" t="s">
        <v>1652</v>
      </c>
      <c r="L1007" s="70"/>
      <c r="M1007" s="62"/>
      <c r="N1007" s="62"/>
      <c r="O1007" s="69"/>
      <c r="P1007" s="59" t="s">
        <v>42</v>
      </c>
      <c r="Q1007" s="73" t="s">
        <v>43</v>
      </c>
      <c r="R1007" s="62"/>
    </row>
    <row r="1008" ht="82.8" spans="1:18">
      <c r="A1008" s="58">
        <v>985</v>
      </c>
      <c r="B1008" s="74">
        <v>45782</v>
      </c>
      <c r="C1008" s="60" t="s">
        <v>100</v>
      </c>
      <c r="D1008" s="61" t="s">
        <v>60</v>
      </c>
      <c r="E1008" s="62" t="s">
        <v>101</v>
      </c>
      <c r="F1008" s="105" t="s">
        <v>36</v>
      </c>
      <c r="G1008" s="62" t="s">
        <v>131</v>
      </c>
      <c r="H1008" s="62" t="s">
        <v>132</v>
      </c>
      <c r="I1008" s="66" t="s">
        <v>1653</v>
      </c>
      <c r="J1008" s="62" t="s">
        <v>53</v>
      </c>
      <c r="K1008" s="67" t="s">
        <v>1654</v>
      </c>
      <c r="L1008" s="70"/>
      <c r="M1008" s="62"/>
      <c r="N1008" s="62"/>
      <c r="O1008" s="69"/>
      <c r="P1008" s="59" t="s">
        <v>42</v>
      </c>
      <c r="Q1008" s="73" t="s">
        <v>43</v>
      </c>
      <c r="R1008" s="62"/>
    </row>
    <row r="1009" ht="55.2" spans="1:18">
      <c r="A1009" s="58">
        <v>986</v>
      </c>
      <c r="B1009" s="74">
        <v>45782</v>
      </c>
      <c r="C1009" s="60" t="s">
        <v>100</v>
      </c>
      <c r="D1009" s="61" t="s">
        <v>60</v>
      </c>
      <c r="E1009" s="62" t="s">
        <v>101</v>
      </c>
      <c r="F1009" s="105" t="s">
        <v>135</v>
      </c>
      <c r="G1009" s="62" t="s">
        <v>37</v>
      </c>
      <c r="H1009" s="62" t="s">
        <v>989</v>
      </c>
      <c r="I1009" s="66" t="s">
        <v>1655</v>
      </c>
      <c r="J1009" s="62" t="s">
        <v>137</v>
      </c>
      <c r="K1009" s="67" t="s">
        <v>1656</v>
      </c>
      <c r="L1009" s="70"/>
      <c r="M1009" s="62"/>
      <c r="N1009" s="62"/>
      <c r="O1009" s="69"/>
      <c r="P1009" s="59" t="s">
        <v>42</v>
      </c>
      <c r="Q1009" s="62" t="s">
        <v>8</v>
      </c>
      <c r="R1009" s="62"/>
    </row>
    <row r="1010" ht="55.2" spans="1:18">
      <c r="A1010" s="58">
        <v>987</v>
      </c>
      <c r="B1010" s="74">
        <v>45782</v>
      </c>
      <c r="C1010" s="60" t="s">
        <v>100</v>
      </c>
      <c r="D1010" s="61" t="s">
        <v>60</v>
      </c>
      <c r="E1010" s="62" t="s">
        <v>101</v>
      </c>
      <c r="F1010" s="105" t="s">
        <v>36</v>
      </c>
      <c r="G1010" s="62" t="s">
        <v>55</v>
      </c>
      <c r="H1010" s="62" t="s">
        <v>56</v>
      </c>
      <c r="I1010" s="66" t="s">
        <v>1657</v>
      </c>
      <c r="J1010" s="62" t="s">
        <v>88</v>
      </c>
      <c r="K1010" s="67" t="s">
        <v>1658</v>
      </c>
      <c r="L1010" s="70"/>
      <c r="M1010" s="62"/>
      <c r="N1010" s="62"/>
      <c r="O1010" s="69"/>
      <c r="P1010" s="59" t="s">
        <v>42</v>
      </c>
      <c r="Q1010" s="73" t="s">
        <v>43</v>
      </c>
      <c r="R1010" s="62"/>
    </row>
    <row r="1011" ht="27.6" spans="1:18">
      <c r="A1011" s="58">
        <v>988</v>
      </c>
      <c r="B1011" s="74">
        <v>45780</v>
      </c>
      <c r="C1011" s="60" t="s">
        <v>127</v>
      </c>
      <c r="D1011" s="61" t="s">
        <v>60</v>
      </c>
      <c r="E1011" s="62" t="s">
        <v>163</v>
      </c>
      <c r="F1011" s="105" t="s">
        <v>36</v>
      </c>
      <c r="G1011" s="62" t="s">
        <v>82</v>
      </c>
      <c r="H1011" s="62" t="s">
        <v>1008</v>
      </c>
      <c r="I1011" s="66" t="s">
        <v>1659</v>
      </c>
      <c r="J1011" s="62" t="s">
        <v>53</v>
      </c>
      <c r="K1011" s="67" t="s">
        <v>1660</v>
      </c>
      <c r="L1011" s="70"/>
      <c r="M1011" s="62"/>
      <c r="N1011" s="62"/>
      <c r="O1011" s="69"/>
      <c r="P1011" s="59" t="s">
        <v>42</v>
      </c>
      <c r="Q1011" s="73" t="s">
        <v>43</v>
      </c>
      <c r="R1011" s="62"/>
    </row>
    <row r="1012" ht="27.6" spans="1:18">
      <c r="A1012" s="58">
        <v>989</v>
      </c>
      <c r="B1012" s="74">
        <v>45783</v>
      </c>
      <c r="C1012" s="60" t="s">
        <v>127</v>
      </c>
      <c r="D1012" s="61" t="s">
        <v>60</v>
      </c>
      <c r="E1012" s="62" t="s">
        <v>163</v>
      </c>
      <c r="F1012" s="105" t="s">
        <v>50</v>
      </c>
      <c r="G1012" s="62" t="s">
        <v>55</v>
      </c>
      <c r="H1012" s="62" t="s">
        <v>46</v>
      </c>
      <c r="I1012" s="66" t="s">
        <v>1661</v>
      </c>
      <c r="J1012" s="62" t="s">
        <v>53</v>
      </c>
      <c r="K1012" s="67" t="s">
        <v>1662</v>
      </c>
      <c r="L1012" s="70"/>
      <c r="M1012" s="62"/>
      <c r="N1012" s="62"/>
      <c r="O1012" s="69"/>
      <c r="P1012" s="59" t="s">
        <v>42</v>
      </c>
      <c r="Q1012" s="73" t="s">
        <v>43</v>
      </c>
      <c r="R1012" s="62"/>
    </row>
    <row r="1013" ht="27.6" spans="1:18">
      <c r="A1013" s="58">
        <v>990</v>
      </c>
      <c r="B1013" s="74">
        <v>45781</v>
      </c>
      <c r="C1013" s="60" t="s">
        <v>1663</v>
      </c>
      <c r="D1013" s="61" t="s">
        <v>60</v>
      </c>
      <c r="E1013" s="62" t="s">
        <v>163</v>
      </c>
      <c r="F1013" s="105" t="s">
        <v>36</v>
      </c>
      <c r="G1013" s="62" t="s">
        <v>82</v>
      </c>
      <c r="H1013" s="62" t="s">
        <v>46</v>
      </c>
      <c r="I1013" s="66" t="s">
        <v>1664</v>
      </c>
      <c r="J1013" s="62" t="s">
        <v>53</v>
      </c>
      <c r="K1013" s="67" t="s">
        <v>1665</v>
      </c>
      <c r="L1013" s="70"/>
      <c r="M1013" s="62"/>
      <c r="N1013" s="62"/>
      <c r="O1013" s="69"/>
      <c r="P1013" s="59" t="s">
        <v>42</v>
      </c>
      <c r="Q1013" s="73" t="s">
        <v>43</v>
      </c>
      <c r="R1013" s="62"/>
    </row>
    <row r="1014" ht="27.6" spans="1:18">
      <c r="A1014" s="58">
        <v>991</v>
      </c>
      <c r="B1014" s="74">
        <v>45781</v>
      </c>
      <c r="C1014" s="60" t="s">
        <v>1663</v>
      </c>
      <c r="D1014" s="61" t="s">
        <v>60</v>
      </c>
      <c r="E1014" s="62" t="s">
        <v>163</v>
      </c>
      <c r="F1014" s="105" t="s">
        <v>36</v>
      </c>
      <c r="G1014" s="62" t="s">
        <v>82</v>
      </c>
      <c r="H1014" s="62" t="s">
        <v>46</v>
      </c>
      <c r="I1014" s="66" t="s">
        <v>1664</v>
      </c>
      <c r="J1014" s="62" t="s">
        <v>53</v>
      </c>
      <c r="K1014" s="67" t="s">
        <v>1665</v>
      </c>
      <c r="L1014" s="70"/>
      <c r="M1014" s="62"/>
      <c r="N1014" s="62"/>
      <c r="O1014" s="69"/>
      <c r="P1014" s="59" t="s">
        <v>42</v>
      </c>
      <c r="Q1014" s="73" t="s">
        <v>43</v>
      </c>
      <c r="R1014" s="62"/>
    </row>
    <row r="1015" ht="27.6" spans="1:18">
      <c r="A1015" s="58">
        <v>992</v>
      </c>
      <c r="B1015" s="74">
        <v>45783</v>
      </c>
      <c r="C1015" s="60" t="s">
        <v>1663</v>
      </c>
      <c r="D1015" s="61" t="s">
        <v>60</v>
      </c>
      <c r="E1015" s="62" t="s">
        <v>163</v>
      </c>
      <c r="F1015" s="105" t="s">
        <v>36</v>
      </c>
      <c r="G1015" s="62" t="s">
        <v>61</v>
      </c>
      <c r="H1015" s="62" t="s">
        <v>46</v>
      </c>
      <c r="I1015" s="66" t="s">
        <v>1666</v>
      </c>
      <c r="J1015" s="62" t="s">
        <v>53</v>
      </c>
      <c r="K1015" s="67" t="s">
        <v>1667</v>
      </c>
      <c r="L1015" s="70"/>
      <c r="M1015" s="62"/>
      <c r="N1015" s="62"/>
      <c r="O1015" s="69"/>
      <c r="P1015" s="59" t="s">
        <v>42</v>
      </c>
      <c r="Q1015" s="73" t="s">
        <v>43</v>
      </c>
      <c r="R1015" s="62"/>
    </row>
    <row r="1016" ht="27.6" spans="1:18">
      <c r="A1016" s="58">
        <v>993</v>
      </c>
      <c r="B1016" s="74">
        <v>45775</v>
      </c>
      <c r="C1016" s="60" t="s">
        <v>1668</v>
      </c>
      <c r="D1016" s="61" t="s">
        <v>60</v>
      </c>
      <c r="E1016" s="62" t="s">
        <v>163</v>
      </c>
      <c r="F1016" s="105" t="s">
        <v>36</v>
      </c>
      <c r="G1016" s="62" t="s">
        <v>1617</v>
      </c>
      <c r="H1016" s="62" t="s">
        <v>56</v>
      </c>
      <c r="I1016" s="66" t="s">
        <v>1669</v>
      </c>
      <c r="J1016" s="62" t="s">
        <v>88</v>
      </c>
      <c r="K1016" s="67" t="s">
        <v>1670</v>
      </c>
      <c r="L1016" s="70"/>
      <c r="M1016" s="62"/>
      <c r="N1016" s="62"/>
      <c r="O1016" s="69"/>
      <c r="P1016" s="59" t="s">
        <v>42</v>
      </c>
      <c r="Q1016" s="73" t="s">
        <v>43</v>
      </c>
      <c r="R1016" s="62"/>
    </row>
    <row r="1017" ht="27.6" spans="1:18">
      <c r="A1017" s="58">
        <v>994</v>
      </c>
      <c r="B1017" s="74">
        <v>45776</v>
      </c>
      <c r="C1017" s="60" t="s">
        <v>1668</v>
      </c>
      <c r="D1017" s="61" t="s">
        <v>60</v>
      </c>
      <c r="E1017" s="62" t="s">
        <v>163</v>
      </c>
      <c r="F1017" s="105" t="s">
        <v>36</v>
      </c>
      <c r="G1017" s="62" t="s">
        <v>37</v>
      </c>
      <c r="H1017" s="62" t="s">
        <v>56</v>
      </c>
      <c r="I1017" s="66" t="s">
        <v>1671</v>
      </c>
      <c r="J1017" s="62" t="s">
        <v>88</v>
      </c>
      <c r="K1017" s="67" t="s">
        <v>1672</v>
      </c>
      <c r="L1017" s="70"/>
      <c r="M1017" s="62"/>
      <c r="N1017" s="62"/>
      <c r="O1017" s="69"/>
      <c r="P1017" s="59" t="s">
        <v>42</v>
      </c>
      <c r="Q1017" s="73" t="s">
        <v>43</v>
      </c>
      <c r="R1017" s="62"/>
    </row>
    <row r="1018" ht="27.6" spans="1:18">
      <c r="A1018" s="58">
        <v>995</v>
      </c>
      <c r="B1018" s="74">
        <v>45782</v>
      </c>
      <c r="C1018" s="60" t="s">
        <v>121</v>
      </c>
      <c r="D1018" s="61" t="s">
        <v>60</v>
      </c>
      <c r="E1018" s="62" t="s">
        <v>73</v>
      </c>
      <c r="F1018" s="105" t="s">
        <v>192</v>
      </c>
      <c r="G1018" s="62" t="s">
        <v>61</v>
      </c>
      <c r="H1018" s="62" t="s">
        <v>132</v>
      </c>
      <c r="I1018" s="66" t="s">
        <v>1673</v>
      </c>
      <c r="J1018" s="62" t="s">
        <v>137</v>
      </c>
      <c r="K1018" s="67" t="s">
        <v>1674</v>
      </c>
      <c r="L1018" s="70"/>
      <c r="M1018" s="62"/>
      <c r="N1018" s="62"/>
      <c r="O1018" s="69"/>
      <c r="P1018" s="59" t="s">
        <v>42</v>
      </c>
      <c r="Q1018" s="62" t="s">
        <v>8</v>
      </c>
      <c r="R1018" s="62"/>
    </row>
    <row r="1019" ht="13.8" spans="1:18">
      <c r="A1019" s="58">
        <v>996</v>
      </c>
      <c r="B1019" s="74">
        <v>45782</v>
      </c>
      <c r="C1019" s="60" t="s">
        <v>121</v>
      </c>
      <c r="D1019" s="61" t="s">
        <v>60</v>
      </c>
      <c r="E1019" s="62" t="s">
        <v>73</v>
      </c>
      <c r="F1019" s="105" t="s">
        <v>135</v>
      </c>
      <c r="G1019" s="62" t="s">
        <v>79</v>
      </c>
      <c r="H1019" s="62" t="s">
        <v>51</v>
      </c>
      <c r="I1019" s="66" t="s">
        <v>1675</v>
      </c>
      <c r="J1019" s="62" t="s">
        <v>137</v>
      </c>
      <c r="K1019" s="67" t="s">
        <v>1676</v>
      </c>
      <c r="L1019" s="70"/>
      <c r="M1019" s="62"/>
      <c r="N1019" s="62"/>
      <c r="O1019" s="69"/>
      <c r="P1019" s="59" t="s">
        <v>42</v>
      </c>
      <c r="Q1019" s="62" t="s">
        <v>8</v>
      </c>
      <c r="R1019" s="62"/>
    </row>
    <row r="1020" ht="27.6" spans="1:18">
      <c r="A1020" s="58">
        <v>997</v>
      </c>
      <c r="B1020" s="74">
        <v>45782</v>
      </c>
      <c r="C1020" s="60" t="s">
        <v>121</v>
      </c>
      <c r="D1020" s="61" t="s">
        <v>60</v>
      </c>
      <c r="E1020" s="62" t="s">
        <v>73</v>
      </c>
      <c r="F1020" s="105" t="s">
        <v>36</v>
      </c>
      <c r="G1020" s="62" t="s">
        <v>93</v>
      </c>
      <c r="H1020" s="62" t="s">
        <v>56</v>
      </c>
      <c r="I1020" s="66" t="s">
        <v>1677</v>
      </c>
      <c r="J1020" s="62" t="s">
        <v>88</v>
      </c>
      <c r="K1020" s="67" t="s">
        <v>1678</v>
      </c>
      <c r="L1020" s="70"/>
      <c r="M1020" s="62"/>
      <c r="N1020" s="62"/>
      <c r="O1020" s="69"/>
      <c r="P1020" s="59" t="s">
        <v>42</v>
      </c>
      <c r="Q1020" s="73" t="s">
        <v>43</v>
      </c>
      <c r="R1020" s="62"/>
    </row>
    <row r="1021" ht="82.8" spans="1:18">
      <c r="A1021" s="58">
        <v>998</v>
      </c>
      <c r="B1021" s="74">
        <v>45782</v>
      </c>
      <c r="C1021" s="60" t="s">
        <v>121</v>
      </c>
      <c r="D1021" s="61" t="s">
        <v>60</v>
      </c>
      <c r="E1021" s="62" t="s">
        <v>73</v>
      </c>
      <c r="F1021" s="105" t="s">
        <v>36</v>
      </c>
      <c r="G1021" s="62" t="s">
        <v>55</v>
      </c>
      <c r="H1021" s="62" t="s">
        <v>94</v>
      </c>
      <c r="I1021" s="66" t="s">
        <v>1679</v>
      </c>
      <c r="J1021" s="62" t="s">
        <v>53</v>
      </c>
      <c r="K1021" s="67" t="s">
        <v>1680</v>
      </c>
      <c r="L1021" s="70"/>
      <c r="M1021" s="62"/>
      <c r="N1021" s="62"/>
      <c r="O1021" s="69"/>
      <c r="P1021" s="59" t="s">
        <v>42</v>
      </c>
      <c r="Q1021" s="73" t="s">
        <v>43</v>
      </c>
      <c r="R1021" s="62"/>
    </row>
    <row r="1022" ht="55.2" spans="1:18">
      <c r="A1022" s="58">
        <v>999</v>
      </c>
      <c r="B1022" s="74">
        <v>45779</v>
      </c>
      <c r="C1022" s="60" t="s">
        <v>620</v>
      </c>
      <c r="D1022" s="61" t="s">
        <v>60</v>
      </c>
      <c r="E1022" s="62" t="s">
        <v>621</v>
      </c>
      <c r="F1022" s="105" t="s">
        <v>135</v>
      </c>
      <c r="G1022" s="62" t="s">
        <v>79</v>
      </c>
      <c r="H1022" s="62" t="s">
        <v>51</v>
      </c>
      <c r="I1022" s="66" t="s">
        <v>1681</v>
      </c>
      <c r="J1022" s="62" t="s">
        <v>137</v>
      </c>
      <c r="K1022" s="67"/>
      <c r="L1022" s="70"/>
      <c r="M1022" s="62"/>
      <c r="N1022" s="62"/>
      <c r="O1022" s="69"/>
      <c r="P1022" s="59" t="s">
        <v>42</v>
      </c>
      <c r="Q1022" s="62" t="s">
        <v>8</v>
      </c>
      <c r="R1022" s="62"/>
    </row>
    <row r="1023" ht="55.2" spans="1:18">
      <c r="A1023" s="58">
        <v>1000</v>
      </c>
      <c r="B1023" s="74">
        <v>45783</v>
      </c>
      <c r="C1023" s="60" t="s">
        <v>620</v>
      </c>
      <c r="D1023" s="61" t="s">
        <v>60</v>
      </c>
      <c r="E1023" s="62" t="s">
        <v>621</v>
      </c>
      <c r="F1023" s="105" t="s">
        <v>50</v>
      </c>
      <c r="G1023" s="62" t="s">
        <v>79</v>
      </c>
      <c r="H1023" s="62" t="s">
        <v>51</v>
      </c>
      <c r="I1023" s="66" t="s">
        <v>1682</v>
      </c>
      <c r="J1023" s="62" t="s">
        <v>53</v>
      </c>
      <c r="K1023" s="67" t="s">
        <v>1683</v>
      </c>
      <c r="L1023" s="70"/>
      <c r="M1023" s="62"/>
      <c r="N1023" s="62"/>
      <c r="O1023" s="69"/>
      <c r="P1023" s="59" t="s">
        <v>42</v>
      </c>
      <c r="Q1023" s="73" t="s">
        <v>43</v>
      </c>
      <c r="R1023" s="62"/>
    </row>
    <row r="1024" ht="41.4" spans="1:18">
      <c r="A1024" s="58">
        <v>1001</v>
      </c>
      <c r="B1024" s="74">
        <v>45784</v>
      </c>
      <c r="C1024" s="60" t="s">
        <v>620</v>
      </c>
      <c r="D1024" s="61" t="s">
        <v>60</v>
      </c>
      <c r="E1024" s="62" t="s">
        <v>621</v>
      </c>
      <c r="F1024" s="105" t="s">
        <v>50</v>
      </c>
      <c r="G1024" s="62" t="s">
        <v>37</v>
      </c>
      <c r="H1024" s="62" t="s">
        <v>51</v>
      </c>
      <c r="I1024" s="66" t="s">
        <v>1684</v>
      </c>
      <c r="J1024" s="62" t="s">
        <v>88</v>
      </c>
      <c r="K1024" s="67" t="s">
        <v>1685</v>
      </c>
      <c r="L1024" s="70"/>
      <c r="M1024" s="62"/>
      <c r="N1024" s="62"/>
      <c r="O1024" s="69"/>
      <c r="P1024" s="59" t="s">
        <v>42</v>
      </c>
      <c r="Q1024" s="73" t="s">
        <v>43</v>
      </c>
      <c r="R1024" s="62"/>
    </row>
    <row r="1025" ht="41.4" spans="1:18">
      <c r="A1025" s="58">
        <v>1002</v>
      </c>
      <c r="B1025" s="74">
        <v>45784</v>
      </c>
      <c r="C1025" s="60" t="s">
        <v>620</v>
      </c>
      <c r="D1025" s="61" t="s">
        <v>60</v>
      </c>
      <c r="E1025" s="62" t="s">
        <v>621</v>
      </c>
      <c r="F1025" s="105" t="s">
        <v>50</v>
      </c>
      <c r="G1025" s="62" t="s">
        <v>1686</v>
      </c>
      <c r="H1025" s="62" t="s">
        <v>46</v>
      </c>
      <c r="I1025" s="66" t="s">
        <v>1687</v>
      </c>
      <c r="J1025" s="62" t="s">
        <v>53</v>
      </c>
      <c r="K1025" s="67" t="s">
        <v>1688</v>
      </c>
      <c r="L1025" s="70"/>
      <c r="M1025" s="62"/>
      <c r="N1025" s="62"/>
      <c r="O1025" s="69"/>
      <c r="P1025" s="59" t="s">
        <v>42</v>
      </c>
      <c r="Q1025" s="73" t="s">
        <v>43</v>
      </c>
      <c r="R1025" s="62"/>
    </row>
    <row r="1026" ht="27.6" spans="1:18">
      <c r="A1026" s="58">
        <v>1003</v>
      </c>
      <c r="B1026" s="74">
        <v>45785</v>
      </c>
      <c r="C1026" s="60" t="s">
        <v>620</v>
      </c>
      <c r="D1026" s="61" t="s">
        <v>60</v>
      </c>
      <c r="E1026" s="62" t="s">
        <v>621</v>
      </c>
      <c r="F1026" s="105" t="s">
        <v>50</v>
      </c>
      <c r="G1026" s="62" t="s">
        <v>37</v>
      </c>
      <c r="H1026" s="62" t="s">
        <v>622</v>
      </c>
      <c r="I1026" s="66" t="s">
        <v>1689</v>
      </c>
      <c r="J1026" s="62" t="s">
        <v>53</v>
      </c>
      <c r="K1026" s="67" t="s">
        <v>1690</v>
      </c>
      <c r="L1026" s="70"/>
      <c r="M1026" s="62"/>
      <c r="N1026" s="62"/>
      <c r="O1026" s="69"/>
      <c r="P1026" s="59" t="s">
        <v>42</v>
      </c>
      <c r="Q1026" s="73" t="s">
        <v>43</v>
      </c>
      <c r="R1026" s="62"/>
    </row>
    <row r="1027" ht="41.4" spans="1:18">
      <c r="A1027" s="58">
        <v>1004</v>
      </c>
      <c r="B1027" s="74">
        <v>45785</v>
      </c>
      <c r="C1027" s="60" t="s">
        <v>620</v>
      </c>
      <c r="D1027" s="61" t="s">
        <v>60</v>
      </c>
      <c r="E1027" s="62" t="s">
        <v>621</v>
      </c>
      <c r="F1027" s="105" t="s">
        <v>50</v>
      </c>
      <c r="G1027" s="62" t="s">
        <v>37</v>
      </c>
      <c r="H1027" s="62" t="s">
        <v>51</v>
      </c>
      <c r="I1027" s="66" t="s">
        <v>1691</v>
      </c>
      <c r="J1027" s="62" t="s">
        <v>53</v>
      </c>
      <c r="K1027" s="67" t="s">
        <v>1692</v>
      </c>
      <c r="L1027" s="70"/>
      <c r="M1027" s="62"/>
      <c r="N1027" s="62"/>
      <c r="O1027" s="69"/>
      <c r="P1027" s="59" t="s">
        <v>42</v>
      </c>
      <c r="Q1027" s="73" t="s">
        <v>43</v>
      </c>
      <c r="R1027" s="62"/>
    </row>
    <row r="1028" ht="27.6" spans="1:18">
      <c r="A1028" s="58">
        <v>1005</v>
      </c>
      <c r="B1028" s="74">
        <v>45781</v>
      </c>
      <c r="C1028" s="60" t="s">
        <v>632</v>
      </c>
      <c r="D1028" s="61" t="s">
        <v>72</v>
      </c>
      <c r="E1028" s="62" t="s">
        <v>73</v>
      </c>
      <c r="F1028" s="105" t="s">
        <v>36</v>
      </c>
      <c r="G1028" s="62" t="s">
        <v>37</v>
      </c>
      <c r="H1028" s="62" t="s">
        <v>56</v>
      </c>
      <c r="I1028" s="66" t="s">
        <v>1693</v>
      </c>
      <c r="J1028" s="62" t="s">
        <v>53</v>
      </c>
      <c r="K1028" s="67" t="s">
        <v>1694</v>
      </c>
      <c r="L1028" s="70"/>
      <c r="M1028" s="62"/>
      <c r="N1028" s="62"/>
      <c r="O1028" s="69"/>
      <c r="P1028" s="59" t="s">
        <v>42</v>
      </c>
      <c r="Q1028" s="73" t="s">
        <v>43</v>
      </c>
      <c r="R1028" s="62"/>
    </row>
    <row r="1029" ht="27.6" spans="1:18">
      <c r="A1029" s="58">
        <v>1006</v>
      </c>
      <c r="B1029" s="74">
        <v>45781</v>
      </c>
      <c r="C1029" s="60" t="s">
        <v>632</v>
      </c>
      <c r="D1029" s="61" t="s">
        <v>72</v>
      </c>
      <c r="E1029" s="62" t="s">
        <v>73</v>
      </c>
      <c r="F1029" s="105" t="s">
        <v>36</v>
      </c>
      <c r="G1029" s="62" t="s">
        <v>55</v>
      </c>
      <c r="H1029" s="62" t="s">
        <v>66</v>
      </c>
      <c r="I1029" s="66" t="s">
        <v>1695</v>
      </c>
      <c r="J1029" s="62" t="s">
        <v>53</v>
      </c>
      <c r="K1029" s="67" t="s">
        <v>1696</v>
      </c>
      <c r="L1029" s="70"/>
      <c r="M1029" s="62"/>
      <c r="N1029" s="62"/>
      <c r="O1029" s="69"/>
      <c r="P1029" s="59" t="s">
        <v>42</v>
      </c>
      <c r="Q1029" s="73" t="s">
        <v>43</v>
      </c>
      <c r="R1029" s="62"/>
    </row>
    <row r="1030" ht="41.4" spans="1:18">
      <c r="A1030" s="58">
        <v>1007</v>
      </c>
      <c r="B1030" s="74">
        <v>45781</v>
      </c>
      <c r="C1030" s="60" t="s">
        <v>632</v>
      </c>
      <c r="D1030" s="61" t="s">
        <v>72</v>
      </c>
      <c r="E1030" s="62" t="s">
        <v>73</v>
      </c>
      <c r="F1030" s="105" t="s">
        <v>36</v>
      </c>
      <c r="G1030" s="62" t="s">
        <v>55</v>
      </c>
      <c r="H1030" s="62" t="s">
        <v>1008</v>
      </c>
      <c r="I1030" s="66" t="s">
        <v>1697</v>
      </c>
      <c r="J1030" s="62" t="s">
        <v>88</v>
      </c>
      <c r="K1030" s="67" t="s">
        <v>1698</v>
      </c>
      <c r="L1030" s="70"/>
      <c r="M1030" s="62"/>
      <c r="N1030" s="62"/>
      <c r="O1030" s="69"/>
      <c r="P1030" s="59" t="s">
        <v>42</v>
      </c>
      <c r="Q1030" s="73" t="s">
        <v>43</v>
      </c>
      <c r="R1030" s="62"/>
    </row>
    <row r="1031" ht="55.2" spans="1:18">
      <c r="A1031" s="58">
        <v>1008</v>
      </c>
      <c r="B1031" s="74">
        <v>45781</v>
      </c>
      <c r="C1031" s="60" t="s">
        <v>632</v>
      </c>
      <c r="D1031" s="61" t="s">
        <v>72</v>
      </c>
      <c r="E1031" s="62" t="s">
        <v>73</v>
      </c>
      <c r="F1031" s="105" t="s">
        <v>36</v>
      </c>
      <c r="G1031" s="62" t="s">
        <v>93</v>
      </c>
      <c r="H1031" s="62" t="s">
        <v>132</v>
      </c>
      <c r="I1031" s="66" t="s">
        <v>1699</v>
      </c>
      <c r="J1031" s="62" t="s">
        <v>53</v>
      </c>
      <c r="K1031" s="67" t="s">
        <v>1700</v>
      </c>
      <c r="L1031" s="70"/>
      <c r="M1031" s="62"/>
      <c r="N1031" s="62"/>
      <c r="O1031" s="69"/>
      <c r="P1031" s="59" t="s">
        <v>42</v>
      </c>
      <c r="Q1031" s="73" t="s">
        <v>43</v>
      </c>
      <c r="R1031" s="62"/>
    </row>
    <row r="1032" ht="41.4" spans="1:18">
      <c r="A1032" s="58">
        <v>1009</v>
      </c>
      <c r="B1032" s="74">
        <v>45782</v>
      </c>
      <c r="C1032" s="60" t="s">
        <v>632</v>
      </c>
      <c r="D1032" s="61" t="s">
        <v>72</v>
      </c>
      <c r="E1032" s="62" t="s">
        <v>73</v>
      </c>
      <c r="F1032" s="105" t="s">
        <v>36</v>
      </c>
      <c r="G1032" s="62" t="s">
        <v>55</v>
      </c>
      <c r="H1032" s="62" t="s">
        <v>271</v>
      </c>
      <c r="I1032" s="66" t="s">
        <v>1701</v>
      </c>
      <c r="J1032" s="62" t="s">
        <v>53</v>
      </c>
      <c r="K1032" s="67" t="s">
        <v>1702</v>
      </c>
      <c r="L1032" s="70"/>
      <c r="M1032" s="62"/>
      <c r="N1032" s="62"/>
      <c r="O1032" s="69"/>
      <c r="P1032" s="59" t="s">
        <v>42</v>
      </c>
      <c r="Q1032" s="73" t="s">
        <v>43</v>
      </c>
      <c r="R1032" s="62"/>
    </row>
    <row r="1033" ht="27.6" spans="1:18">
      <c r="A1033" s="58">
        <v>1010</v>
      </c>
      <c r="B1033" s="74">
        <v>45782</v>
      </c>
      <c r="C1033" s="60" t="s">
        <v>632</v>
      </c>
      <c r="D1033" s="61" t="s">
        <v>72</v>
      </c>
      <c r="E1033" s="62" t="s">
        <v>73</v>
      </c>
      <c r="F1033" s="105" t="s">
        <v>135</v>
      </c>
      <c r="G1033" s="62" t="s">
        <v>37</v>
      </c>
      <c r="H1033" s="62" t="s">
        <v>376</v>
      </c>
      <c r="I1033" s="66" t="s">
        <v>1703</v>
      </c>
      <c r="J1033" s="62" t="s">
        <v>137</v>
      </c>
      <c r="K1033" s="67"/>
      <c r="L1033" s="70"/>
      <c r="M1033" s="62"/>
      <c r="N1033" s="62"/>
      <c r="O1033" s="69"/>
      <c r="P1033" s="59" t="s">
        <v>42</v>
      </c>
      <c r="Q1033" s="62" t="s">
        <v>8</v>
      </c>
      <c r="R1033" s="62"/>
    </row>
    <row r="1034" ht="55.2" spans="1:18">
      <c r="A1034" s="58">
        <v>1011</v>
      </c>
      <c r="B1034" s="74">
        <v>45782</v>
      </c>
      <c r="C1034" s="60" t="s">
        <v>632</v>
      </c>
      <c r="D1034" s="61" t="s">
        <v>72</v>
      </c>
      <c r="E1034" s="62" t="s">
        <v>73</v>
      </c>
      <c r="F1034" s="105" t="s">
        <v>50</v>
      </c>
      <c r="G1034" s="62" t="s">
        <v>37</v>
      </c>
      <c r="H1034" s="62" t="s">
        <v>46</v>
      </c>
      <c r="I1034" s="66" t="s">
        <v>1704</v>
      </c>
      <c r="J1034" s="62" t="s">
        <v>53</v>
      </c>
      <c r="K1034" s="67" t="s">
        <v>1705</v>
      </c>
      <c r="L1034" s="70"/>
      <c r="M1034" s="62"/>
      <c r="N1034" s="62"/>
      <c r="O1034" s="69"/>
      <c r="P1034" s="59" t="s">
        <v>42</v>
      </c>
      <c r="Q1034" s="73" t="s">
        <v>43</v>
      </c>
      <c r="R1034" s="62"/>
    </row>
    <row r="1035" ht="27.6" spans="1:18">
      <c r="A1035" s="58">
        <v>1012</v>
      </c>
      <c r="B1035" s="74">
        <v>45783</v>
      </c>
      <c r="C1035" s="60" t="s">
        <v>641</v>
      </c>
      <c r="D1035" s="61" t="s">
        <v>72</v>
      </c>
      <c r="E1035" s="62" t="s">
        <v>73</v>
      </c>
      <c r="F1035" s="105" t="s">
        <v>50</v>
      </c>
      <c r="G1035" s="62" t="s">
        <v>45</v>
      </c>
      <c r="H1035" s="62" t="s">
        <v>132</v>
      </c>
      <c r="I1035" s="66" t="s">
        <v>1706</v>
      </c>
      <c r="J1035" s="62" t="s">
        <v>53</v>
      </c>
      <c r="K1035" s="67" t="s">
        <v>1707</v>
      </c>
      <c r="L1035" s="70"/>
      <c r="M1035" s="62"/>
      <c r="N1035" s="62"/>
      <c r="O1035" s="69"/>
      <c r="P1035" s="59" t="s">
        <v>42</v>
      </c>
      <c r="Q1035" s="73" t="s">
        <v>43</v>
      </c>
      <c r="R1035" s="62"/>
    </row>
    <row r="1036" ht="27.6" spans="1:18">
      <c r="A1036" s="58">
        <v>1013</v>
      </c>
      <c r="B1036" s="74">
        <v>45784</v>
      </c>
      <c r="C1036" s="60" t="s">
        <v>641</v>
      </c>
      <c r="D1036" s="61" t="s">
        <v>72</v>
      </c>
      <c r="E1036" s="62" t="s">
        <v>73</v>
      </c>
      <c r="F1036" s="105" t="s">
        <v>36</v>
      </c>
      <c r="G1036" s="62" t="s">
        <v>65</v>
      </c>
      <c r="H1036" s="62" t="s">
        <v>132</v>
      </c>
      <c r="I1036" s="66" t="s">
        <v>1708</v>
      </c>
      <c r="J1036" s="62" t="s">
        <v>53</v>
      </c>
      <c r="K1036" s="67" t="s">
        <v>1709</v>
      </c>
      <c r="L1036" s="70"/>
      <c r="M1036" s="62"/>
      <c r="N1036" s="62"/>
      <c r="O1036" s="69"/>
      <c r="P1036" s="59" t="s">
        <v>42</v>
      </c>
      <c r="Q1036" s="73" t="s">
        <v>43</v>
      </c>
      <c r="R1036" s="62"/>
    </row>
    <row r="1037" ht="41.4" spans="1:18">
      <c r="A1037" s="58">
        <v>1014</v>
      </c>
      <c r="B1037" s="74">
        <v>45784</v>
      </c>
      <c r="C1037" s="60" t="s">
        <v>641</v>
      </c>
      <c r="D1037" s="61" t="s">
        <v>72</v>
      </c>
      <c r="E1037" s="62" t="s">
        <v>73</v>
      </c>
      <c r="F1037" s="105" t="s">
        <v>36</v>
      </c>
      <c r="G1037" s="62" t="s">
        <v>82</v>
      </c>
      <c r="H1037" s="62" t="s">
        <v>94</v>
      </c>
      <c r="I1037" s="66" t="s">
        <v>1710</v>
      </c>
      <c r="J1037" s="62" t="s">
        <v>53</v>
      </c>
      <c r="K1037" s="67" t="s">
        <v>1711</v>
      </c>
      <c r="L1037" s="70"/>
      <c r="M1037" s="62"/>
      <c r="N1037" s="62"/>
      <c r="O1037" s="69"/>
      <c r="P1037" s="59" t="s">
        <v>42</v>
      </c>
      <c r="Q1037" s="73" t="s">
        <v>43</v>
      </c>
      <c r="R1037" s="62"/>
    </row>
    <row r="1038" ht="41.4" spans="1:18">
      <c r="A1038" s="58">
        <v>1015</v>
      </c>
      <c r="B1038" s="74">
        <v>45784</v>
      </c>
      <c r="C1038" s="60" t="s">
        <v>641</v>
      </c>
      <c r="D1038" s="61" t="s">
        <v>72</v>
      </c>
      <c r="E1038" s="62" t="s">
        <v>73</v>
      </c>
      <c r="F1038" s="105" t="s">
        <v>36</v>
      </c>
      <c r="G1038" s="62" t="s">
        <v>45</v>
      </c>
      <c r="H1038" s="62" t="s">
        <v>94</v>
      </c>
      <c r="I1038" s="66" t="s">
        <v>1712</v>
      </c>
      <c r="J1038" s="62" t="s">
        <v>53</v>
      </c>
      <c r="K1038" s="67" t="s">
        <v>1713</v>
      </c>
      <c r="L1038" s="70"/>
      <c r="M1038" s="62"/>
      <c r="N1038" s="62"/>
      <c r="O1038" s="69"/>
      <c r="P1038" s="59" t="s">
        <v>42</v>
      </c>
      <c r="Q1038" s="73" t="s">
        <v>43</v>
      </c>
      <c r="R1038" s="62"/>
    </row>
    <row r="1039" ht="41.4" spans="1:18">
      <c r="A1039" s="58">
        <v>1016</v>
      </c>
      <c r="B1039" s="74">
        <v>45784</v>
      </c>
      <c r="C1039" s="60" t="s">
        <v>641</v>
      </c>
      <c r="D1039" s="61" t="s">
        <v>72</v>
      </c>
      <c r="E1039" s="62" t="s">
        <v>73</v>
      </c>
      <c r="F1039" s="105" t="s">
        <v>36</v>
      </c>
      <c r="G1039" s="62" t="s">
        <v>82</v>
      </c>
      <c r="H1039" s="62" t="s">
        <v>94</v>
      </c>
      <c r="I1039" s="66" t="s">
        <v>1714</v>
      </c>
      <c r="J1039" s="62" t="s">
        <v>53</v>
      </c>
      <c r="K1039" s="67" t="s">
        <v>1715</v>
      </c>
      <c r="L1039" s="70"/>
      <c r="M1039" s="62"/>
      <c r="N1039" s="62"/>
      <c r="O1039" s="69"/>
      <c r="P1039" s="59" t="s">
        <v>42</v>
      </c>
      <c r="Q1039" s="73" t="s">
        <v>43</v>
      </c>
      <c r="R1039" s="62"/>
    </row>
    <row r="1040" ht="41.4" spans="1:18">
      <c r="A1040" s="58">
        <v>1017</v>
      </c>
      <c r="B1040" s="74">
        <v>45785</v>
      </c>
      <c r="C1040" s="60" t="s">
        <v>641</v>
      </c>
      <c r="D1040" s="61" t="s">
        <v>72</v>
      </c>
      <c r="E1040" s="62" t="s">
        <v>73</v>
      </c>
      <c r="F1040" s="105" t="s">
        <v>36</v>
      </c>
      <c r="G1040" s="62" t="s">
        <v>45</v>
      </c>
      <c r="H1040" s="62" t="s">
        <v>94</v>
      </c>
      <c r="I1040" s="66" t="s">
        <v>1716</v>
      </c>
      <c r="J1040" s="62" t="s">
        <v>53</v>
      </c>
      <c r="K1040" s="67" t="s">
        <v>1717</v>
      </c>
      <c r="L1040" s="70"/>
      <c r="M1040" s="62"/>
      <c r="N1040" s="62"/>
      <c r="O1040" s="69"/>
      <c r="P1040" s="59" t="s">
        <v>42</v>
      </c>
      <c r="Q1040" s="73" t="s">
        <v>43</v>
      </c>
      <c r="R1040" s="62"/>
    </row>
    <row r="1041" ht="41.4" spans="1:18">
      <c r="A1041" s="58">
        <v>1018</v>
      </c>
      <c r="B1041" s="74">
        <v>45791</v>
      </c>
      <c r="C1041" s="60" t="s">
        <v>85</v>
      </c>
      <c r="D1041" s="61" t="s">
        <v>60</v>
      </c>
      <c r="E1041" s="62" t="s">
        <v>86</v>
      </c>
      <c r="F1041" s="105" t="s">
        <v>135</v>
      </c>
      <c r="G1041" s="62" t="s">
        <v>79</v>
      </c>
      <c r="H1041" s="62" t="s">
        <v>56</v>
      </c>
      <c r="I1041" s="66" t="s">
        <v>1718</v>
      </c>
      <c r="J1041" s="62" t="s">
        <v>137</v>
      </c>
      <c r="K1041" s="67" t="s">
        <v>1719</v>
      </c>
      <c r="L1041" s="70"/>
      <c r="M1041" s="62"/>
      <c r="N1041" s="62"/>
      <c r="O1041" s="69"/>
      <c r="P1041" s="59" t="s">
        <v>42</v>
      </c>
      <c r="Q1041" s="62" t="s">
        <v>8</v>
      </c>
      <c r="R1041" s="62"/>
    </row>
    <row r="1042" ht="69" spans="1:18">
      <c r="A1042" s="58">
        <v>1019</v>
      </c>
      <c r="B1042" s="74">
        <v>45791</v>
      </c>
      <c r="C1042" s="60" t="s">
        <v>85</v>
      </c>
      <c r="D1042" s="61" t="s">
        <v>60</v>
      </c>
      <c r="E1042" s="62" t="s">
        <v>86</v>
      </c>
      <c r="F1042" s="105" t="s">
        <v>36</v>
      </c>
      <c r="G1042" s="62" t="s">
        <v>93</v>
      </c>
      <c r="H1042" s="62" t="s">
        <v>56</v>
      </c>
      <c r="I1042" s="66" t="s">
        <v>1720</v>
      </c>
      <c r="J1042" s="62" t="s">
        <v>88</v>
      </c>
      <c r="K1042" s="67" t="s">
        <v>1721</v>
      </c>
      <c r="L1042" s="70"/>
      <c r="M1042" s="62"/>
      <c r="N1042" s="62"/>
      <c r="O1042" s="69"/>
      <c r="P1042" s="59" t="s">
        <v>42</v>
      </c>
      <c r="Q1042" s="73" t="s">
        <v>43</v>
      </c>
      <c r="R1042" s="62"/>
    </row>
    <row r="1043" ht="124.2" spans="1:18">
      <c r="A1043" s="58">
        <v>1020</v>
      </c>
      <c r="B1043" s="74">
        <v>45790</v>
      </c>
      <c r="C1043" s="60" t="s">
        <v>85</v>
      </c>
      <c r="D1043" s="61" t="s">
        <v>60</v>
      </c>
      <c r="E1043" s="62" t="s">
        <v>86</v>
      </c>
      <c r="F1043" s="105" t="s">
        <v>36</v>
      </c>
      <c r="G1043" s="62" t="s">
        <v>55</v>
      </c>
      <c r="H1043" s="62" t="s">
        <v>132</v>
      </c>
      <c r="I1043" s="66" t="s">
        <v>1722</v>
      </c>
      <c r="J1043" s="62" t="s">
        <v>53</v>
      </c>
      <c r="K1043" s="67" t="s">
        <v>1723</v>
      </c>
      <c r="L1043" s="70"/>
      <c r="M1043" s="62"/>
      <c r="N1043" s="62"/>
      <c r="O1043" s="69"/>
      <c r="P1043" s="59" t="s">
        <v>42</v>
      </c>
      <c r="Q1043" s="73" t="s">
        <v>43</v>
      </c>
      <c r="R1043" s="62"/>
    </row>
    <row r="1044" ht="82.8" spans="1:18">
      <c r="A1044" s="58">
        <v>1021</v>
      </c>
      <c r="B1044" s="74">
        <v>45791</v>
      </c>
      <c r="C1044" s="60" t="s">
        <v>85</v>
      </c>
      <c r="D1044" s="61" t="s">
        <v>60</v>
      </c>
      <c r="E1044" s="62" t="s">
        <v>86</v>
      </c>
      <c r="F1044" s="105" t="s">
        <v>36</v>
      </c>
      <c r="G1044" s="62" t="s">
        <v>45</v>
      </c>
      <c r="H1044" s="62" t="s">
        <v>56</v>
      </c>
      <c r="I1044" s="66" t="s">
        <v>106</v>
      </c>
      <c r="J1044" s="62" t="s">
        <v>53</v>
      </c>
      <c r="K1044" s="67" t="s">
        <v>1724</v>
      </c>
      <c r="L1044" s="70"/>
      <c r="M1044" s="62"/>
      <c r="N1044" s="62"/>
      <c r="O1044" s="69"/>
      <c r="P1044" s="59" t="s">
        <v>42</v>
      </c>
      <c r="Q1044" s="73" t="s">
        <v>43</v>
      </c>
      <c r="R1044" s="62"/>
    </row>
    <row r="1045" ht="27.6" spans="1:18">
      <c r="A1045" s="58">
        <v>1022</v>
      </c>
      <c r="B1045" s="74">
        <v>45788</v>
      </c>
      <c r="C1045" s="60" t="s">
        <v>620</v>
      </c>
      <c r="D1045" s="61" t="s">
        <v>60</v>
      </c>
      <c r="E1045" s="62" t="s">
        <v>621</v>
      </c>
      <c r="F1045" s="105" t="s">
        <v>192</v>
      </c>
      <c r="G1045" s="62" t="s">
        <v>79</v>
      </c>
      <c r="H1045" s="62" t="s">
        <v>150</v>
      </c>
      <c r="I1045" s="66" t="s">
        <v>1725</v>
      </c>
      <c r="J1045" s="62" t="s">
        <v>137</v>
      </c>
      <c r="K1045" s="67" t="s">
        <v>1726</v>
      </c>
      <c r="L1045" s="70"/>
      <c r="M1045" s="62"/>
      <c r="N1045" s="62"/>
      <c r="O1045" s="69"/>
      <c r="P1045" s="59" t="s">
        <v>42</v>
      </c>
      <c r="Q1045" s="62" t="s">
        <v>8</v>
      </c>
      <c r="R1045" s="62"/>
    </row>
    <row r="1046" ht="27.6" spans="1:18">
      <c r="A1046" s="58">
        <v>1023</v>
      </c>
      <c r="B1046" s="74">
        <v>45789</v>
      </c>
      <c r="C1046" s="60" t="s">
        <v>620</v>
      </c>
      <c r="D1046" s="61" t="s">
        <v>60</v>
      </c>
      <c r="E1046" s="62" t="s">
        <v>621</v>
      </c>
      <c r="F1046" s="105" t="s">
        <v>50</v>
      </c>
      <c r="G1046" s="62" t="s">
        <v>1686</v>
      </c>
      <c r="H1046" s="62" t="s">
        <v>66</v>
      </c>
      <c r="I1046" s="66" t="s">
        <v>1727</v>
      </c>
      <c r="J1046" s="62" t="s">
        <v>53</v>
      </c>
      <c r="K1046" s="67" t="s">
        <v>1728</v>
      </c>
      <c r="L1046" s="70"/>
      <c r="M1046" s="62"/>
      <c r="N1046" s="62"/>
      <c r="O1046" s="69"/>
      <c r="P1046" s="59" t="s">
        <v>42</v>
      </c>
      <c r="Q1046" s="73" t="s">
        <v>43</v>
      </c>
      <c r="R1046" s="62"/>
    </row>
    <row r="1047" ht="110.4" spans="1:18">
      <c r="A1047" s="58">
        <v>1024</v>
      </c>
      <c r="B1047" s="74">
        <v>45789</v>
      </c>
      <c r="C1047" s="60" t="s">
        <v>100</v>
      </c>
      <c r="D1047" s="61" t="s">
        <v>60</v>
      </c>
      <c r="E1047" s="62" t="s">
        <v>101</v>
      </c>
      <c r="F1047" s="105" t="s">
        <v>36</v>
      </c>
      <c r="G1047" s="62" t="s">
        <v>82</v>
      </c>
      <c r="H1047" s="62" t="s">
        <v>132</v>
      </c>
      <c r="I1047" s="66" t="s">
        <v>1729</v>
      </c>
      <c r="J1047" s="62" t="s">
        <v>53</v>
      </c>
      <c r="K1047" s="67" t="s">
        <v>1730</v>
      </c>
      <c r="L1047" s="70"/>
      <c r="M1047" s="62"/>
      <c r="N1047" s="62"/>
      <c r="O1047" s="69"/>
      <c r="P1047" s="59" t="s">
        <v>42</v>
      </c>
      <c r="Q1047" s="73" t="s">
        <v>43</v>
      </c>
      <c r="R1047" s="62"/>
    </row>
    <row r="1048" ht="151.8" spans="1:18">
      <c r="A1048" s="58">
        <v>1025</v>
      </c>
      <c r="B1048" s="74">
        <v>45789</v>
      </c>
      <c r="C1048" s="60" t="s">
        <v>100</v>
      </c>
      <c r="D1048" s="61" t="s">
        <v>60</v>
      </c>
      <c r="E1048" s="62" t="s">
        <v>101</v>
      </c>
      <c r="F1048" s="105" t="s">
        <v>36</v>
      </c>
      <c r="G1048" s="62" t="s">
        <v>55</v>
      </c>
      <c r="H1048" s="62" t="s">
        <v>132</v>
      </c>
      <c r="I1048" s="66" t="s">
        <v>1731</v>
      </c>
      <c r="J1048" s="62" t="s">
        <v>88</v>
      </c>
      <c r="K1048" s="67" t="s">
        <v>1732</v>
      </c>
      <c r="L1048" s="70"/>
      <c r="M1048" s="62"/>
      <c r="N1048" s="62"/>
      <c r="O1048" s="69"/>
      <c r="P1048" s="59" t="s">
        <v>42</v>
      </c>
      <c r="Q1048" s="73" t="s">
        <v>43</v>
      </c>
      <c r="R1048" s="62"/>
    </row>
    <row r="1049" ht="27.6" spans="1:18">
      <c r="A1049" s="58">
        <v>1026</v>
      </c>
      <c r="B1049" s="74">
        <v>45791</v>
      </c>
      <c r="C1049" s="60" t="s">
        <v>127</v>
      </c>
      <c r="D1049" s="61" t="s">
        <v>60</v>
      </c>
      <c r="E1049" s="62" t="s">
        <v>163</v>
      </c>
      <c r="F1049" s="105" t="s">
        <v>50</v>
      </c>
      <c r="G1049" s="62" t="s">
        <v>45</v>
      </c>
      <c r="H1049" s="62" t="s">
        <v>51</v>
      </c>
      <c r="I1049" s="66" t="s">
        <v>1733</v>
      </c>
      <c r="J1049" s="62" t="s">
        <v>53</v>
      </c>
      <c r="K1049" s="67" t="s">
        <v>1734</v>
      </c>
      <c r="L1049" s="70"/>
      <c r="M1049" s="62"/>
      <c r="N1049" s="62"/>
      <c r="O1049" s="69"/>
      <c r="P1049" s="59" t="s">
        <v>42</v>
      </c>
      <c r="Q1049" s="73" t="s">
        <v>43</v>
      </c>
      <c r="R1049" s="62"/>
    </row>
    <row r="1050" ht="41.4" spans="1:18">
      <c r="A1050" s="58">
        <v>1027</v>
      </c>
      <c r="B1050" s="74">
        <v>45791</v>
      </c>
      <c r="C1050" s="60" t="s">
        <v>127</v>
      </c>
      <c r="D1050" s="61" t="s">
        <v>60</v>
      </c>
      <c r="E1050" s="62" t="s">
        <v>163</v>
      </c>
      <c r="F1050" s="105" t="s">
        <v>50</v>
      </c>
      <c r="G1050" s="62" t="s">
        <v>45</v>
      </c>
      <c r="H1050" s="62" t="s">
        <v>51</v>
      </c>
      <c r="I1050" s="66" t="s">
        <v>1735</v>
      </c>
      <c r="J1050" s="62" t="s">
        <v>53</v>
      </c>
      <c r="K1050" s="67" t="s">
        <v>1734</v>
      </c>
      <c r="L1050" s="70"/>
      <c r="M1050" s="62"/>
      <c r="N1050" s="62"/>
      <c r="O1050" s="69"/>
      <c r="P1050" s="59" t="s">
        <v>42</v>
      </c>
      <c r="Q1050" s="73" t="s">
        <v>43</v>
      </c>
      <c r="R1050" s="62"/>
    </row>
    <row r="1051" ht="27.6" spans="1:18">
      <c r="A1051" s="58">
        <v>1028</v>
      </c>
      <c r="B1051" s="74">
        <v>45791</v>
      </c>
      <c r="C1051" s="60" t="s">
        <v>127</v>
      </c>
      <c r="D1051" s="61" t="s">
        <v>60</v>
      </c>
      <c r="E1051" s="62" t="s">
        <v>163</v>
      </c>
      <c r="F1051" s="105" t="s">
        <v>50</v>
      </c>
      <c r="G1051" s="62" t="s">
        <v>45</v>
      </c>
      <c r="H1051" s="62" t="s">
        <v>51</v>
      </c>
      <c r="I1051" s="66" t="s">
        <v>1736</v>
      </c>
      <c r="J1051" s="62" t="s">
        <v>53</v>
      </c>
      <c r="K1051" s="67" t="s">
        <v>1734</v>
      </c>
      <c r="L1051" s="70"/>
      <c r="M1051" s="62"/>
      <c r="N1051" s="62"/>
      <c r="O1051" s="69"/>
      <c r="P1051" s="59" t="s">
        <v>42</v>
      </c>
      <c r="Q1051" s="73" t="s">
        <v>43</v>
      </c>
      <c r="R1051" s="62"/>
    </row>
    <row r="1052" ht="27.6" spans="1:18">
      <c r="A1052" s="58">
        <v>1029</v>
      </c>
      <c r="B1052" s="74">
        <v>45788</v>
      </c>
      <c r="C1052" s="60" t="s">
        <v>1663</v>
      </c>
      <c r="D1052" s="61" t="s">
        <v>60</v>
      </c>
      <c r="E1052" s="62" t="s">
        <v>163</v>
      </c>
      <c r="F1052" s="105" t="s">
        <v>36</v>
      </c>
      <c r="G1052" s="62" t="s">
        <v>61</v>
      </c>
      <c r="H1052" s="62" t="s">
        <v>94</v>
      </c>
      <c r="I1052" s="66" t="s">
        <v>1737</v>
      </c>
      <c r="J1052" s="62" t="s">
        <v>53</v>
      </c>
      <c r="K1052" s="67" t="s">
        <v>1738</v>
      </c>
      <c r="L1052" s="70"/>
      <c r="M1052" s="62"/>
      <c r="N1052" s="62"/>
      <c r="O1052" s="69"/>
      <c r="P1052" s="59" t="s">
        <v>42</v>
      </c>
      <c r="Q1052" s="73" t="s">
        <v>43</v>
      </c>
      <c r="R1052" s="62"/>
    </row>
    <row r="1053" ht="13.8" spans="1:18">
      <c r="A1053" s="58">
        <v>1030</v>
      </c>
      <c r="B1053" s="74">
        <v>45789</v>
      </c>
      <c r="C1053" s="60" t="s">
        <v>121</v>
      </c>
      <c r="D1053" s="61" t="s">
        <v>60</v>
      </c>
      <c r="E1053" s="62" t="s">
        <v>73</v>
      </c>
      <c r="F1053" s="105" t="s">
        <v>192</v>
      </c>
      <c r="G1053" s="62" t="s">
        <v>61</v>
      </c>
      <c r="H1053" s="62" t="s">
        <v>132</v>
      </c>
      <c r="I1053" s="66" t="s">
        <v>1739</v>
      </c>
      <c r="J1053" s="62" t="s">
        <v>137</v>
      </c>
      <c r="K1053" s="67" t="s">
        <v>1740</v>
      </c>
      <c r="L1053" s="70"/>
      <c r="M1053" s="62"/>
      <c r="N1053" s="62"/>
      <c r="O1053" s="69"/>
      <c r="P1053" s="59" t="s">
        <v>42</v>
      </c>
      <c r="Q1053" s="62" t="s">
        <v>8</v>
      </c>
      <c r="R1053" s="62"/>
    </row>
    <row r="1054" ht="13.8" spans="1:18">
      <c r="A1054" s="58">
        <v>1031</v>
      </c>
      <c r="B1054" s="74">
        <v>45790</v>
      </c>
      <c r="C1054" s="60" t="s">
        <v>121</v>
      </c>
      <c r="D1054" s="61" t="s">
        <v>60</v>
      </c>
      <c r="E1054" s="62" t="s">
        <v>73</v>
      </c>
      <c r="F1054" s="105" t="s">
        <v>192</v>
      </c>
      <c r="G1054" s="62" t="s">
        <v>55</v>
      </c>
      <c r="H1054" s="62" t="s">
        <v>51</v>
      </c>
      <c r="I1054" s="66" t="s">
        <v>1741</v>
      </c>
      <c r="J1054" s="62" t="s">
        <v>137</v>
      </c>
      <c r="K1054" s="67" t="s">
        <v>1742</v>
      </c>
      <c r="L1054" s="70"/>
      <c r="M1054" s="62"/>
      <c r="N1054" s="62"/>
      <c r="O1054" s="69"/>
      <c r="P1054" s="59" t="s">
        <v>42</v>
      </c>
      <c r="Q1054" s="62" t="s">
        <v>8</v>
      </c>
      <c r="R1054" s="62"/>
    </row>
    <row r="1055" ht="27.6" spans="1:18">
      <c r="A1055" s="58">
        <v>1032</v>
      </c>
      <c r="B1055" s="74">
        <v>45790</v>
      </c>
      <c r="C1055" s="60" t="s">
        <v>121</v>
      </c>
      <c r="D1055" s="61" t="s">
        <v>60</v>
      </c>
      <c r="E1055" s="62" t="s">
        <v>73</v>
      </c>
      <c r="F1055" s="105" t="s">
        <v>36</v>
      </c>
      <c r="G1055" s="62" t="s">
        <v>45</v>
      </c>
      <c r="H1055" s="62" t="s">
        <v>56</v>
      </c>
      <c r="I1055" s="66" t="s">
        <v>1743</v>
      </c>
      <c r="J1055" s="62" t="s">
        <v>53</v>
      </c>
      <c r="K1055" s="67" t="s">
        <v>1744</v>
      </c>
      <c r="L1055" s="70"/>
      <c r="M1055" s="62"/>
      <c r="N1055" s="62"/>
      <c r="O1055" s="69"/>
      <c r="P1055" s="59" t="s">
        <v>42</v>
      </c>
      <c r="Q1055" s="73" t="s">
        <v>43</v>
      </c>
      <c r="R1055" s="62"/>
    </row>
    <row r="1056" ht="55.2" spans="1:18">
      <c r="A1056" s="58">
        <v>1033</v>
      </c>
      <c r="B1056" s="74">
        <v>45790</v>
      </c>
      <c r="C1056" s="60" t="s">
        <v>121</v>
      </c>
      <c r="D1056" s="61" t="s">
        <v>60</v>
      </c>
      <c r="E1056" s="62" t="s">
        <v>73</v>
      </c>
      <c r="F1056" s="105" t="s">
        <v>36</v>
      </c>
      <c r="G1056" s="62" t="s">
        <v>55</v>
      </c>
      <c r="H1056" s="62" t="s">
        <v>94</v>
      </c>
      <c r="I1056" s="66" t="s">
        <v>1745</v>
      </c>
      <c r="J1056" s="62" t="s">
        <v>53</v>
      </c>
      <c r="K1056" s="67" t="s">
        <v>1746</v>
      </c>
      <c r="L1056" s="70"/>
      <c r="M1056" s="62"/>
      <c r="N1056" s="62"/>
      <c r="O1056" s="69"/>
      <c r="P1056" s="59" t="s">
        <v>42</v>
      </c>
      <c r="Q1056" s="73" t="s">
        <v>43</v>
      </c>
      <c r="R1056" s="62"/>
    </row>
    <row r="1057" ht="55.2" spans="1:18">
      <c r="A1057" s="58">
        <v>1034</v>
      </c>
      <c r="B1057" s="74">
        <v>45790</v>
      </c>
      <c r="C1057" s="60" t="s">
        <v>641</v>
      </c>
      <c r="D1057" s="61" t="s">
        <v>72</v>
      </c>
      <c r="E1057" s="62" t="s">
        <v>73</v>
      </c>
      <c r="F1057" s="105" t="s">
        <v>36</v>
      </c>
      <c r="G1057" s="62" t="s">
        <v>37</v>
      </c>
      <c r="H1057" s="62" t="s">
        <v>376</v>
      </c>
      <c r="I1057" s="66" t="s">
        <v>1747</v>
      </c>
      <c r="J1057" s="62" t="s">
        <v>53</v>
      </c>
      <c r="K1057" s="67" t="s">
        <v>1748</v>
      </c>
      <c r="L1057" s="70"/>
      <c r="M1057" s="62"/>
      <c r="N1057" s="62"/>
      <c r="O1057" s="69"/>
      <c r="P1057" s="59" t="s">
        <v>42</v>
      </c>
      <c r="Q1057" s="73" t="s">
        <v>43</v>
      </c>
      <c r="R1057" s="62"/>
    </row>
    <row r="1058" ht="55.2" spans="1:18">
      <c r="A1058" s="58">
        <v>1035</v>
      </c>
      <c r="B1058" s="74">
        <v>45790</v>
      </c>
      <c r="C1058" s="60" t="s">
        <v>641</v>
      </c>
      <c r="D1058" s="61" t="s">
        <v>72</v>
      </c>
      <c r="E1058" s="62" t="s">
        <v>73</v>
      </c>
      <c r="F1058" s="105" t="s">
        <v>36</v>
      </c>
      <c r="G1058" s="62" t="s">
        <v>55</v>
      </c>
      <c r="H1058" s="62" t="s">
        <v>128</v>
      </c>
      <c r="I1058" s="66" t="s">
        <v>1749</v>
      </c>
      <c r="J1058" s="62" t="s">
        <v>53</v>
      </c>
      <c r="K1058" s="67" t="s">
        <v>1750</v>
      </c>
      <c r="L1058" s="70"/>
      <c r="M1058" s="62"/>
      <c r="N1058" s="62"/>
      <c r="O1058" s="69"/>
      <c r="P1058" s="59" t="s">
        <v>42</v>
      </c>
      <c r="Q1058" s="73" t="s">
        <v>43</v>
      </c>
      <c r="R1058" s="62"/>
    </row>
    <row r="1059" ht="55.2" spans="1:18">
      <c r="A1059" s="58">
        <v>1036</v>
      </c>
      <c r="B1059" s="74">
        <v>45791</v>
      </c>
      <c r="C1059" s="60" t="s">
        <v>641</v>
      </c>
      <c r="D1059" s="61" t="s">
        <v>72</v>
      </c>
      <c r="E1059" s="62" t="s">
        <v>73</v>
      </c>
      <c r="F1059" s="105" t="s">
        <v>36</v>
      </c>
      <c r="G1059" s="62" t="s">
        <v>45</v>
      </c>
      <c r="H1059" s="62" t="s">
        <v>132</v>
      </c>
      <c r="I1059" s="66" t="s">
        <v>1751</v>
      </c>
      <c r="J1059" s="62" t="s">
        <v>53</v>
      </c>
      <c r="K1059" s="67" t="s">
        <v>1752</v>
      </c>
      <c r="L1059" s="70"/>
      <c r="M1059" s="62"/>
      <c r="N1059" s="62"/>
      <c r="O1059" s="69"/>
      <c r="P1059" s="59" t="s">
        <v>42</v>
      </c>
      <c r="Q1059" s="73" t="s">
        <v>43</v>
      </c>
      <c r="R1059" s="62"/>
    </row>
    <row r="1060" ht="41.4" spans="1:18">
      <c r="A1060" s="58">
        <v>1037</v>
      </c>
      <c r="B1060" s="74">
        <v>45792</v>
      </c>
      <c r="C1060" s="60" t="s">
        <v>641</v>
      </c>
      <c r="D1060" s="61" t="s">
        <v>72</v>
      </c>
      <c r="E1060" s="62" t="s">
        <v>73</v>
      </c>
      <c r="F1060" s="105" t="s">
        <v>50</v>
      </c>
      <c r="G1060" s="62" t="s">
        <v>55</v>
      </c>
      <c r="H1060" s="62" t="s">
        <v>94</v>
      </c>
      <c r="I1060" s="66" t="s">
        <v>1753</v>
      </c>
      <c r="J1060" s="62" t="s">
        <v>53</v>
      </c>
      <c r="K1060" s="67" t="s">
        <v>1754</v>
      </c>
      <c r="L1060" s="70"/>
      <c r="M1060" s="62"/>
      <c r="N1060" s="62"/>
      <c r="O1060" s="69"/>
      <c r="P1060" s="59" t="s">
        <v>42</v>
      </c>
      <c r="Q1060" s="73" t="s">
        <v>43</v>
      </c>
      <c r="R1060" s="62"/>
    </row>
    <row r="1061" ht="41.4" spans="1:18">
      <c r="A1061" s="58">
        <v>1038</v>
      </c>
      <c r="B1061" s="74">
        <v>45792</v>
      </c>
      <c r="C1061" s="60" t="s">
        <v>641</v>
      </c>
      <c r="D1061" s="61" t="s">
        <v>72</v>
      </c>
      <c r="E1061" s="62" t="s">
        <v>73</v>
      </c>
      <c r="F1061" s="105" t="s">
        <v>36</v>
      </c>
      <c r="G1061" s="62" t="s">
        <v>55</v>
      </c>
      <c r="H1061" s="62" t="s">
        <v>56</v>
      </c>
      <c r="I1061" s="66" t="s">
        <v>1755</v>
      </c>
      <c r="J1061" s="62" t="s">
        <v>53</v>
      </c>
      <c r="K1061" s="67" t="s">
        <v>1756</v>
      </c>
      <c r="L1061" s="70"/>
      <c r="M1061" s="62"/>
      <c r="N1061" s="62"/>
      <c r="O1061" s="69"/>
      <c r="P1061" s="59" t="s">
        <v>42</v>
      </c>
      <c r="Q1061" s="73" t="s">
        <v>43</v>
      </c>
      <c r="R1061" s="62"/>
    </row>
    <row r="1062" ht="41.4" spans="1:18">
      <c r="A1062" s="58">
        <v>1039</v>
      </c>
      <c r="B1062" s="74">
        <v>45793</v>
      </c>
      <c r="C1062" s="60" t="s">
        <v>641</v>
      </c>
      <c r="D1062" s="61" t="s">
        <v>72</v>
      </c>
      <c r="E1062" s="62" t="s">
        <v>73</v>
      </c>
      <c r="F1062" s="105" t="s">
        <v>36</v>
      </c>
      <c r="G1062" s="62" t="s">
        <v>37</v>
      </c>
      <c r="H1062" s="62" t="s">
        <v>56</v>
      </c>
      <c r="I1062" s="66" t="s">
        <v>1757</v>
      </c>
      <c r="J1062" s="62" t="s">
        <v>53</v>
      </c>
      <c r="K1062" s="67" t="s">
        <v>1758</v>
      </c>
      <c r="L1062" s="70"/>
      <c r="M1062" s="62"/>
      <c r="N1062" s="62"/>
      <c r="O1062" s="69"/>
      <c r="P1062" s="59" t="s">
        <v>42</v>
      </c>
      <c r="Q1062" s="73" t="s">
        <v>43</v>
      </c>
      <c r="R1062" s="62"/>
    </row>
    <row r="1063" ht="55.2" spans="1:18">
      <c r="A1063" s="58">
        <v>1040</v>
      </c>
      <c r="B1063" s="74">
        <v>45787</v>
      </c>
      <c r="C1063" s="60" t="s">
        <v>1526</v>
      </c>
      <c r="D1063" s="61" t="s">
        <v>72</v>
      </c>
      <c r="E1063" s="62" t="s">
        <v>73</v>
      </c>
      <c r="F1063" s="105" t="s">
        <v>36</v>
      </c>
      <c r="G1063" s="62" t="s">
        <v>79</v>
      </c>
      <c r="H1063" s="62" t="s">
        <v>132</v>
      </c>
      <c r="I1063" s="66" t="s">
        <v>1759</v>
      </c>
      <c r="J1063" s="62" t="s">
        <v>53</v>
      </c>
      <c r="K1063" s="67" t="s">
        <v>1760</v>
      </c>
      <c r="L1063" s="70"/>
      <c r="M1063" s="62"/>
      <c r="N1063" s="62"/>
      <c r="O1063" s="69"/>
      <c r="P1063" s="59" t="s">
        <v>42</v>
      </c>
      <c r="Q1063" s="73" t="s">
        <v>43</v>
      </c>
      <c r="R1063" s="62"/>
    </row>
    <row r="1064" ht="27.6" spans="1:18">
      <c r="A1064" s="58">
        <v>1041</v>
      </c>
      <c r="B1064" s="74">
        <v>45788</v>
      </c>
      <c r="C1064" s="60" t="s">
        <v>1526</v>
      </c>
      <c r="D1064" s="61" t="s">
        <v>72</v>
      </c>
      <c r="E1064" s="62" t="s">
        <v>73</v>
      </c>
      <c r="F1064" s="105" t="s">
        <v>50</v>
      </c>
      <c r="G1064" s="62" t="s">
        <v>45</v>
      </c>
      <c r="H1064" s="62" t="s">
        <v>46</v>
      </c>
      <c r="I1064" s="66" t="s">
        <v>1761</v>
      </c>
      <c r="J1064" s="62" t="s">
        <v>53</v>
      </c>
      <c r="K1064" s="67" t="s">
        <v>1762</v>
      </c>
      <c r="L1064" s="70"/>
      <c r="M1064" s="62"/>
      <c r="N1064" s="62"/>
      <c r="O1064" s="69"/>
      <c r="P1064" s="59" t="s">
        <v>42</v>
      </c>
      <c r="Q1064" s="73" t="s">
        <v>43</v>
      </c>
      <c r="R1064" s="62"/>
    </row>
    <row r="1065" ht="55.2" spans="1:18">
      <c r="A1065" s="58">
        <v>1042</v>
      </c>
      <c r="B1065" s="74">
        <v>45789</v>
      </c>
      <c r="C1065" s="60" t="s">
        <v>1526</v>
      </c>
      <c r="D1065" s="61" t="s">
        <v>72</v>
      </c>
      <c r="E1065" s="62" t="s">
        <v>73</v>
      </c>
      <c r="F1065" s="105" t="s">
        <v>36</v>
      </c>
      <c r="G1065" s="62" t="s">
        <v>131</v>
      </c>
      <c r="H1065" s="62" t="s">
        <v>51</v>
      </c>
      <c r="I1065" s="66" t="s">
        <v>1763</v>
      </c>
      <c r="J1065" s="62" t="s">
        <v>53</v>
      </c>
      <c r="K1065" s="67" t="s">
        <v>1764</v>
      </c>
      <c r="L1065" s="70"/>
      <c r="M1065" s="62"/>
      <c r="N1065" s="62"/>
      <c r="O1065" s="69"/>
      <c r="P1065" s="59" t="s">
        <v>42</v>
      </c>
      <c r="Q1065" s="73" t="s">
        <v>43</v>
      </c>
      <c r="R1065" s="62"/>
    </row>
    <row r="1066" ht="55.2" spans="1:18">
      <c r="A1066" s="58">
        <v>1043</v>
      </c>
      <c r="B1066" s="74">
        <v>45790</v>
      </c>
      <c r="C1066" s="60" t="s">
        <v>1526</v>
      </c>
      <c r="D1066" s="61" t="s">
        <v>72</v>
      </c>
      <c r="E1066" s="62" t="s">
        <v>73</v>
      </c>
      <c r="F1066" s="105" t="s">
        <v>36</v>
      </c>
      <c r="G1066" s="62" t="s">
        <v>82</v>
      </c>
      <c r="H1066" s="62" t="s">
        <v>132</v>
      </c>
      <c r="I1066" s="66" t="s">
        <v>1765</v>
      </c>
      <c r="J1066" s="62" t="s">
        <v>53</v>
      </c>
      <c r="K1066" s="67" t="s">
        <v>1766</v>
      </c>
      <c r="L1066" s="70"/>
      <c r="M1066" s="62"/>
      <c r="N1066" s="62"/>
      <c r="O1066" s="69"/>
      <c r="P1066" s="59" t="s">
        <v>42</v>
      </c>
      <c r="Q1066" s="73" t="s">
        <v>43</v>
      </c>
      <c r="R1066" s="62"/>
    </row>
    <row r="1067" ht="55.2" spans="1:18">
      <c r="A1067" s="58">
        <v>1044</v>
      </c>
      <c r="B1067" s="74">
        <v>45790</v>
      </c>
      <c r="C1067" s="60" t="s">
        <v>1526</v>
      </c>
      <c r="D1067" s="61" t="s">
        <v>72</v>
      </c>
      <c r="E1067" s="62" t="s">
        <v>73</v>
      </c>
      <c r="F1067" s="105" t="s">
        <v>36</v>
      </c>
      <c r="G1067" s="62" t="s">
        <v>61</v>
      </c>
      <c r="H1067" s="62" t="s">
        <v>56</v>
      </c>
      <c r="I1067" s="66" t="s">
        <v>1767</v>
      </c>
      <c r="J1067" s="62" t="s">
        <v>53</v>
      </c>
      <c r="K1067" s="67" t="s">
        <v>1768</v>
      </c>
      <c r="L1067" s="70"/>
      <c r="M1067" s="62"/>
      <c r="N1067" s="62"/>
      <c r="O1067" s="69"/>
      <c r="P1067" s="59" t="s">
        <v>42</v>
      </c>
      <c r="Q1067" s="73" t="s">
        <v>43</v>
      </c>
      <c r="R1067" s="62"/>
    </row>
    <row r="1068" ht="27.6" spans="1:18">
      <c r="A1068" s="58">
        <v>1045</v>
      </c>
      <c r="B1068" s="74">
        <v>45791</v>
      </c>
      <c r="C1068" s="60" t="s">
        <v>1526</v>
      </c>
      <c r="D1068" s="61" t="s">
        <v>72</v>
      </c>
      <c r="E1068" s="62" t="s">
        <v>73</v>
      </c>
      <c r="F1068" s="105" t="s">
        <v>36</v>
      </c>
      <c r="G1068" s="62" t="s">
        <v>45</v>
      </c>
      <c r="H1068" s="62" t="s">
        <v>56</v>
      </c>
      <c r="I1068" s="66" t="s">
        <v>1769</v>
      </c>
      <c r="J1068" s="62" t="s">
        <v>53</v>
      </c>
      <c r="K1068" s="67" t="s">
        <v>1770</v>
      </c>
      <c r="L1068" s="70"/>
      <c r="M1068" s="62"/>
      <c r="N1068" s="62"/>
      <c r="O1068" s="69"/>
      <c r="P1068" s="59" t="s">
        <v>42</v>
      </c>
      <c r="Q1068" s="73" t="s">
        <v>43</v>
      </c>
      <c r="R1068" s="62"/>
    </row>
    <row r="1069" ht="27.6" spans="1:18">
      <c r="A1069" s="58">
        <v>1046</v>
      </c>
      <c r="B1069" s="74">
        <v>45792</v>
      </c>
      <c r="C1069" s="60" t="s">
        <v>1526</v>
      </c>
      <c r="D1069" s="61" t="s">
        <v>72</v>
      </c>
      <c r="E1069" s="62" t="s">
        <v>73</v>
      </c>
      <c r="F1069" s="105" t="s">
        <v>192</v>
      </c>
      <c r="G1069" s="62" t="s">
        <v>131</v>
      </c>
      <c r="H1069" s="62" t="s">
        <v>150</v>
      </c>
      <c r="I1069" s="66" t="s">
        <v>1771</v>
      </c>
      <c r="J1069" s="62" t="s">
        <v>137</v>
      </c>
      <c r="K1069" s="67" t="s">
        <v>1772</v>
      </c>
      <c r="L1069" s="70"/>
      <c r="M1069" s="62"/>
      <c r="N1069" s="62"/>
      <c r="O1069" s="69"/>
      <c r="P1069" s="59" t="s">
        <v>42</v>
      </c>
      <c r="Q1069" s="62" t="s">
        <v>8</v>
      </c>
      <c r="R1069" s="62"/>
    </row>
    <row r="1070" ht="41.4" spans="1:18">
      <c r="A1070" s="58">
        <v>1047</v>
      </c>
      <c r="B1070" s="74">
        <v>45795</v>
      </c>
      <c r="C1070" s="60" t="s">
        <v>85</v>
      </c>
      <c r="D1070" s="61" t="s">
        <v>60</v>
      </c>
      <c r="E1070" s="62" t="s">
        <v>86</v>
      </c>
      <c r="F1070" s="105" t="s">
        <v>135</v>
      </c>
      <c r="G1070" s="62" t="s">
        <v>131</v>
      </c>
      <c r="H1070" s="62" t="s">
        <v>94</v>
      </c>
      <c r="I1070" s="66" t="s">
        <v>1773</v>
      </c>
      <c r="J1070" s="62" t="s">
        <v>137</v>
      </c>
      <c r="K1070" s="67" t="s">
        <v>1501</v>
      </c>
      <c r="L1070" s="70"/>
      <c r="M1070" s="62"/>
      <c r="N1070" s="62"/>
      <c r="O1070" s="69"/>
      <c r="P1070" s="59" t="s">
        <v>42</v>
      </c>
      <c r="Q1070" s="62" t="s">
        <v>8</v>
      </c>
      <c r="R1070" s="62"/>
    </row>
    <row r="1071" ht="55.2" spans="1:18">
      <c r="A1071" s="58">
        <v>1048</v>
      </c>
      <c r="B1071" s="74">
        <v>45795</v>
      </c>
      <c r="C1071" s="60" t="s">
        <v>85</v>
      </c>
      <c r="D1071" s="61" t="s">
        <v>60</v>
      </c>
      <c r="E1071" s="62" t="s">
        <v>86</v>
      </c>
      <c r="F1071" s="105" t="s">
        <v>50</v>
      </c>
      <c r="G1071" s="62" t="s">
        <v>37</v>
      </c>
      <c r="H1071" s="62" t="s">
        <v>51</v>
      </c>
      <c r="I1071" s="66" t="s">
        <v>1774</v>
      </c>
      <c r="J1071" s="62" t="s">
        <v>53</v>
      </c>
      <c r="K1071" s="67" t="s">
        <v>1775</v>
      </c>
      <c r="L1071" s="70"/>
      <c r="M1071" s="62"/>
      <c r="N1071" s="62"/>
      <c r="O1071" s="69"/>
      <c r="P1071" s="59" t="s">
        <v>42</v>
      </c>
      <c r="Q1071" s="73" t="s">
        <v>43</v>
      </c>
      <c r="R1071" s="62"/>
    </row>
    <row r="1072" ht="41.4" spans="1:18">
      <c r="A1072" s="58">
        <v>1049</v>
      </c>
      <c r="B1072" s="74">
        <v>45796</v>
      </c>
      <c r="C1072" s="60" t="s">
        <v>85</v>
      </c>
      <c r="D1072" s="61" t="s">
        <v>60</v>
      </c>
      <c r="E1072" s="62" t="s">
        <v>86</v>
      </c>
      <c r="F1072" s="105" t="s">
        <v>50</v>
      </c>
      <c r="G1072" s="62" t="s">
        <v>93</v>
      </c>
      <c r="H1072" s="62" t="s">
        <v>94</v>
      </c>
      <c r="I1072" s="66" t="s">
        <v>95</v>
      </c>
      <c r="J1072" s="62" t="s">
        <v>88</v>
      </c>
      <c r="K1072" s="67" t="s">
        <v>96</v>
      </c>
      <c r="L1072" s="70"/>
      <c r="M1072" s="62"/>
      <c r="N1072" s="62"/>
      <c r="O1072" s="69"/>
      <c r="P1072" s="59" t="s">
        <v>42</v>
      </c>
      <c r="Q1072" s="73" t="s">
        <v>43</v>
      </c>
      <c r="R1072" s="62"/>
    </row>
    <row r="1073" ht="55.2" spans="1:18">
      <c r="A1073" s="58">
        <v>1050</v>
      </c>
      <c r="B1073" s="74">
        <v>45796</v>
      </c>
      <c r="C1073" s="60" t="s">
        <v>85</v>
      </c>
      <c r="D1073" s="61" t="s">
        <v>60</v>
      </c>
      <c r="E1073" s="62" t="s">
        <v>86</v>
      </c>
      <c r="F1073" s="105" t="s">
        <v>36</v>
      </c>
      <c r="G1073" s="62" t="s">
        <v>45</v>
      </c>
      <c r="H1073" s="62" t="s">
        <v>51</v>
      </c>
      <c r="I1073" s="66" t="s">
        <v>1776</v>
      </c>
      <c r="J1073" s="62" t="s">
        <v>53</v>
      </c>
      <c r="K1073" s="67" t="s">
        <v>1777</v>
      </c>
      <c r="L1073" s="70"/>
      <c r="M1073" s="62"/>
      <c r="N1073" s="62"/>
      <c r="O1073" s="69"/>
      <c r="P1073" s="59" t="s">
        <v>42</v>
      </c>
      <c r="Q1073" s="73" t="s">
        <v>43</v>
      </c>
      <c r="R1073" s="62"/>
    </row>
    <row r="1074" ht="27.6" spans="1:18">
      <c r="A1074" s="58">
        <v>1051</v>
      </c>
      <c r="B1074" s="74">
        <v>45794</v>
      </c>
      <c r="C1074" s="60" t="s">
        <v>620</v>
      </c>
      <c r="D1074" s="61" t="s">
        <v>60</v>
      </c>
      <c r="E1074" s="62" t="s">
        <v>621</v>
      </c>
      <c r="F1074" s="105" t="s">
        <v>36</v>
      </c>
      <c r="G1074" s="62" t="s">
        <v>79</v>
      </c>
      <c r="H1074" s="62" t="s">
        <v>46</v>
      </c>
      <c r="I1074" s="66" t="s">
        <v>1778</v>
      </c>
      <c r="J1074" s="62" t="s">
        <v>88</v>
      </c>
      <c r="K1074" s="67" t="s">
        <v>1779</v>
      </c>
      <c r="L1074" s="70"/>
      <c r="M1074" s="62"/>
      <c r="N1074" s="62"/>
      <c r="O1074" s="69"/>
      <c r="P1074" s="59" t="s">
        <v>42</v>
      </c>
      <c r="Q1074" s="73" t="s">
        <v>43</v>
      </c>
      <c r="R1074" s="62"/>
    </row>
    <row r="1075" ht="27.6" spans="1:18">
      <c r="A1075" s="58">
        <v>1052</v>
      </c>
      <c r="B1075" s="74">
        <v>45795</v>
      </c>
      <c r="C1075" s="60" t="s">
        <v>620</v>
      </c>
      <c r="D1075" s="61" t="s">
        <v>60</v>
      </c>
      <c r="E1075" s="62" t="s">
        <v>621</v>
      </c>
      <c r="F1075" s="105" t="s">
        <v>36</v>
      </c>
      <c r="G1075" s="62" t="s">
        <v>37</v>
      </c>
      <c r="H1075" s="62" t="s">
        <v>94</v>
      </c>
      <c r="I1075" s="66" t="s">
        <v>1780</v>
      </c>
      <c r="J1075" s="62" t="s">
        <v>53</v>
      </c>
      <c r="K1075" s="67" t="s">
        <v>1781</v>
      </c>
      <c r="L1075" s="70"/>
      <c r="M1075" s="62"/>
      <c r="N1075" s="62"/>
      <c r="O1075" s="69"/>
      <c r="P1075" s="59" t="s">
        <v>42</v>
      </c>
      <c r="Q1075" s="73" t="s">
        <v>43</v>
      </c>
      <c r="R1075" s="62"/>
    </row>
    <row r="1076" ht="27.6" spans="1:18">
      <c r="A1076" s="58">
        <v>1053</v>
      </c>
      <c r="B1076" s="74">
        <v>45792</v>
      </c>
      <c r="C1076" s="60" t="s">
        <v>1663</v>
      </c>
      <c r="D1076" s="61" t="s">
        <v>60</v>
      </c>
      <c r="E1076" s="62" t="s">
        <v>163</v>
      </c>
      <c r="F1076" s="105" t="s">
        <v>50</v>
      </c>
      <c r="G1076" s="62" t="s">
        <v>55</v>
      </c>
      <c r="H1076" s="62" t="s">
        <v>46</v>
      </c>
      <c r="I1076" s="66" t="s">
        <v>1782</v>
      </c>
      <c r="J1076" s="62" t="s">
        <v>53</v>
      </c>
      <c r="K1076" s="67" t="s">
        <v>1783</v>
      </c>
      <c r="L1076" s="70"/>
      <c r="M1076" s="62"/>
      <c r="N1076" s="62"/>
      <c r="O1076" s="69"/>
      <c r="P1076" s="59" t="s">
        <v>42</v>
      </c>
      <c r="Q1076" s="73" t="s">
        <v>43</v>
      </c>
      <c r="R1076" s="62"/>
    </row>
    <row r="1077" ht="27.6" spans="1:18">
      <c r="A1077" s="58">
        <v>1054</v>
      </c>
      <c r="B1077" s="74">
        <v>45799</v>
      </c>
      <c r="C1077" s="60" t="s">
        <v>1663</v>
      </c>
      <c r="D1077" s="61" t="s">
        <v>60</v>
      </c>
      <c r="E1077" s="62" t="s">
        <v>163</v>
      </c>
      <c r="F1077" s="105" t="s">
        <v>50</v>
      </c>
      <c r="G1077" s="62" t="s">
        <v>588</v>
      </c>
      <c r="H1077" s="62" t="s">
        <v>360</v>
      </c>
      <c r="I1077" s="66" t="s">
        <v>1784</v>
      </c>
      <c r="J1077" s="62" t="s">
        <v>53</v>
      </c>
      <c r="K1077" s="67" t="s">
        <v>1785</v>
      </c>
      <c r="L1077" s="70"/>
      <c r="M1077" s="62"/>
      <c r="N1077" s="62"/>
      <c r="O1077" s="69"/>
      <c r="P1077" s="59" t="s">
        <v>42</v>
      </c>
      <c r="Q1077" s="73" t="s">
        <v>43</v>
      </c>
      <c r="R1077" s="62"/>
    </row>
    <row r="1078" ht="82.8" spans="1:18">
      <c r="A1078" s="58">
        <v>1055</v>
      </c>
      <c r="B1078" s="74">
        <v>45796</v>
      </c>
      <c r="C1078" s="60" t="s">
        <v>100</v>
      </c>
      <c r="D1078" s="61" t="s">
        <v>60</v>
      </c>
      <c r="E1078" s="62" t="s">
        <v>101</v>
      </c>
      <c r="F1078" s="105" t="s">
        <v>50</v>
      </c>
      <c r="G1078" s="62" t="s">
        <v>131</v>
      </c>
      <c r="H1078" s="62" t="s">
        <v>51</v>
      </c>
      <c r="I1078" s="66" t="s">
        <v>1786</v>
      </c>
      <c r="J1078" s="62" t="s">
        <v>53</v>
      </c>
      <c r="K1078" s="67" t="s">
        <v>1787</v>
      </c>
      <c r="L1078" s="70"/>
      <c r="M1078" s="62"/>
      <c r="N1078" s="62"/>
      <c r="O1078" s="69"/>
      <c r="P1078" s="59" t="s">
        <v>42</v>
      </c>
      <c r="Q1078" s="73" t="s">
        <v>43</v>
      </c>
      <c r="R1078" s="62"/>
    </row>
    <row r="1079" ht="69" spans="1:18">
      <c r="A1079" s="58">
        <v>1056</v>
      </c>
      <c r="B1079" s="74">
        <v>45796</v>
      </c>
      <c r="C1079" s="60" t="s">
        <v>100</v>
      </c>
      <c r="D1079" s="61" t="s">
        <v>60</v>
      </c>
      <c r="E1079" s="62" t="s">
        <v>101</v>
      </c>
      <c r="F1079" s="105" t="s">
        <v>36</v>
      </c>
      <c r="G1079" s="62" t="s">
        <v>1617</v>
      </c>
      <c r="H1079" s="62" t="s">
        <v>56</v>
      </c>
      <c r="I1079" s="66" t="s">
        <v>1788</v>
      </c>
      <c r="J1079" s="62" t="s">
        <v>88</v>
      </c>
      <c r="K1079" s="67" t="s">
        <v>1789</v>
      </c>
      <c r="L1079" s="70"/>
      <c r="M1079" s="62"/>
      <c r="N1079" s="62"/>
      <c r="O1079" s="69"/>
      <c r="P1079" s="59" t="s">
        <v>42</v>
      </c>
      <c r="Q1079" s="73" t="s">
        <v>43</v>
      </c>
      <c r="R1079" s="62"/>
    </row>
    <row r="1080" ht="82.8" spans="1:18">
      <c r="A1080" s="58">
        <v>1057</v>
      </c>
      <c r="B1080" s="74">
        <v>45797</v>
      </c>
      <c r="C1080" s="60" t="s">
        <v>100</v>
      </c>
      <c r="D1080" s="61" t="s">
        <v>60</v>
      </c>
      <c r="E1080" s="62" t="s">
        <v>101</v>
      </c>
      <c r="F1080" s="105" t="s">
        <v>36</v>
      </c>
      <c r="G1080" s="62" t="s">
        <v>1790</v>
      </c>
      <c r="H1080" s="62" t="s">
        <v>46</v>
      </c>
      <c r="I1080" s="66" t="s">
        <v>1791</v>
      </c>
      <c r="J1080" s="62" t="s">
        <v>53</v>
      </c>
      <c r="K1080" s="67" t="s">
        <v>1792</v>
      </c>
      <c r="L1080" s="70"/>
      <c r="M1080" s="62"/>
      <c r="N1080" s="62"/>
      <c r="O1080" s="69"/>
      <c r="P1080" s="59" t="s">
        <v>42</v>
      </c>
      <c r="Q1080" s="73" t="s">
        <v>43</v>
      </c>
      <c r="R1080" s="62"/>
    </row>
    <row r="1081" ht="110.4" spans="1:18">
      <c r="A1081" s="58">
        <v>1058</v>
      </c>
      <c r="B1081" s="74">
        <v>45794</v>
      </c>
      <c r="C1081" s="60" t="s">
        <v>632</v>
      </c>
      <c r="D1081" s="61" t="s">
        <v>72</v>
      </c>
      <c r="E1081" s="62" t="s">
        <v>73</v>
      </c>
      <c r="F1081" s="105" t="s">
        <v>50</v>
      </c>
      <c r="G1081" s="62" t="s">
        <v>131</v>
      </c>
      <c r="H1081" s="62" t="s">
        <v>46</v>
      </c>
      <c r="I1081" s="66" t="s">
        <v>1793</v>
      </c>
      <c r="J1081" s="62" t="s">
        <v>53</v>
      </c>
      <c r="K1081" s="67" t="s">
        <v>1794</v>
      </c>
      <c r="L1081" s="70"/>
      <c r="M1081" s="62"/>
      <c r="N1081" s="62"/>
      <c r="O1081" s="69"/>
      <c r="P1081" s="59" t="s">
        <v>42</v>
      </c>
      <c r="Q1081" s="73" t="s">
        <v>43</v>
      </c>
      <c r="R1081" s="62"/>
    </row>
    <row r="1082" ht="27.6" spans="1:18">
      <c r="A1082" s="58">
        <v>1059</v>
      </c>
      <c r="B1082" s="74">
        <v>45795</v>
      </c>
      <c r="C1082" s="60" t="s">
        <v>632</v>
      </c>
      <c r="D1082" s="61" t="s">
        <v>72</v>
      </c>
      <c r="E1082" s="62" t="s">
        <v>73</v>
      </c>
      <c r="F1082" s="105" t="s">
        <v>192</v>
      </c>
      <c r="G1082" s="62" t="s">
        <v>61</v>
      </c>
      <c r="H1082" s="62" t="s">
        <v>202</v>
      </c>
      <c r="I1082" s="66" t="s">
        <v>1795</v>
      </c>
      <c r="J1082" s="62" t="s">
        <v>137</v>
      </c>
      <c r="K1082" s="67"/>
      <c r="L1082" s="70"/>
      <c r="M1082" s="62"/>
      <c r="N1082" s="62"/>
      <c r="O1082" s="69"/>
      <c r="P1082" s="59" t="s">
        <v>42</v>
      </c>
      <c r="Q1082" s="62" t="s">
        <v>8</v>
      </c>
      <c r="R1082" s="62"/>
    </row>
    <row r="1083" ht="55.2" spans="1:18">
      <c r="A1083" s="58">
        <v>1060</v>
      </c>
      <c r="B1083" s="74">
        <v>45796</v>
      </c>
      <c r="C1083" s="60" t="s">
        <v>632</v>
      </c>
      <c r="D1083" s="61" t="s">
        <v>72</v>
      </c>
      <c r="E1083" s="62" t="s">
        <v>73</v>
      </c>
      <c r="F1083" s="105" t="s">
        <v>36</v>
      </c>
      <c r="G1083" s="62" t="s">
        <v>131</v>
      </c>
      <c r="H1083" s="62" t="s">
        <v>46</v>
      </c>
      <c r="I1083" s="66" t="s">
        <v>1796</v>
      </c>
      <c r="J1083" s="62" t="s">
        <v>91</v>
      </c>
      <c r="K1083" s="67" t="s">
        <v>1797</v>
      </c>
      <c r="L1083" s="70"/>
      <c r="M1083" s="62"/>
      <c r="N1083" s="62"/>
      <c r="O1083" s="69"/>
      <c r="P1083" s="59" t="s">
        <v>42</v>
      </c>
      <c r="Q1083" s="73" t="s">
        <v>43</v>
      </c>
      <c r="R1083" s="62"/>
    </row>
    <row r="1084" ht="41.4" spans="1:18">
      <c r="A1084" s="58">
        <v>1061</v>
      </c>
      <c r="B1084" s="74">
        <v>45798</v>
      </c>
      <c r="C1084" s="60" t="s">
        <v>632</v>
      </c>
      <c r="D1084" s="61" t="s">
        <v>72</v>
      </c>
      <c r="E1084" s="62" t="s">
        <v>73</v>
      </c>
      <c r="F1084" s="105" t="s">
        <v>36</v>
      </c>
      <c r="G1084" s="62" t="s">
        <v>131</v>
      </c>
      <c r="H1084" s="62" t="s">
        <v>38</v>
      </c>
      <c r="I1084" s="66" t="s">
        <v>1798</v>
      </c>
      <c r="J1084" s="62" t="s">
        <v>53</v>
      </c>
      <c r="K1084" s="67" t="s">
        <v>1799</v>
      </c>
      <c r="L1084" s="70"/>
      <c r="M1084" s="62"/>
      <c r="N1084" s="62"/>
      <c r="O1084" s="69"/>
      <c r="P1084" s="59" t="s">
        <v>42</v>
      </c>
      <c r="Q1084" s="73" t="s">
        <v>43</v>
      </c>
      <c r="R1084" s="62"/>
    </row>
    <row r="1085" ht="27.6" spans="1:18">
      <c r="A1085" s="58">
        <v>1062</v>
      </c>
      <c r="B1085" s="74">
        <v>45798</v>
      </c>
      <c r="C1085" s="60" t="s">
        <v>641</v>
      </c>
      <c r="D1085" s="61" t="s">
        <v>72</v>
      </c>
      <c r="E1085" s="62" t="s">
        <v>73</v>
      </c>
      <c r="F1085" s="105" t="s">
        <v>36</v>
      </c>
      <c r="G1085" s="62" t="s">
        <v>37</v>
      </c>
      <c r="H1085" s="62" t="s">
        <v>132</v>
      </c>
      <c r="I1085" s="66" t="s">
        <v>1800</v>
      </c>
      <c r="J1085" s="62" t="s">
        <v>53</v>
      </c>
      <c r="K1085" s="67" t="s">
        <v>1801</v>
      </c>
      <c r="L1085" s="70"/>
      <c r="M1085" s="62"/>
      <c r="N1085" s="62"/>
      <c r="O1085" s="69"/>
      <c r="P1085" s="59" t="s">
        <v>42</v>
      </c>
      <c r="Q1085" s="73" t="s">
        <v>43</v>
      </c>
      <c r="R1085" s="62"/>
    </row>
    <row r="1086" ht="27.6" spans="1:18">
      <c r="A1086" s="58">
        <v>1063</v>
      </c>
      <c r="B1086" s="74">
        <v>45798</v>
      </c>
      <c r="C1086" s="60" t="s">
        <v>641</v>
      </c>
      <c r="D1086" s="61" t="s">
        <v>72</v>
      </c>
      <c r="E1086" s="62" t="s">
        <v>73</v>
      </c>
      <c r="F1086" s="105" t="s">
        <v>36</v>
      </c>
      <c r="G1086" s="62" t="s">
        <v>37</v>
      </c>
      <c r="H1086" s="62" t="s">
        <v>46</v>
      </c>
      <c r="I1086" s="66" t="s">
        <v>1802</v>
      </c>
      <c r="J1086" s="62" t="s">
        <v>53</v>
      </c>
      <c r="K1086" s="67" t="s">
        <v>1803</v>
      </c>
      <c r="L1086" s="70"/>
      <c r="M1086" s="62"/>
      <c r="N1086" s="62"/>
      <c r="O1086" s="69"/>
      <c r="P1086" s="59" t="s">
        <v>42</v>
      </c>
      <c r="Q1086" s="73" t="s">
        <v>43</v>
      </c>
      <c r="R1086" s="62"/>
    </row>
    <row r="1087" ht="27.6" spans="1:18">
      <c r="A1087" s="58">
        <v>1064</v>
      </c>
      <c r="B1087" s="74">
        <v>45798</v>
      </c>
      <c r="C1087" s="60" t="s">
        <v>641</v>
      </c>
      <c r="D1087" s="61" t="s">
        <v>72</v>
      </c>
      <c r="E1087" s="62" t="s">
        <v>73</v>
      </c>
      <c r="F1087" s="105" t="s">
        <v>36</v>
      </c>
      <c r="G1087" s="62" t="s">
        <v>55</v>
      </c>
      <c r="H1087" s="62" t="s">
        <v>94</v>
      </c>
      <c r="I1087" s="66" t="s">
        <v>1804</v>
      </c>
      <c r="J1087" s="62" t="s">
        <v>53</v>
      </c>
      <c r="K1087" s="67" t="s">
        <v>1805</v>
      </c>
      <c r="L1087" s="70"/>
      <c r="M1087" s="62"/>
      <c r="N1087" s="62"/>
      <c r="O1087" s="69"/>
      <c r="P1087" s="59" t="s">
        <v>42</v>
      </c>
      <c r="Q1087" s="73" t="s">
        <v>43</v>
      </c>
      <c r="R1087" s="62"/>
    </row>
    <row r="1088" ht="27.6" spans="1:18">
      <c r="A1088" s="58">
        <v>1065</v>
      </c>
      <c r="B1088" s="74">
        <v>45798</v>
      </c>
      <c r="C1088" s="60" t="s">
        <v>641</v>
      </c>
      <c r="D1088" s="61" t="s">
        <v>72</v>
      </c>
      <c r="E1088" s="62" t="s">
        <v>73</v>
      </c>
      <c r="F1088" s="105" t="s">
        <v>36</v>
      </c>
      <c r="G1088" s="62" t="s">
        <v>55</v>
      </c>
      <c r="H1088" s="62" t="s">
        <v>1546</v>
      </c>
      <c r="I1088" s="66" t="s">
        <v>1806</v>
      </c>
      <c r="J1088" s="62" t="s">
        <v>53</v>
      </c>
      <c r="K1088" s="67" t="s">
        <v>1807</v>
      </c>
      <c r="L1088" s="70"/>
      <c r="M1088" s="62"/>
      <c r="N1088" s="62"/>
      <c r="O1088" s="69"/>
      <c r="P1088" s="59" t="s">
        <v>42</v>
      </c>
      <c r="Q1088" s="73" t="s">
        <v>43</v>
      </c>
      <c r="R1088" s="62"/>
    </row>
    <row r="1089" ht="41.4" spans="1:18">
      <c r="A1089" s="58">
        <v>1066</v>
      </c>
      <c r="B1089" s="74">
        <v>45794</v>
      </c>
      <c r="C1089" s="60" t="s">
        <v>1526</v>
      </c>
      <c r="D1089" s="61" t="s">
        <v>72</v>
      </c>
      <c r="E1089" s="62" t="s">
        <v>73</v>
      </c>
      <c r="F1089" s="105" t="s">
        <v>36</v>
      </c>
      <c r="G1089" s="62" t="s">
        <v>45</v>
      </c>
      <c r="H1089" s="62" t="s">
        <v>46</v>
      </c>
      <c r="I1089" s="66" t="s">
        <v>1808</v>
      </c>
      <c r="J1089" s="62" t="s">
        <v>53</v>
      </c>
      <c r="K1089" s="67" t="s">
        <v>1809</v>
      </c>
      <c r="L1089" s="70"/>
      <c r="M1089" s="62"/>
      <c r="N1089" s="62"/>
      <c r="O1089" s="69"/>
      <c r="P1089" s="59" t="s">
        <v>42</v>
      </c>
      <c r="Q1089" s="73" t="s">
        <v>43</v>
      </c>
      <c r="R1089" s="62"/>
    </row>
    <row r="1090" ht="41.4" spans="1:18">
      <c r="A1090" s="58">
        <v>1067</v>
      </c>
      <c r="B1090" s="74">
        <v>45795</v>
      </c>
      <c r="C1090" s="60" t="s">
        <v>1526</v>
      </c>
      <c r="D1090" s="61" t="s">
        <v>72</v>
      </c>
      <c r="E1090" s="62" t="s">
        <v>73</v>
      </c>
      <c r="F1090" s="105" t="s">
        <v>36</v>
      </c>
      <c r="G1090" s="62" t="s">
        <v>82</v>
      </c>
      <c r="H1090" s="62" t="s">
        <v>132</v>
      </c>
      <c r="I1090" s="66" t="s">
        <v>1810</v>
      </c>
      <c r="J1090" s="62" t="s">
        <v>91</v>
      </c>
      <c r="K1090" s="67" t="s">
        <v>1811</v>
      </c>
      <c r="L1090" s="70"/>
      <c r="M1090" s="62"/>
      <c r="N1090" s="62"/>
      <c r="O1090" s="69"/>
      <c r="P1090" s="59" t="s">
        <v>42</v>
      </c>
      <c r="Q1090" s="73" t="s">
        <v>43</v>
      </c>
      <c r="R1090" s="62"/>
    </row>
    <row r="1091" ht="41.4" spans="1:18">
      <c r="A1091" s="58">
        <v>1068</v>
      </c>
      <c r="B1091" s="74">
        <v>45797</v>
      </c>
      <c r="C1091" s="60" t="s">
        <v>1526</v>
      </c>
      <c r="D1091" s="61" t="s">
        <v>72</v>
      </c>
      <c r="E1091" s="62" t="s">
        <v>73</v>
      </c>
      <c r="F1091" s="105" t="s">
        <v>36</v>
      </c>
      <c r="G1091" s="62" t="s">
        <v>45</v>
      </c>
      <c r="H1091" s="62" t="s">
        <v>51</v>
      </c>
      <c r="I1091" s="66" t="s">
        <v>1812</v>
      </c>
      <c r="J1091" s="62" t="s">
        <v>91</v>
      </c>
      <c r="K1091" s="67" t="s">
        <v>1813</v>
      </c>
      <c r="L1091" s="70"/>
      <c r="M1091" s="62"/>
      <c r="N1091" s="62"/>
      <c r="O1091" s="69"/>
      <c r="P1091" s="59" t="s">
        <v>42</v>
      </c>
      <c r="Q1091" s="73" t="s">
        <v>43</v>
      </c>
      <c r="R1091" s="62"/>
    </row>
    <row r="1092" ht="27.6" spans="1:18">
      <c r="A1092" s="58">
        <v>1069</v>
      </c>
      <c r="B1092" s="74">
        <v>45798</v>
      </c>
      <c r="C1092" s="60" t="s">
        <v>1526</v>
      </c>
      <c r="D1092" s="61" t="s">
        <v>72</v>
      </c>
      <c r="E1092" s="62" t="s">
        <v>73</v>
      </c>
      <c r="F1092" s="105" t="s">
        <v>50</v>
      </c>
      <c r="G1092" s="62" t="s">
        <v>45</v>
      </c>
      <c r="H1092" s="62" t="s">
        <v>132</v>
      </c>
      <c r="I1092" s="66" t="s">
        <v>1814</v>
      </c>
      <c r="J1092" s="62" t="s">
        <v>53</v>
      </c>
      <c r="K1092" s="67" t="s">
        <v>1815</v>
      </c>
      <c r="L1092" s="70"/>
      <c r="M1092" s="62"/>
      <c r="N1092" s="62"/>
      <c r="O1092" s="69"/>
      <c r="P1092" s="59" t="s">
        <v>42</v>
      </c>
      <c r="Q1092" s="73" t="s">
        <v>43</v>
      </c>
      <c r="R1092" s="62"/>
    </row>
    <row r="1093" ht="27.6" spans="1:18">
      <c r="A1093" s="58">
        <v>1070</v>
      </c>
      <c r="B1093" s="74">
        <v>45797</v>
      </c>
      <c r="C1093" s="60" t="s">
        <v>1526</v>
      </c>
      <c r="D1093" s="61" t="s">
        <v>72</v>
      </c>
      <c r="E1093" s="62" t="s">
        <v>73</v>
      </c>
      <c r="F1093" s="105" t="s">
        <v>36</v>
      </c>
      <c r="G1093" s="62" t="s">
        <v>45</v>
      </c>
      <c r="H1093" s="62" t="s">
        <v>46</v>
      </c>
      <c r="I1093" s="66" t="s">
        <v>1816</v>
      </c>
      <c r="J1093" s="62" t="s">
        <v>91</v>
      </c>
      <c r="K1093" s="67" t="s">
        <v>1817</v>
      </c>
      <c r="L1093" s="70"/>
      <c r="M1093" s="62"/>
      <c r="N1093" s="62"/>
      <c r="O1093" s="69"/>
      <c r="P1093" s="59" t="s">
        <v>42</v>
      </c>
      <c r="Q1093" s="73" t="s">
        <v>43</v>
      </c>
      <c r="R1093" s="62"/>
    </row>
    <row r="1094" ht="41.4" spans="1:18">
      <c r="A1094" s="58">
        <v>1071</v>
      </c>
      <c r="B1094" s="74">
        <v>45803</v>
      </c>
      <c r="C1094" s="60" t="s">
        <v>620</v>
      </c>
      <c r="D1094" s="61" t="s">
        <v>60</v>
      </c>
      <c r="E1094" s="62" t="s">
        <v>621</v>
      </c>
      <c r="F1094" s="105" t="s">
        <v>36</v>
      </c>
      <c r="G1094" s="62" t="s">
        <v>79</v>
      </c>
      <c r="H1094" s="62" t="s">
        <v>1632</v>
      </c>
      <c r="I1094" s="66" t="s">
        <v>1818</v>
      </c>
      <c r="J1094" s="62" t="s">
        <v>88</v>
      </c>
      <c r="K1094" s="67" t="s">
        <v>1819</v>
      </c>
      <c r="L1094" s="70" t="s">
        <v>1820</v>
      </c>
      <c r="M1094" s="62"/>
      <c r="N1094" s="62"/>
      <c r="O1094" s="69"/>
      <c r="P1094" s="59" t="s">
        <v>42</v>
      </c>
      <c r="Q1094" s="73" t="s">
        <v>43</v>
      </c>
      <c r="R1094" s="62"/>
    </row>
    <row r="1095" ht="27.6" spans="1:18">
      <c r="A1095" s="58">
        <v>1072</v>
      </c>
      <c r="B1095" s="74">
        <v>45805</v>
      </c>
      <c r="C1095" s="60" t="s">
        <v>620</v>
      </c>
      <c r="D1095" s="61" t="s">
        <v>60</v>
      </c>
      <c r="E1095" s="62" t="s">
        <v>621</v>
      </c>
      <c r="F1095" s="105" t="s">
        <v>36</v>
      </c>
      <c r="G1095" s="62" t="s">
        <v>79</v>
      </c>
      <c r="H1095" s="62" t="s">
        <v>51</v>
      </c>
      <c r="I1095" s="66" t="s">
        <v>1821</v>
      </c>
      <c r="J1095" s="62" t="s">
        <v>53</v>
      </c>
      <c r="K1095" s="67" t="s">
        <v>1822</v>
      </c>
      <c r="L1095" s="70" t="s">
        <v>1823</v>
      </c>
      <c r="M1095" s="62"/>
      <c r="N1095" s="62"/>
      <c r="O1095" s="69"/>
      <c r="P1095" s="59" t="s">
        <v>42</v>
      </c>
      <c r="Q1095" s="73" t="s">
        <v>43</v>
      </c>
      <c r="R1095" s="62"/>
    </row>
    <row r="1096" ht="82.8" spans="1:18">
      <c r="A1096" s="58">
        <v>1073</v>
      </c>
      <c r="B1096" s="74">
        <v>45803</v>
      </c>
      <c r="C1096" s="60" t="s">
        <v>100</v>
      </c>
      <c r="D1096" s="61" t="s">
        <v>60</v>
      </c>
      <c r="E1096" s="62" t="s">
        <v>101</v>
      </c>
      <c r="F1096" s="105" t="s">
        <v>36</v>
      </c>
      <c r="G1096" s="62" t="s">
        <v>82</v>
      </c>
      <c r="H1096" s="62" t="s">
        <v>132</v>
      </c>
      <c r="I1096" s="66" t="s">
        <v>1824</v>
      </c>
      <c r="J1096" s="62" t="s">
        <v>91</v>
      </c>
      <c r="K1096" s="67" t="s">
        <v>1825</v>
      </c>
      <c r="L1096" s="70" t="s">
        <v>1826</v>
      </c>
      <c r="M1096" s="62"/>
      <c r="N1096" s="62"/>
      <c r="O1096" s="69"/>
      <c r="P1096" s="59" t="s">
        <v>42</v>
      </c>
      <c r="Q1096" s="73" t="s">
        <v>43</v>
      </c>
      <c r="R1096" s="62"/>
    </row>
    <row r="1097" ht="124.2" spans="1:18">
      <c r="A1097" s="58">
        <v>1074</v>
      </c>
      <c r="B1097" s="74">
        <v>45803</v>
      </c>
      <c r="C1097" s="60" t="s">
        <v>100</v>
      </c>
      <c r="D1097" s="61" t="s">
        <v>60</v>
      </c>
      <c r="E1097" s="62" t="s">
        <v>101</v>
      </c>
      <c r="F1097" s="105" t="s">
        <v>36</v>
      </c>
      <c r="G1097" s="62" t="s">
        <v>55</v>
      </c>
      <c r="H1097" s="62" t="s">
        <v>132</v>
      </c>
      <c r="I1097" s="66" t="s">
        <v>1827</v>
      </c>
      <c r="J1097" s="62" t="s">
        <v>88</v>
      </c>
      <c r="K1097" s="67"/>
      <c r="L1097" s="70" t="s">
        <v>1828</v>
      </c>
      <c r="M1097" s="62"/>
      <c r="N1097" s="62"/>
      <c r="O1097" s="69"/>
      <c r="P1097" s="59" t="s">
        <v>42</v>
      </c>
      <c r="Q1097" s="73" t="s">
        <v>43</v>
      </c>
      <c r="R1097" s="62"/>
    </row>
    <row r="1098" ht="27.6" spans="1:18">
      <c r="A1098" s="58">
        <v>1075</v>
      </c>
      <c r="B1098" s="74">
        <v>45804</v>
      </c>
      <c r="C1098" s="60" t="s">
        <v>121</v>
      </c>
      <c r="D1098" s="61" t="s">
        <v>60</v>
      </c>
      <c r="E1098" s="62" t="s">
        <v>73</v>
      </c>
      <c r="F1098" s="105" t="s">
        <v>192</v>
      </c>
      <c r="G1098" s="62" t="s">
        <v>93</v>
      </c>
      <c r="H1098" s="62" t="s">
        <v>94</v>
      </c>
      <c r="I1098" s="66" t="s">
        <v>1829</v>
      </c>
      <c r="J1098" s="62" t="s">
        <v>137</v>
      </c>
      <c r="K1098" s="67" t="s">
        <v>1830</v>
      </c>
      <c r="L1098" s="70"/>
      <c r="M1098" s="62"/>
      <c r="N1098" s="62"/>
      <c r="O1098" s="69"/>
      <c r="P1098" s="59" t="s">
        <v>42</v>
      </c>
      <c r="Q1098" s="62" t="s">
        <v>8</v>
      </c>
      <c r="R1098" s="62"/>
    </row>
    <row r="1099" ht="27.6" spans="1:18">
      <c r="A1099" s="58">
        <v>1076</v>
      </c>
      <c r="B1099" s="74">
        <v>45804</v>
      </c>
      <c r="C1099" s="60" t="s">
        <v>121</v>
      </c>
      <c r="D1099" s="61" t="s">
        <v>60</v>
      </c>
      <c r="E1099" s="62" t="s">
        <v>73</v>
      </c>
      <c r="F1099" s="105" t="s">
        <v>192</v>
      </c>
      <c r="G1099" s="62" t="s">
        <v>55</v>
      </c>
      <c r="H1099" s="62" t="s">
        <v>51</v>
      </c>
      <c r="I1099" s="66" t="s">
        <v>1831</v>
      </c>
      <c r="J1099" s="62" t="s">
        <v>137</v>
      </c>
      <c r="K1099" s="67" t="s">
        <v>1832</v>
      </c>
      <c r="L1099" s="70"/>
      <c r="M1099" s="62"/>
      <c r="N1099" s="62"/>
      <c r="O1099" s="69"/>
      <c r="P1099" s="59" t="s">
        <v>42</v>
      </c>
      <c r="Q1099" s="62" t="s">
        <v>8</v>
      </c>
      <c r="R1099" s="62"/>
    </row>
    <row r="1100" ht="41.4" spans="1:18">
      <c r="A1100" s="58">
        <v>1077</v>
      </c>
      <c r="B1100" s="74">
        <v>45805</v>
      </c>
      <c r="C1100" s="60" t="s">
        <v>121</v>
      </c>
      <c r="D1100" s="61" t="s">
        <v>60</v>
      </c>
      <c r="E1100" s="62" t="s">
        <v>73</v>
      </c>
      <c r="F1100" s="105" t="s">
        <v>50</v>
      </c>
      <c r="G1100" s="62" t="s">
        <v>55</v>
      </c>
      <c r="H1100" s="62" t="s">
        <v>51</v>
      </c>
      <c r="I1100" s="66" t="s">
        <v>1833</v>
      </c>
      <c r="J1100" s="62" t="s">
        <v>53</v>
      </c>
      <c r="K1100" s="67" t="s">
        <v>1834</v>
      </c>
      <c r="L1100" s="70" t="s">
        <v>1835</v>
      </c>
      <c r="M1100" s="62"/>
      <c r="N1100" s="62"/>
      <c r="O1100" s="69"/>
      <c r="P1100" s="59" t="s">
        <v>42</v>
      </c>
      <c r="Q1100" s="73" t="s">
        <v>43</v>
      </c>
      <c r="R1100" s="62"/>
    </row>
    <row r="1101" ht="26.4" spans="1:18">
      <c r="A1101" s="58">
        <v>1078</v>
      </c>
      <c r="B1101" s="74">
        <v>45805</v>
      </c>
      <c r="C1101" s="60" t="s">
        <v>121</v>
      </c>
      <c r="D1101" s="61" t="s">
        <v>60</v>
      </c>
      <c r="E1101" s="62" t="s">
        <v>73</v>
      </c>
      <c r="F1101" s="105" t="s">
        <v>36</v>
      </c>
      <c r="G1101" s="62" t="s">
        <v>61</v>
      </c>
      <c r="H1101" s="62" t="s">
        <v>128</v>
      </c>
      <c r="I1101" s="66" t="s">
        <v>1836</v>
      </c>
      <c r="J1101" s="62" t="s">
        <v>88</v>
      </c>
      <c r="K1101" s="67"/>
      <c r="L1101" s="70" t="s">
        <v>1837</v>
      </c>
      <c r="M1101" s="62"/>
      <c r="N1101" s="62"/>
      <c r="O1101" s="69"/>
      <c r="P1101" s="59" t="s">
        <v>42</v>
      </c>
      <c r="Q1101" s="73" t="s">
        <v>43</v>
      </c>
      <c r="R1101" s="62"/>
    </row>
    <row r="1102" ht="41.4" spans="1:18">
      <c r="A1102" s="58">
        <v>1079</v>
      </c>
      <c r="B1102" s="74">
        <v>45799</v>
      </c>
      <c r="C1102" s="60" t="s">
        <v>1526</v>
      </c>
      <c r="D1102" s="61" t="s">
        <v>72</v>
      </c>
      <c r="E1102" s="62" t="s">
        <v>73</v>
      </c>
      <c r="F1102" s="105" t="s">
        <v>192</v>
      </c>
      <c r="G1102" s="62" t="s">
        <v>82</v>
      </c>
      <c r="H1102" s="62" t="s">
        <v>132</v>
      </c>
      <c r="I1102" s="66" t="s">
        <v>1838</v>
      </c>
      <c r="J1102" s="62" t="s">
        <v>137</v>
      </c>
      <c r="K1102" s="67" t="s">
        <v>1839</v>
      </c>
      <c r="L1102" s="70"/>
      <c r="M1102" s="62"/>
      <c r="N1102" s="62"/>
      <c r="O1102" s="69"/>
      <c r="P1102" s="59" t="s">
        <v>42</v>
      </c>
      <c r="Q1102" s="62" t="s">
        <v>8</v>
      </c>
      <c r="R1102" s="62"/>
    </row>
    <row r="1103" ht="27.6" spans="1:18">
      <c r="A1103" s="58">
        <v>1080</v>
      </c>
      <c r="B1103" s="74">
        <v>45796</v>
      </c>
      <c r="C1103" s="60" t="s">
        <v>632</v>
      </c>
      <c r="D1103" s="61" t="s">
        <v>72</v>
      </c>
      <c r="E1103" s="62" t="s">
        <v>73</v>
      </c>
      <c r="F1103" s="105" t="s">
        <v>135</v>
      </c>
      <c r="G1103" s="62" t="s">
        <v>61</v>
      </c>
      <c r="H1103" s="62" t="s">
        <v>56</v>
      </c>
      <c r="I1103" s="66" t="s">
        <v>1840</v>
      </c>
      <c r="J1103" s="62" t="s">
        <v>137</v>
      </c>
      <c r="K1103" s="67"/>
      <c r="L1103" s="70"/>
      <c r="M1103" s="62"/>
      <c r="N1103" s="62"/>
      <c r="O1103" s="69"/>
      <c r="P1103" s="59" t="s">
        <v>42</v>
      </c>
      <c r="Q1103" s="62" t="s">
        <v>8</v>
      </c>
      <c r="R1103" s="62"/>
    </row>
    <row r="1104" ht="41.4" spans="1:18">
      <c r="A1104" s="58">
        <v>1081</v>
      </c>
      <c r="B1104" s="74">
        <v>45798</v>
      </c>
      <c r="C1104" s="60" t="s">
        <v>641</v>
      </c>
      <c r="D1104" s="61" t="s">
        <v>72</v>
      </c>
      <c r="E1104" s="62" t="s">
        <v>73</v>
      </c>
      <c r="F1104" s="105" t="s">
        <v>50</v>
      </c>
      <c r="G1104" s="62" t="s">
        <v>55</v>
      </c>
      <c r="H1104" s="62" t="s">
        <v>94</v>
      </c>
      <c r="I1104" s="66" t="s">
        <v>1841</v>
      </c>
      <c r="J1104" s="62" t="s">
        <v>53</v>
      </c>
      <c r="K1104" s="67" t="s">
        <v>1842</v>
      </c>
      <c r="L1104" s="70"/>
      <c r="M1104" s="62"/>
      <c r="N1104" s="62"/>
      <c r="O1104" s="69"/>
      <c r="P1104" s="59" t="s">
        <v>42</v>
      </c>
      <c r="Q1104" s="73" t="s">
        <v>43</v>
      </c>
      <c r="R1104" s="62"/>
    </row>
    <row r="1105" ht="55.2" spans="1:18">
      <c r="A1105" s="58">
        <v>1082</v>
      </c>
      <c r="B1105" s="74">
        <v>45805</v>
      </c>
      <c r="C1105" s="60" t="s">
        <v>1843</v>
      </c>
      <c r="D1105" s="61" t="s">
        <v>72</v>
      </c>
      <c r="E1105" s="62" t="s">
        <v>163</v>
      </c>
      <c r="F1105" s="105" t="s">
        <v>36</v>
      </c>
      <c r="G1105" s="62" t="s">
        <v>37</v>
      </c>
      <c r="H1105" s="62" t="s">
        <v>66</v>
      </c>
      <c r="I1105" s="66" t="s">
        <v>1844</v>
      </c>
      <c r="J1105" s="62" t="s">
        <v>88</v>
      </c>
      <c r="K1105" s="67" t="s">
        <v>1845</v>
      </c>
      <c r="L1105" s="70"/>
      <c r="M1105" s="62"/>
      <c r="N1105" s="62"/>
      <c r="O1105" s="69"/>
      <c r="P1105" s="59" t="s">
        <v>42</v>
      </c>
      <c r="Q1105" s="73" t="s">
        <v>43</v>
      </c>
      <c r="R1105" s="62"/>
    </row>
    <row r="1106" ht="13.8" spans="1:18">
      <c r="A1106" s="58">
        <v>1083</v>
      </c>
      <c r="B1106" s="74">
        <v>45801</v>
      </c>
      <c r="C1106" s="60" t="s">
        <v>659</v>
      </c>
      <c r="D1106" s="61" t="s">
        <v>72</v>
      </c>
      <c r="E1106" s="62" t="s">
        <v>73</v>
      </c>
      <c r="F1106" s="105" t="s">
        <v>50</v>
      </c>
      <c r="G1106" s="62" t="s">
        <v>79</v>
      </c>
      <c r="H1106" s="62" t="s">
        <v>51</v>
      </c>
      <c r="I1106" s="66" t="s">
        <v>1846</v>
      </c>
      <c r="J1106" s="62" t="s">
        <v>88</v>
      </c>
      <c r="K1106" s="67" t="s">
        <v>1847</v>
      </c>
      <c r="L1106" s="70"/>
      <c r="M1106" s="62"/>
      <c r="N1106" s="62"/>
      <c r="O1106" s="69"/>
      <c r="P1106" s="59" t="s">
        <v>42</v>
      </c>
      <c r="Q1106" s="73" t="s">
        <v>43</v>
      </c>
      <c r="R1106" s="62"/>
    </row>
    <row r="1107" ht="27.6" spans="1:18">
      <c r="A1107" s="58">
        <v>1084</v>
      </c>
      <c r="B1107" s="74">
        <v>45802</v>
      </c>
      <c r="C1107" s="60" t="s">
        <v>659</v>
      </c>
      <c r="D1107" s="61" t="s">
        <v>72</v>
      </c>
      <c r="E1107" s="62" t="s">
        <v>73</v>
      </c>
      <c r="F1107" s="105" t="s">
        <v>36</v>
      </c>
      <c r="G1107" s="62" t="s">
        <v>79</v>
      </c>
      <c r="H1107" s="62" t="s">
        <v>38</v>
      </c>
      <c r="I1107" s="66" t="s">
        <v>1848</v>
      </c>
      <c r="J1107" s="62" t="s">
        <v>88</v>
      </c>
      <c r="K1107" s="67" t="s">
        <v>1849</v>
      </c>
      <c r="L1107" s="70"/>
      <c r="M1107" s="62"/>
      <c r="N1107" s="62"/>
      <c r="O1107" s="69"/>
      <c r="P1107" s="59" t="s">
        <v>42</v>
      </c>
      <c r="Q1107" s="73" t="s">
        <v>43</v>
      </c>
      <c r="R1107" s="62"/>
    </row>
    <row r="1108" ht="27.6" spans="1:18">
      <c r="A1108" s="58">
        <v>1085</v>
      </c>
      <c r="B1108" s="74">
        <v>45804</v>
      </c>
      <c r="C1108" s="60" t="s">
        <v>659</v>
      </c>
      <c r="D1108" s="61" t="s">
        <v>72</v>
      </c>
      <c r="E1108" s="62" t="s">
        <v>73</v>
      </c>
      <c r="F1108" s="105" t="s">
        <v>36</v>
      </c>
      <c r="G1108" s="62" t="s">
        <v>1850</v>
      </c>
      <c r="H1108" s="62" t="s">
        <v>56</v>
      </c>
      <c r="I1108" s="66" t="s">
        <v>1851</v>
      </c>
      <c r="J1108" s="62" t="s">
        <v>88</v>
      </c>
      <c r="K1108" s="67" t="s">
        <v>1852</v>
      </c>
      <c r="L1108" s="70"/>
      <c r="M1108" s="62"/>
      <c r="N1108" s="62"/>
      <c r="O1108" s="69"/>
      <c r="P1108" s="59" t="s">
        <v>42</v>
      </c>
      <c r="Q1108" s="73" t="s">
        <v>43</v>
      </c>
      <c r="R1108" s="62"/>
    </row>
    <row r="1109" ht="27.6" spans="1:18">
      <c r="A1109" s="58">
        <v>1086</v>
      </c>
      <c r="B1109" s="74">
        <v>45805</v>
      </c>
      <c r="C1109" s="60" t="s">
        <v>659</v>
      </c>
      <c r="D1109" s="61" t="s">
        <v>72</v>
      </c>
      <c r="E1109" s="62" t="s">
        <v>73</v>
      </c>
      <c r="F1109" s="105" t="s">
        <v>36</v>
      </c>
      <c r="G1109" s="62" t="s">
        <v>79</v>
      </c>
      <c r="H1109" s="62" t="s">
        <v>128</v>
      </c>
      <c r="I1109" s="66" t="s">
        <v>1853</v>
      </c>
      <c r="J1109" s="62" t="s">
        <v>88</v>
      </c>
      <c r="K1109" s="67" t="s">
        <v>1854</v>
      </c>
      <c r="L1109" s="70"/>
      <c r="M1109" s="62"/>
      <c r="N1109" s="62"/>
      <c r="O1109" s="69"/>
      <c r="P1109" s="59" t="s">
        <v>42</v>
      </c>
      <c r="Q1109" s="73" t="s">
        <v>43</v>
      </c>
      <c r="R1109" s="62"/>
    </row>
    <row r="1110" ht="27.6" spans="1:18">
      <c r="A1110" s="58">
        <v>1087</v>
      </c>
      <c r="B1110" s="74">
        <v>45805</v>
      </c>
      <c r="C1110" s="60" t="s">
        <v>659</v>
      </c>
      <c r="D1110" s="61" t="s">
        <v>72</v>
      </c>
      <c r="E1110" s="62" t="s">
        <v>73</v>
      </c>
      <c r="F1110" s="105" t="s">
        <v>36</v>
      </c>
      <c r="G1110" s="62" t="s">
        <v>61</v>
      </c>
      <c r="H1110" s="62" t="s">
        <v>94</v>
      </c>
      <c r="I1110" s="66" t="s">
        <v>1855</v>
      </c>
      <c r="J1110" s="62" t="s">
        <v>88</v>
      </c>
      <c r="K1110" s="67" t="s">
        <v>1854</v>
      </c>
      <c r="L1110" s="70"/>
      <c r="M1110" s="62"/>
      <c r="N1110" s="62"/>
      <c r="O1110" s="69"/>
      <c r="P1110" s="59" t="s">
        <v>42</v>
      </c>
      <c r="Q1110" s="73" t="s">
        <v>43</v>
      </c>
      <c r="R1110" s="62"/>
    </row>
    <row r="1111" ht="41.4" spans="1:18">
      <c r="A1111" s="58">
        <v>1088</v>
      </c>
      <c r="B1111" s="74">
        <v>45806</v>
      </c>
      <c r="C1111" s="60" t="s">
        <v>659</v>
      </c>
      <c r="D1111" s="61" t="s">
        <v>72</v>
      </c>
      <c r="E1111" s="62" t="s">
        <v>73</v>
      </c>
      <c r="F1111" s="105" t="s">
        <v>36</v>
      </c>
      <c r="G1111" s="62" t="s">
        <v>61</v>
      </c>
      <c r="H1111" s="62" t="s">
        <v>66</v>
      </c>
      <c r="I1111" s="66" t="s">
        <v>1856</v>
      </c>
      <c r="J1111" s="62" t="s">
        <v>88</v>
      </c>
      <c r="K1111" s="67" t="s">
        <v>1857</v>
      </c>
      <c r="L1111" s="70"/>
      <c r="M1111" s="62"/>
      <c r="N1111" s="62"/>
      <c r="O1111" s="69"/>
      <c r="P1111" s="59" t="s">
        <v>42</v>
      </c>
      <c r="Q1111" s="73" t="s">
        <v>43</v>
      </c>
      <c r="R1111" s="62"/>
    </row>
    <row r="1112" ht="13.8" spans="1:18">
      <c r="A1112" s="58">
        <v>1089</v>
      </c>
      <c r="B1112" s="74">
        <v>45778</v>
      </c>
      <c r="C1112" s="60" t="s">
        <v>191</v>
      </c>
      <c r="D1112" s="61" t="s">
        <v>35</v>
      </c>
      <c r="E1112" s="62" t="s">
        <v>73</v>
      </c>
      <c r="F1112" s="105" t="s">
        <v>135</v>
      </c>
      <c r="G1112" s="62" t="s">
        <v>45</v>
      </c>
      <c r="H1112" s="62" t="s">
        <v>132</v>
      </c>
      <c r="I1112" s="66" t="s">
        <v>1060</v>
      </c>
      <c r="J1112" s="62" t="s">
        <v>137</v>
      </c>
      <c r="K1112" s="67" t="s">
        <v>194</v>
      </c>
      <c r="L1112" s="70"/>
      <c r="M1112" s="62"/>
      <c r="N1112" s="62"/>
      <c r="O1112" s="69"/>
      <c r="P1112" s="59" t="s">
        <v>42</v>
      </c>
      <c r="Q1112" s="62" t="s">
        <v>8</v>
      </c>
      <c r="R1112" s="62"/>
    </row>
    <row r="1113" ht="13.8" spans="1:18">
      <c r="A1113" s="58">
        <v>1090</v>
      </c>
      <c r="B1113" s="74">
        <v>45780</v>
      </c>
      <c r="C1113" s="60" t="s">
        <v>49</v>
      </c>
      <c r="D1113" s="61" t="s">
        <v>35</v>
      </c>
      <c r="E1113" s="62" t="s">
        <v>73</v>
      </c>
      <c r="F1113" s="105" t="s">
        <v>50</v>
      </c>
      <c r="G1113" s="62" t="s">
        <v>61</v>
      </c>
      <c r="H1113" s="62" t="s">
        <v>51</v>
      </c>
      <c r="I1113" s="66" t="s">
        <v>1858</v>
      </c>
      <c r="J1113" s="62" t="s">
        <v>40</v>
      </c>
      <c r="K1113" s="67" t="s">
        <v>371</v>
      </c>
      <c r="L1113" s="70"/>
      <c r="M1113" s="62"/>
      <c r="N1113" s="62"/>
      <c r="O1113" s="69"/>
      <c r="P1113" s="59" t="s">
        <v>42</v>
      </c>
      <c r="Q1113" s="73" t="s">
        <v>43</v>
      </c>
      <c r="R1113" s="62"/>
    </row>
    <row r="1114" ht="13.8" spans="1:18">
      <c r="A1114" s="58">
        <v>1091</v>
      </c>
      <c r="B1114" s="74">
        <v>45780</v>
      </c>
      <c r="C1114" s="60" t="s">
        <v>453</v>
      </c>
      <c r="D1114" s="61" t="s">
        <v>35</v>
      </c>
      <c r="E1114" s="62" t="s">
        <v>589</v>
      </c>
      <c r="F1114" s="105" t="s">
        <v>50</v>
      </c>
      <c r="G1114" s="62" t="s">
        <v>131</v>
      </c>
      <c r="H1114" s="62" t="s">
        <v>132</v>
      </c>
      <c r="I1114" s="66" t="s">
        <v>1335</v>
      </c>
      <c r="J1114" s="62" t="s">
        <v>40</v>
      </c>
      <c r="K1114" s="67" t="s">
        <v>1859</v>
      </c>
      <c r="L1114" s="70"/>
      <c r="M1114" s="62"/>
      <c r="N1114" s="62"/>
      <c r="O1114" s="69"/>
      <c r="P1114" s="59" t="s">
        <v>42</v>
      </c>
      <c r="Q1114" s="73" t="s">
        <v>43</v>
      </c>
      <c r="R1114" s="62"/>
    </row>
    <row r="1115" ht="27.6" spans="1:18">
      <c r="A1115" s="58">
        <v>1092</v>
      </c>
      <c r="B1115" s="74">
        <v>45781</v>
      </c>
      <c r="C1115" s="60" t="s">
        <v>208</v>
      </c>
      <c r="D1115" s="61" t="s">
        <v>35</v>
      </c>
      <c r="E1115" s="62" t="s">
        <v>73</v>
      </c>
      <c r="F1115" s="105" t="s">
        <v>36</v>
      </c>
      <c r="G1115" s="62" t="s">
        <v>82</v>
      </c>
      <c r="H1115" s="62" t="s">
        <v>132</v>
      </c>
      <c r="I1115" s="66" t="s">
        <v>563</v>
      </c>
      <c r="J1115" s="62" t="s">
        <v>40</v>
      </c>
      <c r="K1115" s="67" t="s">
        <v>564</v>
      </c>
      <c r="L1115" s="70"/>
      <c r="M1115" s="62"/>
      <c r="N1115" s="62"/>
      <c r="O1115" s="69"/>
      <c r="P1115" s="59" t="s">
        <v>42</v>
      </c>
      <c r="Q1115" s="73" t="s">
        <v>43</v>
      </c>
      <c r="R1115" s="62"/>
    </row>
    <row r="1116" ht="13.8" spans="1:18">
      <c r="A1116" s="58">
        <v>1093</v>
      </c>
      <c r="B1116" s="74">
        <v>45778</v>
      </c>
      <c r="C1116" s="60" t="s">
        <v>49</v>
      </c>
      <c r="D1116" s="61" t="s">
        <v>35</v>
      </c>
      <c r="E1116" s="62" t="s">
        <v>73</v>
      </c>
      <c r="F1116" s="105" t="s">
        <v>36</v>
      </c>
      <c r="G1116" s="62" t="s">
        <v>45</v>
      </c>
      <c r="H1116" s="62" t="s">
        <v>38</v>
      </c>
      <c r="I1116" s="66" t="s">
        <v>1860</v>
      </c>
      <c r="J1116" s="62" t="s">
        <v>53</v>
      </c>
      <c r="K1116" s="67" t="s">
        <v>1861</v>
      </c>
      <c r="L1116" s="70"/>
      <c r="M1116" s="62"/>
      <c r="N1116" s="62"/>
      <c r="O1116" s="69"/>
      <c r="P1116" s="59" t="s">
        <v>42</v>
      </c>
      <c r="Q1116" s="73" t="s">
        <v>43</v>
      </c>
      <c r="R1116" s="62"/>
    </row>
    <row r="1117" ht="13.8" spans="1:18">
      <c r="A1117" s="58">
        <v>1094</v>
      </c>
      <c r="B1117" s="74">
        <v>45782</v>
      </c>
      <c r="C1117" s="60" t="s">
        <v>191</v>
      </c>
      <c r="D1117" s="61" t="s">
        <v>35</v>
      </c>
      <c r="E1117" s="62" t="s">
        <v>73</v>
      </c>
      <c r="F1117" s="105" t="s">
        <v>36</v>
      </c>
      <c r="G1117" s="62" t="s">
        <v>61</v>
      </c>
      <c r="H1117" s="62" t="s">
        <v>94</v>
      </c>
      <c r="I1117" s="66" t="s">
        <v>343</v>
      </c>
      <c r="J1117" s="62" t="s">
        <v>40</v>
      </c>
      <c r="K1117" s="67" t="s">
        <v>1862</v>
      </c>
      <c r="L1117" s="70"/>
      <c r="M1117" s="62"/>
      <c r="N1117" s="62"/>
      <c r="O1117" s="69"/>
      <c r="P1117" s="59" t="s">
        <v>42</v>
      </c>
      <c r="Q1117" s="73" t="s">
        <v>43</v>
      </c>
      <c r="R1117" s="62"/>
    </row>
    <row r="1118" ht="13.8" spans="1:18">
      <c r="A1118" s="58">
        <v>1095</v>
      </c>
      <c r="B1118" s="74">
        <v>45781</v>
      </c>
      <c r="C1118" s="60" t="s">
        <v>208</v>
      </c>
      <c r="D1118" s="61" t="s">
        <v>35</v>
      </c>
      <c r="E1118" s="62" t="s">
        <v>73</v>
      </c>
      <c r="F1118" s="105" t="s">
        <v>135</v>
      </c>
      <c r="G1118" s="62" t="s">
        <v>131</v>
      </c>
      <c r="H1118" s="62" t="s">
        <v>94</v>
      </c>
      <c r="I1118" s="66" t="s">
        <v>1863</v>
      </c>
      <c r="J1118" s="62" t="s">
        <v>137</v>
      </c>
      <c r="K1118" s="67" t="s">
        <v>210</v>
      </c>
      <c r="L1118" s="70"/>
      <c r="M1118" s="62"/>
      <c r="N1118" s="62"/>
      <c r="O1118" s="69"/>
      <c r="P1118" s="59" t="s">
        <v>42</v>
      </c>
      <c r="Q1118" s="62" t="s">
        <v>8</v>
      </c>
      <c r="R1118" s="62"/>
    </row>
    <row r="1119" ht="27.6" spans="1:18">
      <c r="A1119" s="58">
        <v>1096</v>
      </c>
      <c r="B1119" s="74">
        <v>45780</v>
      </c>
      <c r="C1119" s="60" t="s">
        <v>49</v>
      </c>
      <c r="D1119" s="61" t="s">
        <v>35</v>
      </c>
      <c r="E1119" s="62" t="s">
        <v>73</v>
      </c>
      <c r="F1119" s="105" t="s">
        <v>50</v>
      </c>
      <c r="G1119" s="62" t="s">
        <v>82</v>
      </c>
      <c r="H1119" s="62" t="s">
        <v>1008</v>
      </c>
      <c r="I1119" s="66" t="s">
        <v>1864</v>
      </c>
      <c r="J1119" s="62" t="s">
        <v>53</v>
      </c>
      <c r="K1119" s="67" t="s">
        <v>1865</v>
      </c>
      <c r="L1119" s="70"/>
      <c r="M1119" s="62"/>
      <c r="N1119" s="62"/>
      <c r="O1119" s="69"/>
      <c r="P1119" s="59" t="s">
        <v>42</v>
      </c>
      <c r="Q1119" s="73" t="s">
        <v>43</v>
      </c>
      <c r="R1119" s="62"/>
    </row>
    <row r="1120" ht="13.8" spans="1:18">
      <c r="A1120" s="58">
        <v>1097</v>
      </c>
      <c r="B1120" s="74">
        <v>45778</v>
      </c>
      <c r="C1120" s="60" t="s">
        <v>191</v>
      </c>
      <c r="D1120" s="61" t="s">
        <v>35</v>
      </c>
      <c r="E1120" s="62" t="s">
        <v>73</v>
      </c>
      <c r="F1120" s="105" t="s">
        <v>50</v>
      </c>
      <c r="G1120" s="62" t="s">
        <v>45</v>
      </c>
      <c r="H1120" s="62" t="s">
        <v>1008</v>
      </c>
      <c r="I1120" s="66" t="s">
        <v>1866</v>
      </c>
      <c r="J1120" s="62" t="s">
        <v>91</v>
      </c>
      <c r="K1120" s="67" t="s">
        <v>1867</v>
      </c>
      <c r="L1120" s="70"/>
      <c r="M1120" s="62"/>
      <c r="N1120" s="62"/>
      <c r="O1120" s="69"/>
      <c r="P1120" s="59" t="s">
        <v>42</v>
      </c>
      <c r="Q1120" s="73" t="s">
        <v>43</v>
      </c>
      <c r="R1120" s="62"/>
    </row>
    <row r="1121" ht="27.6" spans="1:18">
      <c r="A1121" s="58">
        <v>1098</v>
      </c>
      <c r="B1121" s="74">
        <v>45782</v>
      </c>
      <c r="C1121" s="60" t="s">
        <v>208</v>
      </c>
      <c r="D1121" s="61" t="s">
        <v>35</v>
      </c>
      <c r="E1121" s="62" t="s">
        <v>73</v>
      </c>
      <c r="F1121" s="105" t="s">
        <v>36</v>
      </c>
      <c r="G1121" s="62" t="s">
        <v>61</v>
      </c>
      <c r="H1121" s="62" t="s">
        <v>38</v>
      </c>
      <c r="I1121" s="66" t="s">
        <v>346</v>
      </c>
      <c r="J1121" s="62" t="s">
        <v>40</v>
      </c>
      <c r="K1121" s="67" t="s">
        <v>1868</v>
      </c>
      <c r="L1121" s="70"/>
      <c r="M1121" s="62"/>
      <c r="N1121" s="62"/>
      <c r="O1121" s="69"/>
      <c r="P1121" s="59" t="s">
        <v>42</v>
      </c>
      <c r="Q1121" s="73" t="s">
        <v>43</v>
      </c>
      <c r="R1121" s="62"/>
    </row>
    <row r="1122" ht="27.6" spans="1:18">
      <c r="A1122" s="58">
        <v>1099</v>
      </c>
      <c r="B1122" s="74">
        <v>45781</v>
      </c>
      <c r="C1122" s="60" t="s">
        <v>49</v>
      </c>
      <c r="D1122" s="61" t="s">
        <v>35</v>
      </c>
      <c r="E1122" s="62" t="s">
        <v>73</v>
      </c>
      <c r="F1122" s="105" t="s">
        <v>36</v>
      </c>
      <c r="G1122" s="62" t="s">
        <v>131</v>
      </c>
      <c r="H1122" s="62" t="s">
        <v>1008</v>
      </c>
      <c r="I1122" s="66" t="s">
        <v>1869</v>
      </c>
      <c r="J1122" s="62" t="s">
        <v>40</v>
      </c>
      <c r="K1122" s="67" t="s">
        <v>1870</v>
      </c>
      <c r="L1122" s="70"/>
      <c r="M1122" s="62"/>
      <c r="N1122" s="62"/>
      <c r="O1122" s="69"/>
      <c r="P1122" s="59" t="s">
        <v>42</v>
      </c>
      <c r="Q1122" s="73" t="s">
        <v>43</v>
      </c>
      <c r="R1122" s="62"/>
    </row>
    <row r="1123" ht="13.8" spans="1:18">
      <c r="A1123" s="58">
        <v>1100</v>
      </c>
      <c r="B1123" s="74">
        <v>45780</v>
      </c>
      <c r="C1123" s="60" t="s">
        <v>191</v>
      </c>
      <c r="D1123" s="61" t="s">
        <v>35</v>
      </c>
      <c r="E1123" s="62" t="s">
        <v>73</v>
      </c>
      <c r="F1123" s="105" t="s">
        <v>36</v>
      </c>
      <c r="G1123" s="62" t="s">
        <v>82</v>
      </c>
      <c r="H1123" s="62" t="s">
        <v>56</v>
      </c>
      <c r="I1123" s="66" t="s">
        <v>1149</v>
      </c>
      <c r="J1123" s="62" t="s">
        <v>40</v>
      </c>
      <c r="K1123" s="67" t="s">
        <v>1871</v>
      </c>
      <c r="L1123" s="70"/>
      <c r="M1123" s="62"/>
      <c r="N1123" s="62"/>
      <c r="O1123" s="69"/>
      <c r="P1123" s="59" t="s">
        <v>42</v>
      </c>
      <c r="Q1123" s="73" t="s">
        <v>43</v>
      </c>
      <c r="R1123" s="62"/>
    </row>
    <row r="1124" ht="27.6" spans="1:18">
      <c r="A1124" s="58">
        <v>1101</v>
      </c>
      <c r="B1124" s="74">
        <v>45780</v>
      </c>
      <c r="C1124" s="60" t="s">
        <v>49</v>
      </c>
      <c r="D1124" s="61" t="s">
        <v>35</v>
      </c>
      <c r="E1124" s="62" t="s">
        <v>73</v>
      </c>
      <c r="F1124" s="105" t="s">
        <v>36</v>
      </c>
      <c r="G1124" s="62" t="s">
        <v>45</v>
      </c>
      <c r="H1124" s="62" t="s">
        <v>132</v>
      </c>
      <c r="I1124" s="66" t="s">
        <v>395</v>
      </c>
      <c r="J1124" s="62" t="s">
        <v>40</v>
      </c>
      <c r="K1124" s="67" t="s">
        <v>1872</v>
      </c>
      <c r="L1124" s="70"/>
      <c r="M1124" s="62"/>
      <c r="N1124" s="62"/>
      <c r="O1124" s="69"/>
      <c r="P1124" s="59" t="s">
        <v>42</v>
      </c>
      <c r="Q1124" s="73" t="s">
        <v>43</v>
      </c>
      <c r="R1124" s="62"/>
    </row>
    <row r="1125" ht="13.8" spans="1:18">
      <c r="A1125" s="58">
        <v>1102</v>
      </c>
      <c r="B1125" s="74">
        <v>45782</v>
      </c>
      <c r="C1125" s="60" t="s">
        <v>191</v>
      </c>
      <c r="D1125" s="61" t="s">
        <v>35</v>
      </c>
      <c r="E1125" s="62" t="s">
        <v>73</v>
      </c>
      <c r="F1125" s="105" t="s">
        <v>135</v>
      </c>
      <c r="G1125" s="62" t="s">
        <v>61</v>
      </c>
      <c r="H1125" s="62" t="s">
        <v>132</v>
      </c>
      <c r="I1125" s="66" t="s">
        <v>1873</v>
      </c>
      <c r="J1125" s="62" t="s">
        <v>137</v>
      </c>
      <c r="K1125" s="67" t="s">
        <v>1874</v>
      </c>
      <c r="L1125" s="70"/>
      <c r="M1125" s="62"/>
      <c r="N1125" s="62"/>
      <c r="O1125" s="69"/>
      <c r="P1125" s="59" t="s">
        <v>42</v>
      </c>
      <c r="Q1125" s="62" t="s">
        <v>8</v>
      </c>
      <c r="R1125" s="62"/>
    </row>
    <row r="1126" ht="13.8" spans="1:18">
      <c r="A1126" s="58">
        <v>1103</v>
      </c>
      <c r="B1126" s="74">
        <v>45780</v>
      </c>
      <c r="C1126" s="60" t="s">
        <v>191</v>
      </c>
      <c r="D1126" s="61" t="s">
        <v>35</v>
      </c>
      <c r="E1126" s="62" t="s">
        <v>73</v>
      </c>
      <c r="F1126" s="105" t="s">
        <v>50</v>
      </c>
      <c r="G1126" s="62" t="s">
        <v>131</v>
      </c>
      <c r="H1126" s="62" t="s">
        <v>51</v>
      </c>
      <c r="I1126" s="66" t="s">
        <v>367</v>
      </c>
      <c r="J1126" s="62" t="s">
        <v>40</v>
      </c>
      <c r="K1126" s="67" t="s">
        <v>1355</v>
      </c>
      <c r="L1126" s="70"/>
      <c r="M1126" s="62"/>
      <c r="N1126" s="62"/>
      <c r="O1126" s="69"/>
      <c r="P1126" s="59" t="s">
        <v>42</v>
      </c>
      <c r="Q1126" s="73" t="s">
        <v>43</v>
      </c>
      <c r="R1126" s="62"/>
    </row>
    <row r="1127" ht="27.6" spans="1:18">
      <c r="A1127" s="58">
        <v>1104</v>
      </c>
      <c r="B1127" s="74">
        <v>45780</v>
      </c>
      <c r="C1127" s="60" t="s">
        <v>49</v>
      </c>
      <c r="D1127" s="61" t="s">
        <v>35</v>
      </c>
      <c r="E1127" s="62" t="s">
        <v>73</v>
      </c>
      <c r="F1127" s="105" t="s">
        <v>36</v>
      </c>
      <c r="G1127" s="62" t="s">
        <v>82</v>
      </c>
      <c r="H1127" s="62" t="s">
        <v>38</v>
      </c>
      <c r="I1127" s="66" t="s">
        <v>1875</v>
      </c>
      <c r="J1127" s="62" t="s">
        <v>40</v>
      </c>
      <c r="K1127" s="67" t="s">
        <v>1876</v>
      </c>
      <c r="L1127" s="70"/>
      <c r="M1127" s="62"/>
      <c r="N1127" s="62"/>
      <c r="O1127" s="69"/>
      <c r="P1127" s="59" t="s">
        <v>42</v>
      </c>
      <c r="Q1127" s="73" t="s">
        <v>43</v>
      </c>
      <c r="R1127" s="62"/>
    </row>
    <row r="1128" ht="27.6" spans="1:18">
      <c r="A1128" s="58">
        <v>1105</v>
      </c>
      <c r="B1128" s="74">
        <v>45778</v>
      </c>
      <c r="C1128" s="60" t="s">
        <v>208</v>
      </c>
      <c r="D1128" s="61" t="s">
        <v>35</v>
      </c>
      <c r="E1128" s="62" t="s">
        <v>73</v>
      </c>
      <c r="F1128" s="105" t="s">
        <v>36</v>
      </c>
      <c r="G1128" s="62" t="s">
        <v>45</v>
      </c>
      <c r="H1128" s="62" t="s">
        <v>56</v>
      </c>
      <c r="I1128" s="66" t="s">
        <v>1877</v>
      </c>
      <c r="J1128" s="62" t="s">
        <v>91</v>
      </c>
      <c r="K1128" s="67" t="s">
        <v>1878</v>
      </c>
      <c r="L1128" s="70"/>
      <c r="M1128" s="62"/>
      <c r="N1128" s="62"/>
      <c r="O1128" s="69"/>
      <c r="P1128" s="59" t="s">
        <v>42</v>
      </c>
      <c r="Q1128" s="73" t="s">
        <v>43</v>
      </c>
      <c r="R1128" s="62"/>
    </row>
    <row r="1129" ht="13.8" spans="1:18">
      <c r="A1129" s="58">
        <v>1106</v>
      </c>
      <c r="B1129" s="74">
        <v>45781</v>
      </c>
      <c r="C1129" s="60" t="s">
        <v>208</v>
      </c>
      <c r="D1129" s="61" t="s">
        <v>35</v>
      </c>
      <c r="E1129" s="62" t="s">
        <v>73</v>
      </c>
      <c r="F1129" s="105" t="s">
        <v>36</v>
      </c>
      <c r="G1129" s="62" t="s">
        <v>61</v>
      </c>
      <c r="H1129" s="62" t="s">
        <v>38</v>
      </c>
      <c r="I1129" s="66" t="s">
        <v>1879</v>
      </c>
      <c r="J1129" s="62" t="s">
        <v>40</v>
      </c>
      <c r="K1129" s="67" t="s">
        <v>1880</v>
      </c>
      <c r="L1129" s="70"/>
      <c r="M1129" s="62"/>
      <c r="N1129" s="62"/>
      <c r="O1129" s="69"/>
      <c r="P1129" s="59" t="s">
        <v>42</v>
      </c>
      <c r="Q1129" s="73" t="s">
        <v>43</v>
      </c>
      <c r="R1129" s="62"/>
    </row>
    <row r="1130" ht="13.8" spans="1:18">
      <c r="A1130" s="58">
        <v>1107</v>
      </c>
      <c r="B1130" s="74">
        <v>45781</v>
      </c>
      <c r="C1130" s="60" t="s">
        <v>49</v>
      </c>
      <c r="D1130" s="61" t="s">
        <v>35</v>
      </c>
      <c r="E1130" s="62" t="s">
        <v>73</v>
      </c>
      <c r="F1130" s="105" t="s">
        <v>36</v>
      </c>
      <c r="G1130" s="62" t="s">
        <v>131</v>
      </c>
      <c r="H1130" s="62" t="s">
        <v>56</v>
      </c>
      <c r="I1130" s="66" t="s">
        <v>1078</v>
      </c>
      <c r="J1130" s="62" t="s">
        <v>53</v>
      </c>
      <c r="K1130" s="67" t="s">
        <v>1881</v>
      </c>
      <c r="L1130" s="70"/>
      <c r="M1130" s="62"/>
      <c r="N1130" s="62"/>
      <c r="O1130" s="69"/>
      <c r="P1130" s="59" t="s">
        <v>42</v>
      </c>
      <c r="Q1130" s="73" t="s">
        <v>43</v>
      </c>
      <c r="R1130" s="62"/>
    </row>
    <row r="1131" ht="13.8" spans="1:18">
      <c r="A1131" s="58">
        <v>1108</v>
      </c>
      <c r="B1131" s="74">
        <v>45780</v>
      </c>
      <c r="C1131" s="60" t="s">
        <v>191</v>
      </c>
      <c r="D1131" s="61" t="s">
        <v>35</v>
      </c>
      <c r="E1131" s="62" t="s">
        <v>73</v>
      </c>
      <c r="F1131" s="105" t="s">
        <v>36</v>
      </c>
      <c r="G1131" s="62" t="s">
        <v>82</v>
      </c>
      <c r="H1131" s="62" t="s">
        <v>56</v>
      </c>
      <c r="I1131" s="66" t="s">
        <v>1882</v>
      </c>
      <c r="J1131" s="62" t="s">
        <v>40</v>
      </c>
      <c r="K1131" s="67" t="s">
        <v>1407</v>
      </c>
      <c r="L1131" s="70"/>
      <c r="M1131" s="62"/>
      <c r="N1131" s="62"/>
      <c r="O1131" s="69"/>
      <c r="P1131" s="59" t="s">
        <v>42</v>
      </c>
      <c r="Q1131" s="73" t="s">
        <v>43</v>
      </c>
      <c r="R1131" s="62"/>
    </row>
    <row r="1132" ht="13.8" spans="1:18">
      <c r="A1132" s="58">
        <v>1109</v>
      </c>
      <c r="B1132" s="74">
        <v>45782</v>
      </c>
      <c r="C1132" s="60" t="s">
        <v>208</v>
      </c>
      <c r="D1132" s="61" t="s">
        <v>35</v>
      </c>
      <c r="E1132" s="62" t="s">
        <v>73</v>
      </c>
      <c r="F1132" s="105" t="s">
        <v>36</v>
      </c>
      <c r="G1132" s="62" t="s">
        <v>45</v>
      </c>
      <c r="H1132" s="62" t="s">
        <v>56</v>
      </c>
      <c r="I1132" s="66" t="s">
        <v>1883</v>
      </c>
      <c r="J1132" s="62" t="s">
        <v>40</v>
      </c>
      <c r="K1132" s="67" t="s">
        <v>1884</v>
      </c>
      <c r="L1132" s="70"/>
      <c r="M1132" s="62"/>
      <c r="N1132" s="62"/>
      <c r="O1132" s="69"/>
      <c r="P1132" s="59" t="s">
        <v>42</v>
      </c>
      <c r="Q1132" s="73" t="s">
        <v>43</v>
      </c>
      <c r="R1132" s="62"/>
    </row>
    <row r="1133" ht="13.8" spans="1:18">
      <c r="A1133" s="58">
        <v>1110</v>
      </c>
      <c r="B1133" s="74">
        <v>45781</v>
      </c>
      <c r="C1133" s="60" t="s">
        <v>453</v>
      </c>
      <c r="D1133" s="61" t="s">
        <v>35</v>
      </c>
      <c r="E1133" s="62" t="s">
        <v>589</v>
      </c>
      <c r="F1133" s="105" t="s">
        <v>135</v>
      </c>
      <c r="G1133" s="62" t="s">
        <v>61</v>
      </c>
      <c r="H1133" s="62" t="s">
        <v>51</v>
      </c>
      <c r="I1133" s="66" t="s">
        <v>1885</v>
      </c>
      <c r="J1133" s="62" t="s">
        <v>137</v>
      </c>
      <c r="K1133" s="67" t="s">
        <v>194</v>
      </c>
      <c r="L1133" s="70"/>
      <c r="M1133" s="62"/>
      <c r="N1133" s="62"/>
      <c r="O1133" s="69"/>
      <c r="P1133" s="59" t="s">
        <v>42</v>
      </c>
      <c r="Q1133" s="62" t="s">
        <v>8</v>
      </c>
      <c r="R1133" s="62"/>
    </row>
    <row r="1134" ht="13.8" spans="1:18">
      <c r="A1134" s="58">
        <v>1111</v>
      </c>
      <c r="B1134" s="74">
        <v>45778</v>
      </c>
      <c r="C1134" s="60" t="s">
        <v>191</v>
      </c>
      <c r="D1134" s="61" t="s">
        <v>35</v>
      </c>
      <c r="E1134" s="62" t="s">
        <v>73</v>
      </c>
      <c r="F1134" s="105" t="s">
        <v>50</v>
      </c>
      <c r="G1134" s="62" t="s">
        <v>131</v>
      </c>
      <c r="H1134" s="62" t="s">
        <v>51</v>
      </c>
      <c r="I1134" s="66" t="s">
        <v>1886</v>
      </c>
      <c r="J1134" s="62" t="s">
        <v>91</v>
      </c>
      <c r="K1134" s="67" t="s">
        <v>1374</v>
      </c>
      <c r="L1134" s="70"/>
      <c r="M1134" s="62"/>
      <c r="N1134" s="62"/>
      <c r="O1134" s="69"/>
      <c r="P1134" s="59" t="s">
        <v>42</v>
      </c>
      <c r="Q1134" s="73" t="s">
        <v>43</v>
      </c>
      <c r="R1134" s="62"/>
    </row>
    <row r="1135" ht="13.8" spans="1:18">
      <c r="A1135" s="58">
        <v>1112</v>
      </c>
      <c r="B1135" s="74">
        <v>45782</v>
      </c>
      <c r="C1135" s="60" t="s">
        <v>453</v>
      </c>
      <c r="D1135" s="61" t="s">
        <v>35</v>
      </c>
      <c r="E1135" s="62" t="s">
        <v>589</v>
      </c>
      <c r="F1135" s="105" t="s">
        <v>36</v>
      </c>
      <c r="G1135" s="62" t="s">
        <v>82</v>
      </c>
      <c r="H1135" s="62" t="s">
        <v>94</v>
      </c>
      <c r="I1135" s="66" t="s">
        <v>1887</v>
      </c>
      <c r="J1135" s="62" t="s">
        <v>53</v>
      </c>
      <c r="K1135" s="67" t="s">
        <v>1888</v>
      </c>
      <c r="L1135" s="70"/>
      <c r="M1135" s="62"/>
      <c r="N1135" s="62"/>
      <c r="O1135" s="69"/>
      <c r="P1135" s="59" t="s">
        <v>42</v>
      </c>
      <c r="Q1135" s="73" t="s">
        <v>43</v>
      </c>
      <c r="R1135" s="62"/>
    </row>
    <row r="1136" ht="13.8" spans="1:18">
      <c r="A1136" s="58">
        <v>1113</v>
      </c>
      <c r="B1136" s="74">
        <v>45780</v>
      </c>
      <c r="C1136" s="60" t="s">
        <v>191</v>
      </c>
      <c r="D1136" s="61" t="s">
        <v>35</v>
      </c>
      <c r="E1136" s="62" t="s">
        <v>73</v>
      </c>
      <c r="F1136" s="105" t="s">
        <v>36</v>
      </c>
      <c r="G1136" s="62" t="s">
        <v>45</v>
      </c>
      <c r="H1136" s="62" t="s">
        <v>38</v>
      </c>
      <c r="I1136" s="66" t="s">
        <v>1889</v>
      </c>
      <c r="J1136" s="62" t="s">
        <v>40</v>
      </c>
      <c r="K1136" s="67" t="s">
        <v>1890</v>
      </c>
      <c r="L1136" s="70"/>
      <c r="M1136" s="62"/>
      <c r="N1136" s="62"/>
      <c r="O1136" s="69"/>
      <c r="P1136" s="59" t="s">
        <v>42</v>
      </c>
      <c r="Q1136" s="73" t="s">
        <v>43</v>
      </c>
      <c r="R1136" s="62"/>
    </row>
    <row r="1137" ht="13.8" spans="1:18">
      <c r="A1137" s="58">
        <v>1114</v>
      </c>
      <c r="B1137" s="74">
        <v>45782</v>
      </c>
      <c r="C1137" s="60" t="s">
        <v>191</v>
      </c>
      <c r="D1137" s="61" t="s">
        <v>35</v>
      </c>
      <c r="E1137" s="62" t="s">
        <v>73</v>
      </c>
      <c r="F1137" s="105" t="s">
        <v>36</v>
      </c>
      <c r="G1137" s="62" t="s">
        <v>61</v>
      </c>
      <c r="H1137" s="62" t="s">
        <v>132</v>
      </c>
      <c r="I1137" s="66" t="s">
        <v>1891</v>
      </c>
      <c r="J1137" s="62" t="s">
        <v>40</v>
      </c>
      <c r="K1137" s="67" t="s">
        <v>1892</v>
      </c>
      <c r="L1137" s="70"/>
      <c r="M1137" s="62"/>
      <c r="N1137" s="62"/>
      <c r="O1137" s="69"/>
      <c r="P1137" s="59" t="s">
        <v>42</v>
      </c>
      <c r="Q1137" s="73" t="s">
        <v>43</v>
      </c>
      <c r="R1137" s="62"/>
    </row>
    <row r="1138" ht="13.8" spans="1:18">
      <c r="A1138" s="58">
        <v>1115</v>
      </c>
      <c r="B1138" s="74">
        <v>45780</v>
      </c>
      <c r="C1138" s="60" t="s">
        <v>49</v>
      </c>
      <c r="D1138" s="61" t="s">
        <v>35</v>
      </c>
      <c r="E1138" s="62" t="s">
        <v>73</v>
      </c>
      <c r="F1138" s="105" t="s">
        <v>36</v>
      </c>
      <c r="G1138" s="62" t="s">
        <v>131</v>
      </c>
      <c r="H1138" s="62" t="s">
        <v>1008</v>
      </c>
      <c r="I1138" s="66" t="s">
        <v>1893</v>
      </c>
      <c r="J1138" s="62" t="s">
        <v>53</v>
      </c>
      <c r="K1138" s="67" t="s">
        <v>1894</v>
      </c>
      <c r="L1138" s="70"/>
      <c r="M1138" s="62"/>
      <c r="N1138" s="62"/>
      <c r="O1138" s="69"/>
      <c r="P1138" s="59" t="s">
        <v>42</v>
      </c>
      <c r="Q1138" s="73" t="s">
        <v>43</v>
      </c>
      <c r="R1138" s="62"/>
    </row>
    <row r="1139" ht="13.8" spans="1:18">
      <c r="A1139" s="58">
        <v>1116</v>
      </c>
      <c r="B1139" s="74">
        <v>45782</v>
      </c>
      <c r="C1139" s="60" t="s">
        <v>208</v>
      </c>
      <c r="D1139" s="61" t="s">
        <v>35</v>
      </c>
      <c r="E1139" s="62" t="s">
        <v>73</v>
      </c>
      <c r="F1139" s="105" t="s">
        <v>36</v>
      </c>
      <c r="G1139" s="62" t="s">
        <v>82</v>
      </c>
      <c r="H1139" s="62" t="s">
        <v>56</v>
      </c>
      <c r="I1139" s="66" t="s">
        <v>1895</v>
      </c>
      <c r="J1139" s="62" t="s">
        <v>40</v>
      </c>
      <c r="K1139" s="67" t="s">
        <v>1896</v>
      </c>
      <c r="L1139" s="70"/>
      <c r="M1139" s="62"/>
      <c r="N1139" s="62"/>
      <c r="O1139" s="69"/>
      <c r="P1139" s="59" t="s">
        <v>42</v>
      </c>
      <c r="Q1139" s="73" t="s">
        <v>43</v>
      </c>
      <c r="R1139" s="62"/>
    </row>
    <row r="1140" ht="13.8" spans="1:18">
      <c r="A1140" s="58">
        <v>1117</v>
      </c>
      <c r="B1140" s="74">
        <v>45781</v>
      </c>
      <c r="C1140" s="60" t="s">
        <v>208</v>
      </c>
      <c r="D1140" s="61" t="s">
        <v>35</v>
      </c>
      <c r="E1140" s="62" t="s">
        <v>73</v>
      </c>
      <c r="F1140" s="105" t="s">
        <v>36</v>
      </c>
      <c r="G1140" s="62" t="s">
        <v>45</v>
      </c>
      <c r="H1140" s="62" t="s">
        <v>56</v>
      </c>
      <c r="I1140" s="66" t="s">
        <v>1897</v>
      </c>
      <c r="J1140" s="62" t="s">
        <v>53</v>
      </c>
      <c r="K1140" s="67" t="s">
        <v>1898</v>
      </c>
      <c r="L1140" s="70"/>
      <c r="M1140" s="62"/>
      <c r="N1140" s="62"/>
      <c r="O1140" s="69"/>
      <c r="P1140" s="59" t="s">
        <v>42</v>
      </c>
      <c r="Q1140" s="73" t="s">
        <v>43</v>
      </c>
      <c r="R1140" s="62"/>
    </row>
    <row r="1141" ht="27.6" spans="1:18">
      <c r="A1141" s="58">
        <v>1118</v>
      </c>
      <c r="B1141" s="74">
        <v>45778</v>
      </c>
      <c r="C1141" s="60" t="s">
        <v>49</v>
      </c>
      <c r="D1141" s="61" t="s">
        <v>35</v>
      </c>
      <c r="E1141" s="62" t="s">
        <v>73</v>
      </c>
      <c r="F1141" s="105" t="s">
        <v>36</v>
      </c>
      <c r="G1141" s="62" t="s">
        <v>61</v>
      </c>
      <c r="H1141" s="62" t="s">
        <v>94</v>
      </c>
      <c r="I1141" s="66" t="s">
        <v>1899</v>
      </c>
      <c r="J1141" s="62" t="s">
        <v>40</v>
      </c>
      <c r="K1141" s="67" t="s">
        <v>1900</v>
      </c>
      <c r="L1141" s="70"/>
      <c r="M1141" s="62"/>
      <c r="N1141" s="62"/>
      <c r="O1141" s="69"/>
      <c r="P1141" s="59" t="s">
        <v>42</v>
      </c>
      <c r="Q1141" s="73" t="s">
        <v>43</v>
      </c>
      <c r="R1141" s="62"/>
    </row>
    <row r="1142" ht="27.6" spans="1:18">
      <c r="A1142" s="58">
        <v>1119</v>
      </c>
      <c r="B1142" s="74">
        <v>45782</v>
      </c>
      <c r="C1142" s="60" t="s">
        <v>191</v>
      </c>
      <c r="D1142" s="61" t="s">
        <v>35</v>
      </c>
      <c r="E1142" s="62" t="s">
        <v>73</v>
      </c>
      <c r="F1142" s="105" t="s">
        <v>36</v>
      </c>
      <c r="G1142" s="62" t="s">
        <v>131</v>
      </c>
      <c r="H1142" s="62" t="s">
        <v>46</v>
      </c>
      <c r="I1142" s="66" t="s">
        <v>398</v>
      </c>
      <c r="J1142" s="62" t="s">
        <v>40</v>
      </c>
      <c r="K1142" s="67" t="s">
        <v>1901</v>
      </c>
      <c r="L1142" s="70"/>
      <c r="M1142" s="62"/>
      <c r="N1142" s="62"/>
      <c r="O1142" s="69"/>
      <c r="P1142" s="59" t="s">
        <v>42</v>
      </c>
      <c r="Q1142" s="73" t="s">
        <v>43</v>
      </c>
      <c r="R1142" s="62" t="s">
        <v>141</v>
      </c>
    </row>
    <row r="1143" ht="13.8" spans="1:18">
      <c r="A1143" s="58">
        <v>1120</v>
      </c>
      <c r="B1143" s="74">
        <v>45781</v>
      </c>
      <c r="C1143" s="60" t="s">
        <v>49</v>
      </c>
      <c r="D1143" s="61" t="s">
        <v>35</v>
      </c>
      <c r="E1143" s="62" t="s">
        <v>73</v>
      </c>
      <c r="F1143" s="105" t="s">
        <v>135</v>
      </c>
      <c r="G1143" s="62" t="s">
        <v>82</v>
      </c>
      <c r="H1143" s="62" t="s">
        <v>94</v>
      </c>
      <c r="I1143" s="66" t="s">
        <v>1902</v>
      </c>
      <c r="J1143" s="62" t="s">
        <v>137</v>
      </c>
      <c r="K1143" s="67" t="s">
        <v>194</v>
      </c>
      <c r="L1143" s="70"/>
      <c r="M1143" s="62"/>
      <c r="N1143" s="62"/>
      <c r="O1143" s="69"/>
      <c r="P1143" s="59" t="s">
        <v>42</v>
      </c>
      <c r="Q1143" s="62" t="s">
        <v>8</v>
      </c>
      <c r="R1143" s="62"/>
    </row>
    <row r="1144" ht="13.8" spans="1:18">
      <c r="A1144" s="58">
        <v>1121</v>
      </c>
      <c r="B1144" s="74">
        <v>45783</v>
      </c>
      <c r="C1144" s="60" t="s">
        <v>1903</v>
      </c>
      <c r="D1144" s="61" t="s">
        <v>35</v>
      </c>
      <c r="E1144" s="62" t="s">
        <v>73</v>
      </c>
      <c r="F1144" s="105" t="s">
        <v>36</v>
      </c>
      <c r="G1144" s="62" t="s">
        <v>82</v>
      </c>
      <c r="H1144" s="62" t="s">
        <v>150</v>
      </c>
      <c r="I1144" s="66" t="s">
        <v>1904</v>
      </c>
      <c r="J1144" s="62" t="s">
        <v>53</v>
      </c>
      <c r="K1144" s="67" t="s">
        <v>1905</v>
      </c>
      <c r="L1144" s="70"/>
      <c r="M1144" s="62"/>
      <c r="N1144" s="62"/>
      <c r="O1144" s="69"/>
      <c r="P1144" s="59" t="s">
        <v>42</v>
      </c>
      <c r="Q1144" s="73" t="s">
        <v>43</v>
      </c>
      <c r="R1144" s="62"/>
    </row>
    <row r="1145" ht="13.8" spans="1:18">
      <c r="A1145" s="58">
        <v>1122</v>
      </c>
      <c r="B1145" s="74">
        <v>45784</v>
      </c>
      <c r="C1145" s="60" t="s">
        <v>777</v>
      </c>
      <c r="D1145" s="61" t="s">
        <v>35</v>
      </c>
      <c r="E1145" s="62" t="s">
        <v>73</v>
      </c>
      <c r="F1145" s="105" t="s">
        <v>36</v>
      </c>
      <c r="G1145" s="62" t="s">
        <v>131</v>
      </c>
      <c r="H1145" s="62" t="s">
        <v>56</v>
      </c>
      <c r="I1145" s="66" t="s">
        <v>1906</v>
      </c>
      <c r="J1145" s="62" t="s">
        <v>40</v>
      </c>
      <c r="K1145" s="67" t="s">
        <v>430</v>
      </c>
      <c r="L1145" s="70"/>
      <c r="M1145" s="62"/>
      <c r="N1145" s="62"/>
      <c r="O1145" s="69"/>
      <c r="P1145" s="59" t="s">
        <v>42</v>
      </c>
      <c r="Q1145" s="73" t="s">
        <v>43</v>
      </c>
      <c r="R1145" s="62"/>
    </row>
    <row r="1146" ht="13.8" spans="1:18">
      <c r="A1146" s="58">
        <v>1123</v>
      </c>
      <c r="B1146" s="74">
        <v>45785</v>
      </c>
      <c r="C1146" s="60" t="s">
        <v>1903</v>
      </c>
      <c r="D1146" s="61" t="s">
        <v>35</v>
      </c>
      <c r="E1146" s="62" t="s">
        <v>73</v>
      </c>
      <c r="F1146" s="105" t="s">
        <v>36</v>
      </c>
      <c r="G1146" s="62" t="s">
        <v>45</v>
      </c>
      <c r="H1146" s="62" t="s">
        <v>38</v>
      </c>
      <c r="I1146" s="66" t="s">
        <v>1907</v>
      </c>
      <c r="J1146" s="62" t="s">
        <v>40</v>
      </c>
      <c r="K1146" s="67" t="s">
        <v>1884</v>
      </c>
      <c r="L1146" s="70"/>
      <c r="M1146" s="62"/>
      <c r="N1146" s="62"/>
      <c r="O1146" s="69"/>
      <c r="P1146" s="59" t="s">
        <v>42</v>
      </c>
      <c r="Q1146" s="73" t="s">
        <v>43</v>
      </c>
      <c r="R1146" s="62"/>
    </row>
    <row r="1147" ht="13.8" spans="1:18">
      <c r="A1147" s="58">
        <v>1124</v>
      </c>
      <c r="B1147" s="74">
        <v>45788</v>
      </c>
      <c r="C1147" s="60" t="s">
        <v>1908</v>
      </c>
      <c r="D1147" s="61" t="s">
        <v>35</v>
      </c>
      <c r="E1147" s="62" t="s">
        <v>73</v>
      </c>
      <c r="F1147" s="105" t="s">
        <v>36</v>
      </c>
      <c r="G1147" s="62" t="s">
        <v>61</v>
      </c>
      <c r="H1147" s="62" t="s">
        <v>94</v>
      </c>
      <c r="I1147" s="66" t="s">
        <v>184</v>
      </c>
      <c r="J1147" s="62" t="s">
        <v>40</v>
      </c>
      <c r="K1147" s="67" t="s">
        <v>1909</v>
      </c>
      <c r="L1147" s="70"/>
      <c r="M1147" s="62"/>
      <c r="N1147" s="62"/>
      <c r="O1147" s="69"/>
      <c r="P1147" s="59" t="s">
        <v>42</v>
      </c>
      <c r="Q1147" s="73" t="s">
        <v>43</v>
      </c>
      <c r="R1147" s="62"/>
    </row>
    <row r="1148" ht="13.8" spans="1:18">
      <c r="A1148" s="58">
        <v>1125</v>
      </c>
      <c r="B1148" s="74">
        <v>45787</v>
      </c>
      <c r="C1148" s="60" t="s">
        <v>191</v>
      </c>
      <c r="D1148" s="61" t="s">
        <v>35</v>
      </c>
      <c r="E1148" s="62" t="s">
        <v>73</v>
      </c>
      <c r="F1148" s="105" t="s">
        <v>36</v>
      </c>
      <c r="G1148" s="62" t="s">
        <v>45</v>
      </c>
      <c r="H1148" s="62" t="s">
        <v>38</v>
      </c>
      <c r="I1148" s="66" t="s">
        <v>1910</v>
      </c>
      <c r="J1148" s="62" t="s">
        <v>91</v>
      </c>
      <c r="K1148" s="67" t="s">
        <v>1911</v>
      </c>
      <c r="L1148" s="70"/>
      <c r="M1148" s="62"/>
      <c r="N1148" s="62"/>
      <c r="O1148" s="69"/>
      <c r="P1148" s="59" t="s">
        <v>42</v>
      </c>
      <c r="Q1148" s="73" t="s">
        <v>43</v>
      </c>
      <c r="R1148" s="62"/>
    </row>
    <row r="1149" ht="13.8" spans="1:18">
      <c r="A1149" s="58">
        <v>1126</v>
      </c>
      <c r="B1149" s="74">
        <v>45789</v>
      </c>
      <c r="C1149" s="60" t="s">
        <v>777</v>
      </c>
      <c r="D1149" s="61" t="s">
        <v>35</v>
      </c>
      <c r="E1149" s="62" t="s">
        <v>73</v>
      </c>
      <c r="F1149" s="105" t="s">
        <v>36</v>
      </c>
      <c r="G1149" s="62" t="s">
        <v>82</v>
      </c>
      <c r="H1149" s="62" t="s">
        <v>56</v>
      </c>
      <c r="I1149" s="66" t="s">
        <v>431</v>
      </c>
      <c r="J1149" s="62" t="s">
        <v>40</v>
      </c>
      <c r="K1149" s="67" t="s">
        <v>430</v>
      </c>
      <c r="L1149" s="70"/>
      <c r="M1149" s="62"/>
      <c r="N1149" s="62"/>
      <c r="O1149" s="69"/>
      <c r="P1149" s="59" t="s">
        <v>42</v>
      </c>
      <c r="Q1149" s="73" t="s">
        <v>43</v>
      </c>
      <c r="R1149" s="62"/>
    </row>
    <row r="1150" ht="13.8" spans="1:18">
      <c r="A1150" s="58">
        <v>1127</v>
      </c>
      <c r="B1150" s="74">
        <v>45790</v>
      </c>
      <c r="C1150" s="60" t="s">
        <v>1912</v>
      </c>
      <c r="D1150" s="61" t="s">
        <v>35</v>
      </c>
      <c r="E1150" s="62" t="s">
        <v>73</v>
      </c>
      <c r="F1150" s="105" t="s">
        <v>36</v>
      </c>
      <c r="G1150" s="62" t="s">
        <v>588</v>
      </c>
      <c r="H1150" s="62" t="s">
        <v>94</v>
      </c>
      <c r="I1150" s="66" t="s">
        <v>1913</v>
      </c>
      <c r="J1150" s="62" t="s">
        <v>40</v>
      </c>
      <c r="K1150" s="67" t="s">
        <v>426</v>
      </c>
      <c r="L1150" s="70"/>
      <c r="M1150" s="62"/>
      <c r="N1150" s="62"/>
      <c r="O1150" s="69"/>
      <c r="P1150" s="59" t="s">
        <v>42</v>
      </c>
      <c r="Q1150" s="73" t="s">
        <v>43</v>
      </c>
      <c r="R1150" s="62"/>
    </row>
    <row r="1151" ht="13.8" spans="1:18">
      <c r="A1151" s="58">
        <v>1128</v>
      </c>
      <c r="B1151" s="74">
        <v>45791</v>
      </c>
      <c r="C1151" s="60" t="s">
        <v>1908</v>
      </c>
      <c r="D1151" s="61" t="s">
        <v>35</v>
      </c>
      <c r="E1151" s="62" t="s">
        <v>73</v>
      </c>
      <c r="F1151" s="105" t="s">
        <v>36</v>
      </c>
      <c r="G1151" s="62" t="s">
        <v>37</v>
      </c>
      <c r="H1151" s="62" t="s">
        <v>56</v>
      </c>
      <c r="I1151" s="66" t="s">
        <v>1914</v>
      </c>
      <c r="J1151" s="62" t="s">
        <v>40</v>
      </c>
      <c r="K1151" s="67" t="s">
        <v>1915</v>
      </c>
      <c r="L1151" s="70"/>
      <c r="M1151" s="62"/>
      <c r="N1151" s="62"/>
      <c r="O1151" s="69"/>
      <c r="P1151" s="59" t="s">
        <v>42</v>
      </c>
      <c r="Q1151" s="73" t="s">
        <v>43</v>
      </c>
      <c r="R1151" s="62"/>
    </row>
    <row r="1152" ht="27.6" spans="1:18">
      <c r="A1152" s="58">
        <v>1129</v>
      </c>
      <c r="B1152" s="74">
        <v>45792</v>
      </c>
      <c r="C1152" s="60" t="s">
        <v>1903</v>
      </c>
      <c r="D1152" s="61" t="s">
        <v>35</v>
      </c>
      <c r="E1152" s="62" t="s">
        <v>73</v>
      </c>
      <c r="F1152" s="105" t="s">
        <v>36</v>
      </c>
      <c r="G1152" s="62" t="s">
        <v>65</v>
      </c>
      <c r="H1152" s="62" t="s">
        <v>132</v>
      </c>
      <c r="I1152" s="66" t="s">
        <v>1916</v>
      </c>
      <c r="J1152" s="62" t="s">
        <v>91</v>
      </c>
      <c r="K1152" s="67" t="s">
        <v>1917</v>
      </c>
      <c r="L1152" s="70"/>
      <c r="M1152" s="62"/>
      <c r="N1152" s="62"/>
      <c r="O1152" s="69"/>
      <c r="P1152" s="59" t="s">
        <v>42</v>
      </c>
      <c r="Q1152" s="73" t="s">
        <v>43</v>
      </c>
      <c r="R1152" s="62"/>
    </row>
    <row r="1153" ht="13.8" spans="1:18">
      <c r="A1153" s="58">
        <v>1130</v>
      </c>
      <c r="B1153" s="74">
        <v>45794</v>
      </c>
      <c r="C1153" s="69" t="s">
        <v>1076</v>
      </c>
      <c r="D1153" s="61" t="s">
        <v>35</v>
      </c>
      <c r="E1153" s="62" t="s">
        <v>1077</v>
      </c>
      <c r="F1153" s="105" t="s">
        <v>36</v>
      </c>
      <c r="G1153" s="62" t="s">
        <v>131</v>
      </c>
      <c r="H1153" s="62" t="s">
        <v>38</v>
      </c>
      <c r="I1153" s="66" t="s">
        <v>1918</v>
      </c>
      <c r="J1153" s="62" t="s">
        <v>40</v>
      </c>
      <c r="K1153" s="67" t="s">
        <v>1919</v>
      </c>
      <c r="L1153" s="70"/>
      <c r="M1153" s="62"/>
      <c r="N1153" s="62"/>
      <c r="O1153" s="69"/>
      <c r="P1153" s="59" t="s">
        <v>42</v>
      </c>
      <c r="Q1153" s="73" t="s">
        <v>43</v>
      </c>
      <c r="R1153" s="62"/>
    </row>
    <row r="1154" ht="27.6" spans="1:18">
      <c r="A1154" s="58">
        <v>1131</v>
      </c>
      <c r="B1154" s="74">
        <v>45795</v>
      </c>
      <c r="C1154" s="60" t="s">
        <v>198</v>
      </c>
      <c r="D1154" s="61" t="s">
        <v>35</v>
      </c>
      <c r="E1154" s="62" t="s">
        <v>73</v>
      </c>
      <c r="F1154" s="105" t="s">
        <v>36</v>
      </c>
      <c r="G1154" s="62" t="s">
        <v>55</v>
      </c>
      <c r="H1154" s="62" t="s">
        <v>46</v>
      </c>
      <c r="I1154" s="66" t="s">
        <v>1920</v>
      </c>
      <c r="J1154" s="62" t="s">
        <v>91</v>
      </c>
      <c r="K1154" s="67" t="s">
        <v>1921</v>
      </c>
      <c r="L1154" s="70"/>
      <c r="M1154" s="62"/>
      <c r="N1154" s="62"/>
      <c r="O1154" s="69"/>
      <c r="P1154" s="59" t="s">
        <v>42</v>
      </c>
      <c r="Q1154" s="73" t="s">
        <v>43</v>
      </c>
      <c r="R1154" s="62"/>
    </row>
    <row r="1155" ht="13.8" spans="1:18">
      <c r="A1155" s="58">
        <v>1132</v>
      </c>
      <c r="B1155" s="74">
        <v>45796</v>
      </c>
      <c r="C1155" s="60" t="s">
        <v>1922</v>
      </c>
      <c r="D1155" s="61" t="s">
        <v>35</v>
      </c>
      <c r="E1155" s="62" t="s">
        <v>73</v>
      </c>
      <c r="F1155" s="105" t="s">
        <v>36</v>
      </c>
      <c r="G1155" s="62" t="s">
        <v>82</v>
      </c>
      <c r="H1155" s="62" t="s">
        <v>56</v>
      </c>
      <c r="I1155" s="66" t="s">
        <v>1923</v>
      </c>
      <c r="J1155" s="62" t="s">
        <v>40</v>
      </c>
      <c r="K1155" s="67" t="s">
        <v>1924</v>
      </c>
      <c r="L1155" s="70"/>
      <c r="M1155" s="62"/>
      <c r="N1155" s="62"/>
      <c r="O1155" s="69"/>
      <c r="P1155" s="59" t="s">
        <v>42</v>
      </c>
      <c r="Q1155" s="73" t="s">
        <v>43</v>
      </c>
      <c r="R1155" s="62"/>
    </row>
    <row r="1156" ht="13.8" spans="1:18">
      <c r="A1156" s="58">
        <v>1133</v>
      </c>
      <c r="B1156" s="74">
        <v>45797</v>
      </c>
      <c r="C1156" s="69" t="s">
        <v>1076</v>
      </c>
      <c r="D1156" s="61" t="s">
        <v>35</v>
      </c>
      <c r="E1156" s="62" t="s">
        <v>1077</v>
      </c>
      <c r="F1156" s="105" t="s">
        <v>36</v>
      </c>
      <c r="G1156" s="62" t="s">
        <v>131</v>
      </c>
      <c r="H1156" s="62" t="s">
        <v>38</v>
      </c>
      <c r="I1156" s="66" t="s">
        <v>1925</v>
      </c>
      <c r="J1156" s="62" t="s">
        <v>91</v>
      </c>
      <c r="K1156" s="67" t="s">
        <v>1926</v>
      </c>
      <c r="L1156" s="70"/>
      <c r="M1156" s="62"/>
      <c r="N1156" s="62"/>
      <c r="O1156" s="69"/>
      <c r="P1156" s="59" t="s">
        <v>42</v>
      </c>
      <c r="Q1156" s="73" t="s">
        <v>43</v>
      </c>
      <c r="R1156" s="62"/>
    </row>
    <row r="1157" ht="13.8" spans="1:18">
      <c r="A1157" s="58">
        <v>1134</v>
      </c>
      <c r="B1157" s="74">
        <v>45798</v>
      </c>
      <c r="C1157" s="60" t="s">
        <v>49</v>
      </c>
      <c r="D1157" s="61" t="s">
        <v>35</v>
      </c>
      <c r="E1157" s="62" t="s">
        <v>73</v>
      </c>
      <c r="F1157" s="105" t="s">
        <v>36</v>
      </c>
      <c r="G1157" s="62" t="s">
        <v>45</v>
      </c>
      <c r="H1157" s="62" t="s">
        <v>56</v>
      </c>
      <c r="I1157" s="66" t="s">
        <v>1927</v>
      </c>
      <c r="J1157" s="62" t="s">
        <v>40</v>
      </c>
      <c r="K1157" s="67" t="s">
        <v>1928</v>
      </c>
      <c r="L1157" s="70"/>
      <c r="M1157" s="62"/>
      <c r="N1157" s="62"/>
      <c r="O1157" s="69"/>
      <c r="P1157" s="59" t="s">
        <v>42</v>
      </c>
      <c r="Q1157" s="73" t="s">
        <v>43</v>
      </c>
      <c r="R1157" s="62"/>
    </row>
    <row r="1158" ht="13.8" spans="1:18">
      <c r="A1158" s="58">
        <v>1135</v>
      </c>
      <c r="B1158" s="74">
        <v>45799</v>
      </c>
      <c r="C1158" s="60" t="s">
        <v>1922</v>
      </c>
      <c r="D1158" s="61" t="s">
        <v>35</v>
      </c>
      <c r="E1158" s="62" t="s">
        <v>73</v>
      </c>
      <c r="F1158" s="105" t="s">
        <v>36</v>
      </c>
      <c r="G1158" s="62" t="s">
        <v>61</v>
      </c>
      <c r="H1158" s="62" t="s">
        <v>56</v>
      </c>
      <c r="I1158" s="66" t="s">
        <v>1929</v>
      </c>
      <c r="J1158" s="62" t="s">
        <v>40</v>
      </c>
      <c r="K1158" s="67" t="s">
        <v>1930</v>
      </c>
      <c r="L1158" s="70"/>
      <c r="M1158" s="62"/>
      <c r="N1158" s="62"/>
      <c r="O1158" s="69"/>
      <c r="P1158" s="59" t="s">
        <v>42</v>
      </c>
      <c r="Q1158" s="73" t="s">
        <v>43</v>
      </c>
      <c r="R1158" s="62"/>
    </row>
    <row r="1159" ht="13.8" spans="1:18">
      <c r="A1159" s="58">
        <v>1136</v>
      </c>
      <c r="B1159" s="74">
        <v>45801</v>
      </c>
      <c r="C1159" s="60" t="s">
        <v>49</v>
      </c>
      <c r="D1159" s="61" t="s">
        <v>35</v>
      </c>
      <c r="E1159" s="62" t="s">
        <v>73</v>
      </c>
      <c r="F1159" s="105" t="s">
        <v>36</v>
      </c>
      <c r="G1159" s="62" t="s">
        <v>45</v>
      </c>
      <c r="H1159" s="62" t="s">
        <v>56</v>
      </c>
      <c r="I1159" s="66" t="s">
        <v>1931</v>
      </c>
      <c r="J1159" s="62" t="s">
        <v>40</v>
      </c>
      <c r="K1159" s="67" t="s">
        <v>1932</v>
      </c>
      <c r="L1159" s="70"/>
      <c r="M1159" s="62"/>
      <c r="N1159" s="62"/>
      <c r="O1159" s="69"/>
      <c r="P1159" s="59" t="s">
        <v>42</v>
      </c>
      <c r="Q1159" s="73" t="s">
        <v>43</v>
      </c>
      <c r="R1159" s="62"/>
    </row>
    <row r="1160" ht="27.6" spans="1:18">
      <c r="A1160" s="58">
        <v>1137</v>
      </c>
      <c r="B1160" s="74">
        <v>45802</v>
      </c>
      <c r="C1160" s="60" t="s">
        <v>1933</v>
      </c>
      <c r="D1160" s="61" t="s">
        <v>35</v>
      </c>
      <c r="E1160" s="62" t="s">
        <v>73</v>
      </c>
      <c r="F1160" s="105" t="s">
        <v>36</v>
      </c>
      <c r="G1160" s="62" t="s">
        <v>82</v>
      </c>
      <c r="H1160" s="62" t="s">
        <v>46</v>
      </c>
      <c r="I1160" s="66" t="s">
        <v>412</v>
      </c>
      <c r="J1160" s="62" t="s">
        <v>40</v>
      </c>
      <c r="K1160" s="67" t="s">
        <v>413</v>
      </c>
      <c r="L1160" s="70"/>
      <c r="M1160" s="62"/>
      <c r="N1160" s="62"/>
      <c r="O1160" s="69"/>
      <c r="P1160" s="59" t="s">
        <v>42</v>
      </c>
      <c r="Q1160" s="73" t="s">
        <v>43</v>
      </c>
      <c r="R1160" s="62"/>
    </row>
    <row r="1161" ht="13.8" spans="1:18">
      <c r="A1161" s="58">
        <v>1138</v>
      </c>
      <c r="B1161" s="74">
        <v>45803</v>
      </c>
      <c r="C1161" s="60" t="s">
        <v>49</v>
      </c>
      <c r="D1161" s="61" t="s">
        <v>35</v>
      </c>
      <c r="E1161" s="62" t="s">
        <v>73</v>
      </c>
      <c r="F1161" s="105" t="s">
        <v>36</v>
      </c>
      <c r="G1161" s="62" t="s">
        <v>588</v>
      </c>
      <c r="H1161" s="62" t="s">
        <v>56</v>
      </c>
      <c r="I1161" s="66" t="s">
        <v>1934</v>
      </c>
      <c r="J1161" s="62" t="s">
        <v>53</v>
      </c>
      <c r="K1161" s="67" t="s">
        <v>430</v>
      </c>
      <c r="L1161" s="70"/>
      <c r="M1161" s="62"/>
      <c r="N1161" s="62"/>
      <c r="O1161" s="69"/>
      <c r="P1161" s="59" t="s">
        <v>42</v>
      </c>
      <c r="Q1161" s="73" t="s">
        <v>43</v>
      </c>
      <c r="R1161" s="62"/>
    </row>
    <row r="1162" ht="13.8" spans="1:18">
      <c r="A1162" s="58">
        <v>1139</v>
      </c>
      <c r="B1162" s="74">
        <v>45790</v>
      </c>
      <c r="C1162" s="60" t="s">
        <v>191</v>
      </c>
      <c r="D1162" s="61" t="s">
        <v>35</v>
      </c>
      <c r="E1162" s="62" t="s">
        <v>73</v>
      </c>
      <c r="F1162" s="105" t="s">
        <v>36</v>
      </c>
      <c r="G1162" s="62" t="s">
        <v>37</v>
      </c>
      <c r="H1162" s="62" t="s">
        <v>56</v>
      </c>
      <c r="I1162" s="66" t="s">
        <v>1935</v>
      </c>
      <c r="J1162" s="62" t="s">
        <v>40</v>
      </c>
      <c r="K1162" s="67" t="s">
        <v>1936</v>
      </c>
      <c r="L1162" s="70"/>
      <c r="M1162" s="62"/>
      <c r="N1162" s="62"/>
      <c r="O1162" s="69"/>
      <c r="P1162" s="59" t="s">
        <v>42</v>
      </c>
      <c r="Q1162" s="73" t="s">
        <v>43</v>
      </c>
      <c r="R1162" s="62"/>
    </row>
    <row r="1163" ht="27.6" spans="1:18">
      <c r="A1163" s="58">
        <v>1140</v>
      </c>
      <c r="B1163" s="74">
        <v>45791</v>
      </c>
      <c r="C1163" s="60" t="s">
        <v>1903</v>
      </c>
      <c r="D1163" s="61" t="s">
        <v>35</v>
      </c>
      <c r="E1163" s="62" t="s">
        <v>73</v>
      </c>
      <c r="F1163" s="105" t="s">
        <v>36</v>
      </c>
      <c r="G1163" s="62" t="s">
        <v>65</v>
      </c>
      <c r="H1163" s="62" t="s">
        <v>38</v>
      </c>
      <c r="I1163" s="66" t="s">
        <v>219</v>
      </c>
      <c r="J1163" s="62" t="s">
        <v>91</v>
      </c>
      <c r="K1163" s="67" t="s">
        <v>1937</v>
      </c>
      <c r="L1163" s="70"/>
      <c r="M1163" s="62"/>
      <c r="N1163" s="62"/>
      <c r="O1163" s="69"/>
      <c r="P1163" s="59" t="s">
        <v>42</v>
      </c>
      <c r="Q1163" s="73" t="s">
        <v>43</v>
      </c>
      <c r="R1163" s="62"/>
    </row>
    <row r="1164" ht="13.8" spans="1:18">
      <c r="A1164" s="58">
        <v>1141</v>
      </c>
      <c r="B1164" s="74">
        <v>45792</v>
      </c>
      <c r="C1164" s="60" t="s">
        <v>1938</v>
      </c>
      <c r="D1164" s="61" t="s">
        <v>35</v>
      </c>
      <c r="E1164" s="62" t="s">
        <v>73</v>
      </c>
      <c r="F1164" s="105" t="s">
        <v>36</v>
      </c>
      <c r="G1164" s="62" t="s">
        <v>131</v>
      </c>
      <c r="H1164" s="62" t="s">
        <v>94</v>
      </c>
      <c r="I1164" s="66" t="s">
        <v>1448</v>
      </c>
      <c r="J1164" s="62" t="s">
        <v>40</v>
      </c>
      <c r="K1164" s="67" t="s">
        <v>1939</v>
      </c>
      <c r="L1164" s="70"/>
      <c r="M1164" s="62"/>
      <c r="N1164" s="62"/>
      <c r="O1164" s="69"/>
      <c r="P1164" s="59" t="s">
        <v>42</v>
      </c>
      <c r="Q1164" s="73" t="s">
        <v>43</v>
      </c>
      <c r="R1164" s="62"/>
    </row>
    <row r="1165" ht="13.8" spans="1:18">
      <c r="A1165" s="58">
        <v>1142</v>
      </c>
      <c r="B1165" s="74">
        <v>45794</v>
      </c>
      <c r="C1165" s="60" t="s">
        <v>1933</v>
      </c>
      <c r="D1165" s="61" t="s">
        <v>35</v>
      </c>
      <c r="E1165" s="62" t="s">
        <v>73</v>
      </c>
      <c r="F1165" s="105" t="s">
        <v>36</v>
      </c>
      <c r="G1165" s="62" t="s">
        <v>55</v>
      </c>
      <c r="H1165" s="62" t="s">
        <v>56</v>
      </c>
      <c r="I1165" s="66" t="s">
        <v>373</v>
      </c>
      <c r="J1165" s="62" t="s">
        <v>40</v>
      </c>
      <c r="K1165" s="67" t="s">
        <v>1940</v>
      </c>
      <c r="L1165" s="70"/>
      <c r="M1165" s="62"/>
      <c r="N1165" s="62"/>
      <c r="O1165" s="69"/>
      <c r="P1165" s="59" t="s">
        <v>42</v>
      </c>
      <c r="Q1165" s="73" t="s">
        <v>43</v>
      </c>
      <c r="R1165" s="62"/>
    </row>
    <row r="1166" ht="13.8" spans="1:18">
      <c r="A1166" s="58">
        <v>1143</v>
      </c>
      <c r="B1166" s="74">
        <v>45795</v>
      </c>
      <c r="C1166" s="60" t="s">
        <v>1938</v>
      </c>
      <c r="D1166" s="61" t="s">
        <v>35</v>
      </c>
      <c r="E1166" s="62" t="s">
        <v>73</v>
      </c>
      <c r="F1166" s="105" t="s">
        <v>36</v>
      </c>
      <c r="G1166" s="62" t="s">
        <v>61</v>
      </c>
      <c r="H1166" s="62" t="s">
        <v>56</v>
      </c>
      <c r="I1166" s="66" t="s">
        <v>1941</v>
      </c>
      <c r="J1166" s="62" t="s">
        <v>40</v>
      </c>
      <c r="K1166" s="67" t="s">
        <v>1942</v>
      </c>
      <c r="L1166" s="70"/>
      <c r="M1166" s="62"/>
      <c r="N1166" s="62"/>
      <c r="O1166" s="69"/>
      <c r="P1166" s="59" t="s">
        <v>42</v>
      </c>
      <c r="Q1166" s="73" t="s">
        <v>43</v>
      </c>
      <c r="R1166" s="62"/>
    </row>
    <row r="1167" ht="13.8" spans="1:18">
      <c r="A1167" s="58">
        <v>1144</v>
      </c>
      <c r="B1167" s="74">
        <v>45796</v>
      </c>
      <c r="C1167" s="60" t="s">
        <v>49</v>
      </c>
      <c r="D1167" s="61" t="s">
        <v>35</v>
      </c>
      <c r="E1167" s="62" t="s">
        <v>73</v>
      </c>
      <c r="F1167" s="105" t="s">
        <v>36</v>
      </c>
      <c r="G1167" s="62" t="s">
        <v>45</v>
      </c>
      <c r="H1167" s="62" t="s">
        <v>56</v>
      </c>
      <c r="I1167" s="66" t="s">
        <v>1166</v>
      </c>
      <c r="J1167" s="62" t="s">
        <v>40</v>
      </c>
      <c r="K1167" s="67" t="s">
        <v>1332</v>
      </c>
      <c r="L1167" s="70"/>
      <c r="M1167" s="62"/>
      <c r="N1167" s="62"/>
      <c r="O1167" s="69"/>
      <c r="P1167" s="59" t="s">
        <v>42</v>
      </c>
      <c r="Q1167" s="73" t="s">
        <v>43</v>
      </c>
      <c r="R1167" s="62"/>
    </row>
    <row r="1168" ht="13.8" spans="1:18">
      <c r="A1168" s="58">
        <v>1145</v>
      </c>
      <c r="B1168" s="74">
        <v>45799</v>
      </c>
      <c r="C1168" s="60" t="s">
        <v>198</v>
      </c>
      <c r="D1168" s="61" t="s">
        <v>35</v>
      </c>
      <c r="E1168" s="62" t="s">
        <v>73</v>
      </c>
      <c r="F1168" s="105" t="s">
        <v>36</v>
      </c>
      <c r="G1168" s="62" t="s">
        <v>82</v>
      </c>
      <c r="H1168" s="62" t="s">
        <v>94</v>
      </c>
      <c r="I1168" s="66" t="s">
        <v>509</v>
      </c>
      <c r="J1168" s="62" t="s">
        <v>53</v>
      </c>
      <c r="K1168" s="67" t="s">
        <v>1943</v>
      </c>
      <c r="L1168" s="70"/>
      <c r="M1168" s="62"/>
      <c r="N1168" s="62"/>
      <c r="O1168" s="69"/>
      <c r="P1168" s="59" t="s">
        <v>42</v>
      </c>
      <c r="Q1168" s="73" t="s">
        <v>43</v>
      </c>
      <c r="R1168" s="62"/>
    </row>
    <row r="1169" ht="13.8" spans="1:18">
      <c r="A1169" s="58">
        <v>1146</v>
      </c>
      <c r="B1169" s="74">
        <v>45801</v>
      </c>
      <c r="C1169" s="60" t="s">
        <v>1933</v>
      </c>
      <c r="D1169" s="61" t="s">
        <v>35</v>
      </c>
      <c r="E1169" s="62" t="s">
        <v>73</v>
      </c>
      <c r="F1169" s="105" t="s">
        <v>36</v>
      </c>
      <c r="G1169" s="62" t="s">
        <v>93</v>
      </c>
      <c r="H1169" s="62" t="s">
        <v>132</v>
      </c>
      <c r="I1169" s="66" t="s">
        <v>515</v>
      </c>
      <c r="J1169" s="62" t="s">
        <v>40</v>
      </c>
      <c r="K1169" s="67" t="s">
        <v>1944</v>
      </c>
      <c r="L1169" s="70"/>
      <c r="M1169" s="62"/>
      <c r="N1169" s="62"/>
      <c r="O1169" s="69"/>
      <c r="P1169" s="59" t="s">
        <v>42</v>
      </c>
      <c r="Q1169" s="73" t="s">
        <v>43</v>
      </c>
      <c r="R1169" s="62"/>
    </row>
    <row r="1170" ht="27.6" spans="1:18">
      <c r="A1170" s="58">
        <v>1147</v>
      </c>
      <c r="B1170" s="74">
        <v>45792</v>
      </c>
      <c r="C1170" s="69" t="s">
        <v>1076</v>
      </c>
      <c r="D1170" s="61" t="s">
        <v>35</v>
      </c>
      <c r="E1170" s="62" t="s">
        <v>1077</v>
      </c>
      <c r="F1170" s="105" t="s">
        <v>36</v>
      </c>
      <c r="G1170" s="62" t="s">
        <v>65</v>
      </c>
      <c r="H1170" s="62" t="s">
        <v>132</v>
      </c>
      <c r="I1170" s="66" t="s">
        <v>521</v>
      </c>
      <c r="J1170" s="62" t="s">
        <v>40</v>
      </c>
      <c r="K1170" s="67" t="s">
        <v>1443</v>
      </c>
      <c r="L1170" s="70"/>
      <c r="M1170" s="62"/>
      <c r="N1170" s="62"/>
      <c r="O1170" s="69"/>
      <c r="P1170" s="59" t="s">
        <v>42</v>
      </c>
      <c r="Q1170" s="73" t="s">
        <v>43</v>
      </c>
      <c r="R1170" s="62"/>
    </row>
    <row r="1171" ht="27.6" spans="1:18">
      <c r="A1171" s="58">
        <v>1148</v>
      </c>
      <c r="B1171" s="74">
        <v>45785</v>
      </c>
      <c r="C1171" s="60" t="s">
        <v>191</v>
      </c>
      <c r="D1171" s="61" t="s">
        <v>35</v>
      </c>
      <c r="E1171" s="62" t="s">
        <v>73</v>
      </c>
      <c r="F1171" s="105" t="s">
        <v>135</v>
      </c>
      <c r="G1171" s="62" t="s">
        <v>131</v>
      </c>
      <c r="H1171" s="62" t="s">
        <v>94</v>
      </c>
      <c r="I1171" s="66" t="s">
        <v>1945</v>
      </c>
      <c r="J1171" s="62" t="s">
        <v>137</v>
      </c>
      <c r="K1171" s="67" t="s">
        <v>554</v>
      </c>
      <c r="L1171" s="70"/>
      <c r="M1171" s="62"/>
      <c r="N1171" s="62"/>
      <c r="O1171" s="69"/>
      <c r="P1171" s="59" t="s">
        <v>42</v>
      </c>
      <c r="Q1171" s="62" t="s">
        <v>8</v>
      </c>
      <c r="R1171" s="62"/>
    </row>
    <row r="1172" ht="27.6" spans="1:18">
      <c r="A1172" s="58">
        <v>1149</v>
      </c>
      <c r="B1172" s="74">
        <v>45790</v>
      </c>
      <c r="C1172" s="60" t="s">
        <v>1933</v>
      </c>
      <c r="D1172" s="61" t="s">
        <v>35</v>
      </c>
      <c r="E1172" s="62" t="s">
        <v>73</v>
      </c>
      <c r="F1172" s="105" t="s">
        <v>135</v>
      </c>
      <c r="G1172" s="62" t="s">
        <v>45</v>
      </c>
      <c r="H1172" s="62" t="s">
        <v>132</v>
      </c>
      <c r="I1172" s="66" t="s">
        <v>319</v>
      </c>
      <c r="J1172" s="62" t="s">
        <v>137</v>
      </c>
      <c r="K1172" s="67" t="s">
        <v>204</v>
      </c>
      <c r="L1172" s="70"/>
      <c r="M1172" s="62"/>
      <c r="N1172" s="62"/>
      <c r="O1172" s="69"/>
      <c r="P1172" s="59" t="s">
        <v>42</v>
      </c>
      <c r="Q1172" s="62" t="s">
        <v>8</v>
      </c>
      <c r="R1172" s="62"/>
    </row>
    <row r="1173" ht="27.6" spans="1:18">
      <c r="A1173" s="58">
        <v>1150</v>
      </c>
      <c r="B1173" s="74">
        <v>45794</v>
      </c>
      <c r="C1173" s="60" t="s">
        <v>198</v>
      </c>
      <c r="D1173" s="61" t="s">
        <v>35</v>
      </c>
      <c r="E1173" s="62" t="s">
        <v>73</v>
      </c>
      <c r="F1173" s="105" t="s">
        <v>135</v>
      </c>
      <c r="G1173" s="62" t="s">
        <v>61</v>
      </c>
      <c r="H1173" s="62" t="s">
        <v>132</v>
      </c>
      <c r="I1173" s="66" t="s">
        <v>1141</v>
      </c>
      <c r="J1173" s="62" t="s">
        <v>137</v>
      </c>
      <c r="K1173" s="67" t="s">
        <v>1946</v>
      </c>
      <c r="L1173" s="70"/>
      <c r="M1173" s="62"/>
      <c r="N1173" s="62"/>
      <c r="O1173" s="69"/>
      <c r="P1173" s="59" t="s">
        <v>42</v>
      </c>
      <c r="Q1173" s="62" t="s">
        <v>8</v>
      </c>
      <c r="R1173" s="62"/>
    </row>
    <row r="1174" ht="13.8" spans="1:18">
      <c r="A1174" s="58">
        <v>1151</v>
      </c>
      <c r="B1174" s="74">
        <v>45799</v>
      </c>
      <c r="C1174" s="60" t="s">
        <v>49</v>
      </c>
      <c r="D1174" s="61" t="s">
        <v>35</v>
      </c>
      <c r="E1174" s="62" t="s">
        <v>73</v>
      </c>
      <c r="F1174" s="105" t="s">
        <v>135</v>
      </c>
      <c r="G1174" s="62" t="s">
        <v>45</v>
      </c>
      <c r="H1174" s="62" t="s">
        <v>56</v>
      </c>
      <c r="I1174" s="66" t="s">
        <v>1947</v>
      </c>
      <c r="J1174" s="62" t="s">
        <v>137</v>
      </c>
      <c r="K1174" s="67" t="s">
        <v>204</v>
      </c>
      <c r="L1174" s="70"/>
      <c r="M1174" s="62"/>
      <c r="N1174" s="62"/>
      <c r="O1174" s="69"/>
      <c r="P1174" s="59" t="s">
        <v>42</v>
      </c>
      <c r="Q1174" s="62" t="s">
        <v>8</v>
      </c>
      <c r="R1174" s="62"/>
    </row>
    <row r="1175" ht="13.8" spans="1:18">
      <c r="A1175" s="58">
        <v>1152</v>
      </c>
      <c r="B1175" s="74">
        <v>45785</v>
      </c>
      <c r="C1175" s="60" t="s">
        <v>191</v>
      </c>
      <c r="D1175" s="61" t="s">
        <v>35</v>
      </c>
      <c r="E1175" s="62" t="s">
        <v>73</v>
      </c>
      <c r="F1175" s="105" t="s">
        <v>50</v>
      </c>
      <c r="G1175" s="62" t="s">
        <v>45</v>
      </c>
      <c r="H1175" s="62" t="s">
        <v>132</v>
      </c>
      <c r="I1175" s="66" t="s">
        <v>1335</v>
      </c>
      <c r="J1175" s="62" t="s">
        <v>91</v>
      </c>
      <c r="K1175" s="67" t="s">
        <v>1859</v>
      </c>
      <c r="L1175" s="70"/>
      <c r="M1175" s="62"/>
      <c r="N1175" s="62"/>
      <c r="O1175" s="69"/>
      <c r="P1175" s="59" t="s">
        <v>42</v>
      </c>
      <c r="Q1175" s="73" t="s">
        <v>43</v>
      </c>
      <c r="R1175" s="62"/>
    </row>
    <row r="1176" ht="13.8" spans="1:18">
      <c r="A1176" s="58">
        <v>1153</v>
      </c>
      <c r="B1176" s="74">
        <v>45790</v>
      </c>
      <c r="C1176" s="60" t="s">
        <v>1938</v>
      </c>
      <c r="D1176" s="61" t="s">
        <v>35</v>
      </c>
      <c r="E1176" s="62" t="s">
        <v>73</v>
      </c>
      <c r="F1176" s="105" t="s">
        <v>50</v>
      </c>
      <c r="G1176" s="62" t="s">
        <v>61</v>
      </c>
      <c r="H1176" s="62" t="s">
        <v>94</v>
      </c>
      <c r="I1176" s="66" t="s">
        <v>1948</v>
      </c>
      <c r="J1176" s="62" t="s">
        <v>40</v>
      </c>
      <c r="K1176" s="67" t="s">
        <v>1949</v>
      </c>
      <c r="L1176" s="70"/>
      <c r="M1176" s="62"/>
      <c r="N1176" s="62"/>
      <c r="O1176" s="69"/>
      <c r="P1176" s="59" t="s">
        <v>42</v>
      </c>
      <c r="Q1176" s="73" t="s">
        <v>43</v>
      </c>
      <c r="R1176" s="62"/>
    </row>
    <row r="1177" ht="27.6" spans="1:18">
      <c r="A1177" s="58">
        <v>1154</v>
      </c>
      <c r="B1177" s="74">
        <v>45794</v>
      </c>
      <c r="C1177" s="60" t="s">
        <v>49</v>
      </c>
      <c r="D1177" s="61" t="s">
        <v>35</v>
      </c>
      <c r="E1177" s="62" t="s">
        <v>73</v>
      </c>
      <c r="F1177" s="105" t="s">
        <v>50</v>
      </c>
      <c r="G1177" s="62" t="s">
        <v>45</v>
      </c>
      <c r="H1177" s="62" t="s">
        <v>1008</v>
      </c>
      <c r="I1177" s="66" t="s">
        <v>1950</v>
      </c>
      <c r="J1177" s="62" t="s">
        <v>40</v>
      </c>
      <c r="K1177" s="67" t="s">
        <v>1951</v>
      </c>
      <c r="L1177" s="70"/>
      <c r="M1177" s="62"/>
      <c r="N1177" s="62"/>
      <c r="O1177" s="69"/>
      <c r="P1177" s="59" t="s">
        <v>42</v>
      </c>
      <c r="Q1177" s="73" t="s">
        <v>43</v>
      </c>
      <c r="R1177" s="62"/>
    </row>
    <row r="1178" ht="13.8" spans="1:18">
      <c r="A1178" s="58">
        <v>1155</v>
      </c>
      <c r="B1178" s="74">
        <v>45799</v>
      </c>
      <c r="C1178" s="60" t="s">
        <v>1933</v>
      </c>
      <c r="D1178" s="61" t="s">
        <v>35</v>
      </c>
      <c r="E1178" s="62" t="s">
        <v>73</v>
      </c>
      <c r="F1178" s="105" t="s">
        <v>50</v>
      </c>
      <c r="G1178" s="62" t="s">
        <v>82</v>
      </c>
      <c r="H1178" s="62" t="s">
        <v>51</v>
      </c>
      <c r="I1178" s="66" t="s">
        <v>1952</v>
      </c>
      <c r="J1178" s="62" t="s">
        <v>91</v>
      </c>
      <c r="K1178" s="67" t="s">
        <v>1953</v>
      </c>
      <c r="L1178" s="70"/>
      <c r="M1178" s="62"/>
      <c r="N1178" s="62"/>
      <c r="O1178" s="69"/>
      <c r="P1178" s="59" t="s">
        <v>42</v>
      </c>
      <c r="Q1178" s="73" t="s">
        <v>43</v>
      </c>
      <c r="R1178" s="62"/>
    </row>
    <row r="1179" ht="27.6" spans="1:18">
      <c r="A1179" s="58">
        <v>1156</v>
      </c>
      <c r="B1179" s="74">
        <v>45797</v>
      </c>
      <c r="C1179" s="69" t="s">
        <v>1076</v>
      </c>
      <c r="D1179" s="61" t="s">
        <v>35</v>
      </c>
      <c r="E1179" s="62" t="s">
        <v>1077</v>
      </c>
      <c r="F1179" s="105" t="s">
        <v>50</v>
      </c>
      <c r="G1179" s="62" t="s">
        <v>131</v>
      </c>
      <c r="H1179" s="62" t="s">
        <v>360</v>
      </c>
      <c r="I1179" s="66" t="s">
        <v>1954</v>
      </c>
      <c r="J1179" s="62" t="s">
        <v>91</v>
      </c>
      <c r="K1179" s="67" t="s">
        <v>1955</v>
      </c>
      <c r="L1179" s="70"/>
      <c r="M1179" s="62"/>
      <c r="N1179" s="62"/>
      <c r="O1179" s="69"/>
      <c r="P1179" s="59" t="s">
        <v>42</v>
      </c>
      <c r="Q1179" s="73" t="s">
        <v>43</v>
      </c>
      <c r="R1179" s="62"/>
    </row>
    <row r="1180" ht="27.6" spans="1:18">
      <c r="A1180" s="58">
        <v>1157</v>
      </c>
      <c r="B1180" s="74">
        <v>45798</v>
      </c>
      <c r="C1180" s="60" t="s">
        <v>1938</v>
      </c>
      <c r="D1180" s="61" t="s">
        <v>35</v>
      </c>
      <c r="E1180" s="62" t="s">
        <v>73</v>
      </c>
      <c r="F1180" s="105" t="s">
        <v>50</v>
      </c>
      <c r="G1180" s="62" t="s">
        <v>65</v>
      </c>
      <c r="H1180" s="62" t="s">
        <v>132</v>
      </c>
      <c r="I1180" s="66" t="s">
        <v>336</v>
      </c>
      <c r="J1180" s="62" t="s">
        <v>91</v>
      </c>
      <c r="K1180" s="67" t="s">
        <v>1956</v>
      </c>
      <c r="L1180" s="70"/>
      <c r="M1180" s="62"/>
      <c r="N1180" s="62"/>
      <c r="O1180" s="69"/>
      <c r="P1180" s="59" t="s">
        <v>42</v>
      </c>
      <c r="Q1180" s="73" t="s">
        <v>43</v>
      </c>
      <c r="R1180" s="62"/>
    </row>
    <row r="1181" ht="13.8" spans="1:18">
      <c r="A1181" s="58">
        <v>1158</v>
      </c>
      <c r="B1181" s="74">
        <v>45799</v>
      </c>
      <c r="C1181" s="60" t="s">
        <v>1922</v>
      </c>
      <c r="D1181" s="61" t="s">
        <v>35</v>
      </c>
      <c r="E1181" s="62" t="s">
        <v>73</v>
      </c>
      <c r="F1181" s="105" t="s">
        <v>50</v>
      </c>
      <c r="G1181" s="62" t="s">
        <v>61</v>
      </c>
      <c r="H1181" s="62" t="s">
        <v>94</v>
      </c>
      <c r="I1181" s="66" t="s">
        <v>415</v>
      </c>
      <c r="J1181" s="62" t="s">
        <v>40</v>
      </c>
      <c r="K1181" s="67" t="s">
        <v>1404</v>
      </c>
      <c r="L1181" s="70"/>
      <c r="M1181" s="62"/>
      <c r="N1181" s="62"/>
      <c r="O1181" s="69"/>
      <c r="P1181" s="59" t="s">
        <v>42</v>
      </c>
      <c r="Q1181" s="73" t="s">
        <v>43</v>
      </c>
      <c r="R1181" s="62"/>
    </row>
    <row r="1182" ht="13.8" spans="1:18">
      <c r="A1182" s="58">
        <v>1159</v>
      </c>
      <c r="B1182" s="74">
        <v>45801</v>
      </c>
      <c r="C1182" s="60" t="s">
        <v>49</v>
      </c>
      <c r="D1182" s="61" t="s">
        <v>35</v>
      </c>
      <c r="E1182" s="62" t="s">
        <v>73</v>
      </c>
      <c r="F1182" s="105" t="s">
        <v>50</v>
      </c>
      <c r="G1182" s="62" t="s">
        <v>82</v>
      </c>
      <c r="H1182" s="62" t="s">
        <v>94</v>
      </c>
      <c r="I1182" s="66" t="s">
        <v>370</v>
      </c>
      <c r="J1182" s="62" t="s">
        <v>91</v>
      </c>
      <c r="K1182" s="67" t="s">
        <v>371</v>
      </c>
      <c r="L1182" s="70"/>
      <c r="M1182" s="62"/>
      <c r="N1182" s="62"/>
      <c r="O1182" s="69"/>
      <c r="P1182" s="59" t="s">
        <v>42</v>
      </c>
      <c r="Q1182" s="73" t="s">
        <v>43</v>
      </c>
      <c r="R1182" s="62"/>
    </row>
    <row r="1183" ht="13.8" spans="1:18">
      <c r="A1183" s="58">
        <v>1160</v>
      </c>
      <c r="B1183" s="74">
        <v>45784</v>
      </c>
      <c r="C1183" s="60" t="s">
        <v>191</v>
      </c>
      <c r="D1183" s="61" t="s">
        <v>35</v>
      </c>
      <c r="E1183" s="62" t="s">
        <v>73</v>
      </c>
      <c r="F1183" s="105" t="s">
        <v>50</v>
      </c>
      <c r="G1183" s="62" t="s">
        <v>131</v>
      </c>
      <c r="H1183" s="62" t="s">
        <v>51</v>
      </c>
      <c r="I1183" s="66" t="s">
        <v>367</v>
      </c>
      <c r="J1183" s="62" t="s">
        <v>91</v>
      </c>
      <c r="K1183" s="67" t="s">
        <v>1355</v>
      </c>
      <c r="L1183" s="70"/>
      <c r="M1183" s="62"/>
      <c r="N1183" s="62"/>
      <c r="O1183" s="69"/>
      <c r="P1183" s="59" t="s">
        <v>42</v>
      </c>
      <c r="Q1183" s="73" t="s">
        <v>43</v>
      </c>
      <c r="R1183" s="62"/>
    </row>
    <row r="1184" ht="27.6" spans="1:18">
      <c r="A1184" s="58">
        <v>1161</v>
      </c>
      <c r="B1184" s="74">
        <v>45785</v>
      </c>
      <c r="C1184" s="60" t="s">
        <v>1903</v>
      </c>
      <c r="D1184" s="61" t="s">
        <v>35</v>
      </c>
      <c r="E1184" s="62" t="s">
        <v>73</v>
      </c>
      <c r="F1184" s="105" t="s">
        <v>50</v>
      </c>
      <c r="G1184" s="62" t="s">
        <v>37</v>
      </c>
      <c r="H1184" s="62" t="s">
        <v>94</v>
      </c>
      <c r="I1184" s="66" t="s">
        <v>422</v>
      </c>
      <c r="J1184" s="62" t="s">
        <v>91</v>
      </c>
      <c r="K1184" s="67" t="s">
        <v>1957</v>
      </c>
      <c r="L1184" s="70"/>
      <c r="M1184" s="62"/>
      <c r="N1184" s="62"/>
      <c r="O1184" s="69"/>
      <c r="P1184" s="59" t="s">
        <v>42</v>
      </c>
      <c r="Q1184" s="73" t="s">
        <v>43</v>
      </c>
      <c r="R1184" s="62"/>
    </row>
    <row r="1185" ht="13.8" spans="1:18">
      <c r="A1185" s="58">
        <v>1162</v>
      </c>
      <c r="B1185" s="74">
        <v>45799</v>
      </c>
      <c r="C1185" s="60" t="s">
        <v>453</v>
      </c>
      <c r="D1185" s="61" t="s">
        <v>35</v>
      </c>
      <c r="E1185" s="62" t="s">
        <v>589</v>
      </c>
      <c r="F1185" s="105" t="s">
        <v>135</v>
      </c>
      <c r="G1185" s="62" t="s">
        <v>61</v>
      </c>
      <c r="H1185" s="62" t="s">
        <v>56</v>
      </c>
      <c r="I1185" s="66" t="s">
        <v>1947</v>
      </c>
      <c r="J1185" s="62" t="s">
        <v>137</v>
      </c>
      <c r="K1185" s="67" t="s">
        <v>1958</v>
      </c>
      <c r="L1185" s="70"/>
      <c r="M1185" s="62"/>
      <c r="N1185" s="62"/>
      <c r="O1185" s="69"/>
      <c r="P1185" s="59" t="s">
        <v>42</v>
      </c>
      <c r="Q1185" s="62" t="s">
        <v>8</v>
      </c>
      <c r="R1185" s="62"/>
    </row>
    <row r="1186" ht="27.6" spans="1:18">
      <c r="A1186" s="58">
        <v>1163</v>
      </c>
      <c r="B1186" s="74">
        <v>45792</v>
      </c>
      <c r="C1186" s="69" t="s">
        <v>1076</v>
      </c>
      <c r="D1186" s="61" t="s">
        <v>35</v>
      </c>
      <c r="E1186" s="62" t="s">
        <v>1077</v>
      </c>
      <c r="F1186" s="105" t="s">
        <v>135</v>
      </c>
      <c r="G1186" s="62" t="s">
        <v>45</v>
      </c>
      <c r="H1186" s="62" t="s">
        <v>38</v>
      </c>
      <c r="I1186" s="66" t="s">
        <v>560</v>
      </c>
      <c r="J1186" s="62" t="s">
        <v>137</v>
      </c>
      <c r="K1186" s="67" t="s">
        <v>1959</v>
      </c>
      <c r="L1186" s="70"/>
      <c r="M1186" s="62"/>
      <c r="N1186" s="62"/>
      <c r="O1186" s="69"/>
      <c r="P1186" s="59" t="s">
        <v>42</v>
      </c>
      <c r="Q1186" s="62" t="s">
        <v>8</v>
      </c>
      <c r="R1186" s="62"/>
    </row>
    <row r="1187" ht="27.6" spans="1:18">
      <c r="A1187" s="58">
        <v>1164</v>
      </c>
      <c r="B1187" s="74">
        <v>45789</v>
      </c>
      <c r="C1187" s="69" t="s">
        <v>1076</v>
      </c>
      <c r="D1187" s="61" t="s">
        <v>35</v>
      </c>
      <c r="E1187" s="62" t="s">
        <v>1077</v>
      </c>
      <c r="F1187" s="105" t="s">
        <v>135</v>
      </c>
      <c r="G1187" s="62" t="s">
        <v>61</v>
      </c>
      <c r="H1187" s="62" t="s">
        <v>132</v>
      </c>
      <c r="I1187" s="66" t="s">
        <v>1960</v>
      </c>
      <c r="J1187" s="62" t="s">
        <v>137</v>
      </c>
      <c r="K1187" s="67" t="s">
        <v>194</v>
      </c>
      <c r="L1187" s="70"/>
      <c r="M1187" s="62"/>
      <c r="N1187" s="62"/>
      <c r="O1187" s="69"/>
      <c r="P1187" s="59" t="s">
        <v>42</v>
      </c>
      <c r="Q1187" s="62" t="s">
        <v>8</v>
      </c>
      <c r="R1187" s="62"/>
    </row>
    <row r="1188" ht="27.6" spans="1:18">
      <c r="A1188" s="58">
        <v>1165</v>
      </c>
      <c r="B1188" s="74">
        <v>45790</v>
      </c>
      <c r="C1188" s="60" t="s">
        <v>1961</v>
      </c>
      <c r="D1188" s="61" t="s">
        <v>35</v>
      </c>
      <c r="E1188" s="62" t="s">
        <v>1962</v>
      </c>
      <c r="F1188" s="105" t="s">
        <v>135</v>
      </c>
      <c r="G1188" s="62" t="s">
        <v>45</v>
      </c>
      <c r="H1188" s="62" t="s">
        <v>132</v>
      </c>
      <c r="I1188" s="66" t="s">
        <v>1963</v>
      </c>
      <c r="J1188" s="62" t="s">
        <v>137</v>
      </c>
      <c r="K1188" s="67" t="s">
        <v>194</v>
      </c>
      <c r="L1188" s="70"/>
      <c r="M1188" s="62"/>
      <c r="N1188" s="62"/>
      <c r="O1188" s="69"/>
      <c r="P1188" s="59" t="s">
        <v>42</v>
      </c>
      <c r="Q1188" s="62" t="s">
        <v>8</v>
      </c>
      <c r="R1188" s="62"/>
    </row>
    <row r="1189" ht="13.8" spans="1:18">
      <c r="A1189" s="58">
        <v>1166</v>
      </c>
      <c r="B1189" s="74">
        <v>45794</v>
      </c>
      <c r="C1189" s="60" t="s">
        <v>453</v>
      </c>
      <c r="D1189" s="61" t="s">
        <v>35</v>
      </c>
      <c r="E1189" s="62" t="s">
        <v>589</v>
      </c>
      <c r="F1189" s="105" t="s">
        <v>135</v>
      </c>
      <c r="G1189" s="62" t="s">
        <v>82</v>
      </c>
      <c r="H1189" s="62" t="s">
        <v>56</v>
      </c>
      <c r="I1189" s="66" t="s">
        <v>1964</v>
      </c>
      <c r="J1189" s="62" t="s">
        <v>137</v>
      </c>
      <c r="K1189" s="67" t="s">
        <v>194</v>
      </c>
      <c r="L1189" s="70"/>
      <c r="M1189" s="62"/>
      <c r="N1189" s="62"/>
      <c r="O1189" s="69"/>
      <c r="P1189" s="59" t="s">
        <v>42</v>
      </c>
      <c r="Q1189" s="62" t="s">
        <v>8</v>
      </c>
      <c r="R1189" s="62"/>
    </row>
    <row r="1190" ht="27.6" spans="1:18">
      <c r="A1190" s="58">
        <v>1167</v>
      </c>
      <c r="B1190" s="74">
        <v>45791</v>
      </c>
      <c r="C1190" s="69" t="s">
        <v>1076</v>
      </c>
      <c r="D1190" s="61" t="s">
        <v>35</v>
      </c>
      <c r="E1190" s="62" t="s">
        <v>73</v>
      </c>
      <c r="F1190" s="105" t="s">
        <v>50</v>
      </c>
      <c r="G1190" s="62" t="s">
        <v>131</v>
      </c>
      <c r="H1190" s="62" t="s">
        <v>1008</v>
      </c>
      <c r="I1190" s="66" t="s">
        <v>189</v>
      </c>
      <c r="J1190" s="62" t="s">
        <v>53</v>
      </c>
      <c r="K1190" s="67" t="s">
        <v>190</v>
      </c>
      <c r="L1190" s="70"/>
      <c r="M1190" s="62"/>
      <c r="N1190" s="62"/>
      <c r="O1190" s="69"/>
      <c r="P1190" s="59" t="s">
        <v>42</v>
      </c>
      <c r="Q1190" s="73" t="s">
        <v>43</v>
      </c>
      <c r="R1190" s="62"/>
    </row>
    <row r="1191" ht="27.6" spans="1:18">
      <c r="A1191" s="58">
        <v>1168</v>
      </c>
      <c r="B1191" s="74">
        <v>45794</v>
      </c>
      <c r="C1191" s="60" t="s">
        <v>453</v>
      </c>
      <c r="D1191" s="61" t="s">
        <v>35</v>
      </c>
      <c r="E1191" s="62" t="s">
        <v>73</v>
      </c>
      <c r="F1191" s="105" t="s">
        <v>50</v>
      </c>
      <c r="G1191" s="62" t="s">
        <v>61</v>
      </c>
      <c r="H1191" s="62" t="s">
        <v>51</v>
      </c>
      <c r="I1191" s="66" t="s">
        <v>199</v>
      </c>
      <c r="J1191" s="62" t="s">
        <v>53</v>
      </c>
      <c r="K1191" s="67" t="s">
        <v>200</v>
      </c>
      <c r="L1191" s="70"/>
      <c r="M1191" s="62"/>
      <c r="N1191" s="62"/>
      <c r="O1191" s="69"/>
      <c r="P1191" s="59" t="s">
        <v>42</v>
      </c>
      <c r="Q1191" s="73" t="s">
        <v>43</v>
      </c>
      <c r="R1191" s="62"/>
    </row>
    <row r="1192" ht="27.6" spans="1:18">
      <c r="A1192" s="58">
        <v>1169</v>
      </c>
      <c r="B1192" s="74">
        <v>45796</v>
      </c>
      <c r="C1192" s="60" t="s">
        <v>1938</v>
      </c>
      <c r="D1192" s="61" t="s">
        <v>35</v>
      </c>
      <c r="E1192" s="62" t="s">
        <v>73</v>
      </c>
      <c r="F1192" s="105" t="s">
        <v>50</v>
      </c>
      <c r="G1192" s="62" t="s">
        <v>82</v>
      </c>
      <c r="H1192" s="62" t="s">
        <v>51</v>
      </c>
      <c r="I1192" s="66" t="s">
        <v>217</v>
      </c>
      <c r="J1192" s="62" t="s">
        <v>53</v>
      </c>
      <c r="K1192" s="67" t="s">
        <v>218</v>
      </c>
      <c r="L1192" s="70"/>
      <c r="M1192" s="62"/>
      <c r="N1192" s="62"/>
      <c r="O1192" s="69"/>
      <c r="P1192" s="59" t="s">
        <v>42</v>
      </c>
      <c r="Q1192" s="73" t="s">
        <v>43</v>
      </c>
      <c r="R1192" s="62"/>
    </row>
    <row r="1193" ht="27.6" spans="1:18">
      <c r="A1193" s="58">
        <v>1170</v>
      </c>
      <c r="B1193" s="74">
        <v>45788</v>
      </c>
      <c r="C1193" s="60" t="s">
        <v>1933</v>
      </c>
      <c r="D1193" s="61" t="s">
        <v>35</v>
      </c>
      <c r="E1193" s="62" t="s">
        <v>73</v>
      </c>
      <c r="F1193" s="105" t="s">
        <v>50</v>
      </c>
      <c r="G1193" s="62" t="s">
        <v>45</v>
      </c>
      <c r="H1193" s="62" t="s">
        <v>51</v>
      </c>
      <c r="I1193" s="66" t="s">
        <v>217</v>
      </c>
      <c r="J1193" s="62" t="s">
        <v>53</v>
      </c>
      <c r="K1193" s="67" t="s">
        <v>218</v>
      </c>
      <c r="L1193" s="70"/>
      <c r="M1193" s="62"/>
      <c r="N1193" s="62"/>
      <c r="O1193" s="69"/>
      <c r="P1193" s="59" t="s">
        <v>42</v>
      </c>
      <c r="Q1193" s="73" t="s">
        <v>43</v>
      </c>
      <c r="R1193" s="62"/>
    </row>
    <row r="1194" ht="13.8" spans="1:18">
      <c r="A1194" s="58">
        <v>1171</v>
      </c>
      <c r="B1194" s="74">
        <v>45778</v>
      </c>
      <c r="C1194" s="60" t="s">
        <v>1922</v>
      </c>
      <c r="D1194" s="61" t="s">
        <v>35</v>
      </c>
      <c r="E1194" s="62" t="s">
        <v>804</v>
      </c>
      <c r="F1194" s="105" t="s">
        <v>50</v>
      </c>
      <c r="G1194" s="62" t="s">
        <v>131</v>
      </c>
      <c r="H1194" s="62" t="s">
        <v>51</v>
      </c>
      <c r="I1194" s="66" t="s">
        <v>432</v>
      </c>
      <c r="J1194" s="62" t="s">
        <v>88</v>
      </c>
      <c r="K1194" s="67" t="s">
        <v>433</v>
      </c>
      <c r="L1194" s="70"/>
      <c r="M1194" s="62"/>
      <c r="N1194" s="62"/>
      <c r="O1194" s="69"/>
      <c r="P1194" s="59" t="s">
        <v>42</v>
      </c>
      <c r="Q1194" s="73" t="s">
        <v>43</v>
      </c>
      <c r="R1194" s="62"/>
    </row>
    <row r="1195" ht="27.6" spans="1:18">
      <c r="A1195" s="58">
        <v>1172</v>
      </c>
      <c r="B1195" s="74">
        <v>45791</v>
      </c>
      <c r="C1195" s="60" t="s">
        <v>1903</v>
      </c>
      <c r="D1195" s="61" t="s">
        <v>35</v>
      </c>
      <c r="E1195" s="62" t="s">
        <v>73</v>
      </c>
      <c r="F1195" s="105" t="s">
        <v>36</v>
      </c>
      <c r="G1195" s="62" t="s">
        <v>131</v>
      </c>
      <c r="H1195" s="62" t="s">
        <v>38</v>
      </c>
      <c r="I1195" s="66" t="s">
        <v>219</v>
      </c>
      <c r="J1195" s="62" t="s">
        <v>40</v>
      </c>
      <c r="K1195" s="67" t="s">
        <v>220</v>
      </c>
      <c r="L1195" s="70"/>
      <c r="M1195" s="62"/>
      <c r="N1195" s="62"/>
      <c r="O1195" s="69"/>
      <c r="P1195" s="59" t="s">
        <v>42</v>
      </c>
      <c r="Q1195" s="73" t="s">
        <v>43</v>
      </c>
      <c r="R1195" s="62"/>
    </row>
    <row r="1196" ht="13.8" spans="1:18">
      <c r="A1196" s="58">
        <v>1173</v>
      </c>
      <c r="B1196" s="74">
        <v>45797</v>
      </c>
      <c r="C1196" s="60" t="s">
        <v>1938</v>
      </c>
      <c r="D1196" s="61" t="s">
        <v>35</v>
      </c>
      <c r="E1196" s="62" t="s">
        <v>73</v>
      </c>
      <c r="F1196" s="105" t="s">
        <v>36</v>
      </c>
      <c r="G1196" s="62" t="s">
        <v>61</v>
      </c>
      <c r="H1196" s="62" t="s">
        <v>94</v>
      </c>
      <c r="I1196" s="66" t="s">
        <v>196</v>
      </c>
      <c r="J1196" s="62" t="s">
        <v>40</v>
      </c>
      <c r="K1196" s="67"/>
      <c r="L1196" s="70"/>
      <c r="M1196" s="62"/>
      <c r="N1196" s="62"/>
      <c r="O1196" s="69"/>
      <c r="P1196" s="59" t="s">
        <v>42</v>
      </c>
      <c r="Q1196" s="73" t="s">
        <v>43</v>
      </c>
      <c r="R1196" s="62"/>
    </row>
    <row r="1197" ht="27.6" spans="1:18">
      <c r="A1197" s="58">
        <v>1174</v>
      </c>
      <c r="B1197" s="74">
        <v>45797</v>
      </c>
      <c r="C1197" s="60" t="s">
        <v>1933</v>
      </c>
      <c r="D1197" s="61" t="s">
        <v>35</v>
      </c>
      <c r="E1197" s="62" t="s">
        <v>73</v>
      </c>
      <c r="F1197" s="105" t="s">
        <v>36</v>
      </c>
      <c r="G1197" s="62" t="s">
        <v>61</v>
      </c>
      <c r="H1197" s="62" t="s">
        <v>56</v>
      </c>
      <c r="I1197" s="66" t="s">
        <v>215</v>
      </c>
      <c r="J1197" s="62" t="s">
        <v>40</v>
      </c>
      <c r="K1197" s="67" t="s">
        <v>216</v>
      </c>
      <c r="L1197" s="70"/>
      <c r="M1197" s="62"/>
      <c r="N1197" s="62"/>
      <c r="O1197" s="69"/>
      <c r="P1197" s="59" t="s">
        <v>42</v>
      </c>
      <c r="Q1197" s="73" t="s">
        <v>43</v>
      </c>
      <c r="R1197" s="62"/>
    </row>
    <row r="1198" ht="13.8" spans="1:18">
      <c r="A1198" s="58">
        <v>1175</v>
      </c>
      <c r="B1198" s="74">
        <v>45785</v>
      </c>
      <c r="C1198" s="60" t="s">
        <v>1938</v>
      </c>
      <c r="D1198" s="61" t="s">
        <v>35</v>
      </c>
      <c r="E1198" s="62" t="s">
        <v>73</v>
      </c>
      <c r="F1198" s="105" t="s">
        <v>36</v>
      </c>
      <c r="G1198" s="62" t="s">
        <v>82</v>
      </c>
      <c r="H1198" s="62" t="s">
        <v>46</v>
      </c>
      <c r="I1198" s="66" t="s">
        <v>577</v>
      </c>
      <c r="J1198" s="62" t="s">
        <v>88</v>
      </c>
      <c r="K1198" s="67"/>
      <c r="L1198" s="70"/>
      <c r="M1198" s="62"/>
      <c r="N1198" s="62"/>
      <c r="O1198" s="69"/>
      <c r="P1198" s="59" t="s">
        <v>42</v>
      </c>
      <c r="Q1198" s="73" t="s">
        <v>43</v>
      </c>
      <c r="R1198" s="62"/>
    </row>
    <row r="1199" ht="13.8" spans="1:18">
      <c r="A1199" s="58">
        <v>1176</v>
      </c>
      <c r="B1199" s="74">
        <v>45799</v>
      </c>
      <c r="C1199" s="60" t="s">
        <v>49</v>
      </c>
      <c r="D1199" s="61" t="s">
        <v>35</v>
      </c>
      <c r="E1199" s="62" t="s">
        <v>73</v>
      </c>
      <c r="F1199" s="105" t="s">
        <v>36</v>
      </c>
      <c r="G1199" s="62" t="s">
        <v>45</v>
      </c>
      <c r="H1199" s="62" t="s">
        <v>94</v>
      </c>
      <c r="I1199" s="66" t="s">
        <v>415</v>
      </c>
      <c r="J1199" s="62" t="s">
        <v>91</v>
      </c>
      <c r="K1199" s="67" t="s">
        <v>1404</v>
      </c>
      <c r="L1199" s="70"/>
      <c r="M1199" s="62"/>
      <c r="N1199" s="62"/>
      <c r="O1199" s="69"/>
      <c r="P1199" s="59" t="s">
        <v>42</v>
      </c>
      <c r="Q1199" s="73" t="s">
        <v>43</v>
      </c>
      <c r="R1199" s="62"/>
    </row>
    <row r="1200" ht="27.6" spans="1:18">
      <c r="A1200" s="58">
        <v>1177</v>
      </c>
      <c r="B1200" s="74">
        <v>45793</v>
      </c>
      <c r="C1200" s="60" t="s">
        <v>198</v>
      </c>
      <c r="D1200" s="61" t="s">
        <v>35</v>
      </c>
      <c r="E1200" s="62" t="s">
        <v>73</v>
      </c>
      <c r="F1200" s="105" t="s">
        <v>36</v>
      </c>
      <c r="G1200" s="62" t="s">
        <v>45</v>
      </c>
      <c r="H1200" s="62" t="s">
        <v>1008</v>
      </c>
      <c r="I1200" s="66" t="s">
        <v>189</v>
      </c>
      <c r="J1200" s="62" t="s">
        <v>53</v>
      </c>
      <c r="K1200" s="67" t="s">
        <v>190</v>
      </c>
      <c r="L1200" s="70"/>
      <c r="M1200" s="62"/>
      <c r="N1200" s="62"/>
      <c r="O1200" s="69"/>
      <c r="P1200" s="59" t="s">
        <v>42</v>
      </c>
      <c r="Q1200" s="73" t="s">
        <v>43</v>
      </c>
      <c r="R1200" s="62"/>
    </row>
    <row r="1201" ht="13.8" spans="1:18">
      <c r="A1201" s="58">
        <v>1178</v>
      </c>
      <c r="B1201" s="74">
        <v>45785</v>
      </c>
      <c r="C1201" s="60" t="s">
        <v>1933</v>
      </c>
      <c r="D1201" s="61" t="s">
        <v>35</v>
      </c>
      <c r="E1201" s="62" t="s">
        <v>73</v>
      </c>
      <c r="F1201" s="105" t="s">
        <v>36</v>
      </c>
      <c r="G1201" s="62" t="s">
        <v>82</v>
      </c>
      <c r="H1201" s="62" t="s">
        <v>56</v>
      </c>
      <c r="I1201" s="66" t="s">
        <v>1149</v>
      </c>
      <c r="J1201" s="62" t="s">
        <v>53</v>
      </c>
      <c r="K1201" s="67" t="s">
        <v>1150</v>
      </c>
      <c r="L1201" s="70"/>
      <c r="M1201" s="62"/>
      <c r="N1201" s="62"/>
      <c r="O1201" s="69"/>
      <c r="P1201" s="59" t="s">
        <v>42</v>
      </c>
      <c r="Q1201" s="73" t="s">
        <v>43</v>
      </c>
      <c r="R1201" s="62"/>
    </row>
    <row r="1202" ht="27.6" spans="1:18">
      <c r="A1202" s="58">
        <v>1179</v>
      </c>
      <c r="B1202" s="74">
        <v>45790</v>
      </c>
      <c r="C1202" s="60" t="s">
        <v>191</v>
      </c>
      <c r="D1202" s="61" t="s">
        <v>35</v>
      </c>
      <c r="E1202" s="62" t="s">
        <v>73</v>
      </c>
      <c r="F1202" s="105" t="s">
        <v>36</v>
      </c>
      <c r="G1202" s="62" t="s">
        <v>131</v>
      </c>
      <c r="H1202" s="62" t="s">
        <v>56</v>
      </c>
      <c r="I1202" s="66" t="s">
        <v>1151</v>
      </c>
      <c r="J1202" s="62" t="s">
        <v>53</v>
      </c>
      <c r="K1202" s="67" t="s">
        <v>1152</v>
      </c>
      <c r="L1202" s="70"/>
      <c r="M1202" s="62"/>
      <c r="N1202" s="62"/>
      <c r="O1202" s="69"/>
      <c r="P1202" s="59" t="s">
        <v>42</v>
      </c>
      <c r="Q1202" s="73" t="s">
        <v>43</v>
      </c>
      <c r="R1202" s="62"/>
    </row>
    <row r="1203" ht="27.6" spans="1:18">
      <c r="A1203" s="58">
        <v>1180</v>
      </c>
      <c r="B1203" s="74">
        <v>45794</v>
      </c>
      <c r="C1203" s="60" t="s">
        <v>1903</v>
      </c>
      <c r="D1203" s="61" t="s">
        <v>35</v>
      </c>
      <c r="E1203" s="62" t="s">
        <v>73</v>
      </c>
      <c r="F1203" s="105" t="s">
        <v>36</v>
      </c>
      <c r="G1203" s="62" t="s">
        <v>131</v>
      </c>
      <c r="H1203" s="62" t="s">
        <v>56</v>
      </c>
      <c r="I1203" s="66" t="s">
        <v>215</v>
      </c>
      <c r="J1203" s="62" t="s">
        <v>53</v>
      </c>
      <c r="K1203" s="67" t="s">
        <v>216</v>
      </c>
      <c r="L1203" s="70"/>
      <c r="M1203" s="62"/>
      <c r="N1203" s="62"/>
      <c r="O1203" s="69"/>
      <c r="P1203" s="59" t="s">
        <v>42</v>
      </c>
      <c r="Q1203" s="73" t="s">
        <v>43</v>
      </c>
      <c r="R1203" s="62"/>
    </row>
    <row r="1204" ht="13.8" spans="1:18">
      <c r="A1204" s="58">
        <v>1181</v>
      </c>
      <c r="B1204" s="74">
        <v>45791</v>
      </c>
      <c r="C1204" s="60" t="s">
        <v>1938</v>
      </c>
      <c r="D1204" s="61" t="s">
        <v>35</v>
      </c>
      <c r="E1204" s="62" t="s">
        <v>73</v>
      </c>
      <c r="F1204" s="105" t="s">
        <v>36</v>
      </c>
      <c r="G1204" s="62" t="s">
        <v>55</v>
      </c>
      <c r="H1204" s="62" t="s">
        <v>56</v>
      </c>
      <c r="I1204" s="66" t="s">
        <v>1031</v>
      </c>
      <c r="J1204" s="62" t="s">
        <v>53</v>
      </c>
      <c r="K1204" s="67" t="s">
        <v>1032</v>
      </c>
      <c r="L1204" s="70"/>
      <c r="M1204" s="62"/>
      <c r="N1204" s="62"/>
      <c r="O1204" s="69"/>
      <c r="P1204" s="59" t="s">
        <v>42</v>
      </c>
      <c r="Q1204" s="73" t="s">
        <v>43</v>
      </c>
      <c r="R1204" s="62"/>
    </row>
    <row r="1205" ht="27.6" spans="1:18">
      <c r="A1205" s="58">
        <v>1182</v>
      </c>
      <c r="B1205" s="74">
        <v>45792</v>
      </c>
      <c r="C1205" s="60" t="s">
        <v>1933</v>
      </c>
      <c r="D1205" s="61" t="s">
        <v>35</v>
      </c>
      <c r="E1205" s="62" t="s">
        <v>73</v>
      </c>
      <c r="F1205" s="105" t="s">
        <v>36</v>
      </c>
      <c r="G1205" s="62" t="s">
        <v>45</v>
      </c>
      <c r="H1205" s="62" t="s">
        <v>56</v>
      </c>
      <c r="I1205" s="66" t="s">
        <v>178</v>
      </c>
      <c r="J1205" s="62" t="s">
        <v>91</v>
      </c>
      <c r="K1205" s="67" t="s">
        <v>179</v>
      </c>
      <c r="L1205" s="70"/>
      <c r="M1205" s="62"/>
      <c r="N1205" s="62"/>
      <c r="O1205" s="69"/>
      <c r="P1205" s="59" t="s">
        <v>42</v>
      </c>
      <c r="Q1205" s="73" t="s">
        <v>43</v>
      </c>
      <c r="R1205" s="62"/>
    </row>
    <row r="1206" ht="13.8" spans="1:18">
      <c r="A1206" s="58">
        <v>1183</v>
      </c>
      <c r="B1206" s="74">
        <v>45794</v>
      </c>
      <c r="C1206" s="60" t="s">
        <v>1938</v>
      </c>
      <c r="D1206" s="61" t="s">
        <v>35</v>
      </c>
      <c r="E1206" s="62" t="s">
        <v>73</v>
      </c>
      <c r="F1206" s="105" t="s">
        <v>36</v>
      </c>
      <c r="G1206" s="62" t="s">
        <v>61</v>
      </c>
      <c r="H1206" s="62" t="s">
        <v>56</v>
      </c>
      <c r="I1206" s="66" t="s">
        <v>1965</v>
      </c>
      <c r="J1206" s="62" t="s">
        <v>91</v>
      </c>
      <c r="K1206" s="67" t="s">
        <v>1966</v>
      </c>
      <c r="L1206" s="70"/>
      <c r="M1206" s="62"/>
      <c r="N1206" s="62"/>
      <c r="O1206" s="69"/>
      <c r="P1206" s="59" t="s">
        <v>42</v>
      </c>
      <c r="Q1206" s="73" t="s">
        <v>43</v>
      </c>
      <c r="R1206" s="62"/>
    </row>
    <row r="1207" ht="27.6" spans="1:18">
      <c r="A1207" s="58">
        <v>1184</v>
      </c>
      <c r="B1207" s="74">
        <v>45796</v>
      </c>
      <c r="C1207" s="60" t="s">
        <v>49</v>
      </c>
      <c r="D1207" s="61" t="s">
        <v>35</v>
      </c>
      <c r="E1207" s="62" t="s">
        <v>73</v>
      </c>
      <c r="F1207" s="105" t="s">
        <v>36</v>
      </c>
      <c r="G1207" s="62" t="s">
        <v>259</v>
      </c>
      <c r="H1207" s="62" t="s">
        <v>128</v>
      </c>
      <c r="I1207" s="66" t="s">
        <v>1967</v>
      </c>
      <c r="J1207" s="62" t="s">
        <v>88</v>
      </c>
      <c r="K1207" s="67" t="s">
        <v>1968</v>
      </c>
      <c r="L1207" s="70"/>
      <c r="M1207" s="62"/>
      <c r="N1207" s="62"/>
      <c r="O1207" s="69"/>
      <c r="P1207" s="59" t="s">
        <v>42</v>
      </c>
      <c r="Q1207" s="73" t="s">
        <v>43</v>
      </c>
      <c r="R1207" s="62"/>
    </row>
    <row r="1208" ht="13.8" spans="1:18">
      <c r="A1208" s="58">
        <v>1185</v>
      </c>
      <c r="B1208" s="74">
        <v>45794</v>
      </c>
      <c r="C1208" s="60" t="s">
        <v>198</v>
      </c>
      <c r="D1208" s="61" t="s">
        <v>35</v>
      </c>
      <c r="E1208" s="62" t="s">
        <v>73</v>
      </c>
      <c r="F1208" s="105" t="s">
        <v>36</v>
      </c>
      <c r="G1208" s="62" t="s">
        <v>61</v>
      </c>
      <c r="H1208" s="62" t="s">
        <v>56</v>
      </c>
      <c r="I1208" s="66" t="s">
        <v>1024</v>
      </c>
      <c r="J1208" s="62" t="s">
        <v>40</v>
      </c>
      <c r="K1208" s="67" t="s">
        <v>1407</v>
      </c>
      <c r="L1208" s="70"/>
      <c r="M1208" s="62"/>
      <c r="N1208" s="62"/>
      <c r="O1208" s="69"/>
      <c r="P1208" s="59" t="s">
        <v>42</v>
      </c>
      <c r="Q1208" s="73" t="s">
        <v>43</v>
      </c>
      <c r="R1208" s="62"/>
    </row>
    <row r="1209" ht="13.8" spans="1:18">
      <c r="A1209" s="58">
        <v>1186</v>
      </c>
      <c r="B1209" s="74">
        <v>45778</v>
      </c>
      <c r="C1209" s="60" t="s">
        <v>1933</v>
      </c>
      <c r="D1209" s="61" t="s">
        <v>35</v>
      </c>
      <c r="E1209" s="62" t="s">
        <v>73</v>
      </c>
      <c r="F1209" s="105" t="s">
        <v>36</v>
      </c>
      <c r="G1209" s="62" t="s">
        <v>588</v>
      </c>
      <c r="H1209" s="62" t="s">
        <v>56</v>
      </c>
      <c r="I1209" s="66" t="s">
        <v>437</v>
      </c>
      <c r="J1209" s="62" t="s">
        <v>40</v>
      </c>
      <c r="K1209" s="67" t="s">
        <v>438</v>
      </c>
      <c r="L1209" s="70"/>
      <c r="M1209" s="62"/>
      <c r="N1209" s="62"/>
      <c r="O1209" s="69"/>
      <c r="P1209" s="59" t="s">
        <v>42</v>
      </c>
      <c r="Q1209" s="73" t="s">
        <v>43</v>
      </c>
      <c r="R1209" s="62"/>
    </row>
    <row r="1210" ht="13.8" spans="1:18">
      <c r="A1210" s="58">
        <v>1187</v>
      </c>
      <c r="B1210" s="74">
        <v>45791</v>
      </c>
      <c r="C1210" s="69" t="s">
        <v>1076</v>
      </c>
      <c r="D1210" s="61" t="s">
        <v>35</v>
      </c>
      <c r="E1210" s="62" t="s">
        <v>1077</v>
      </c>
      <c r="F1210" s="105" t="s">
        <v>36</v>
      </c>
      <c r="G1210" s="62" t="s">
        <v>65</v>
      </c>
      <c r="H1210" s="62" t="s">
        <v>94</v>
      </c>
      <c r="I1210" s="66" t="s">
        <v>1028</v>
      </c>
      <c r="J1210" s="62" t="s">
        <v>91</v>
      </c>
      <c r="K1210" s="67" t="s">
        <v>1029</v>
      </c>
      <c r="L1210" s="70"/>
      <c r="M1210" s="62"/>
      <c r="N1210" s="62"/>
      <c r="O1210" s="69"/>
      <c r="P1210" s="59" t="s">
        <v>42</v>
      </c>
      <c r="Q1210" s="73" t="s">
        <v>43</v>
      </c>
      <c r="R1210" s="62"/>
    </row>
    <row r="1211" ht="27.6" spans="1:18">
      <c r="A1211" s="58">
        <v>1188</v>
      </c>
      <c r="B1211" s="74">
        <v>45797</v>
      </c>
      <c r="C1211" s="60" t="s">
        <v>1938</v>
      </c>
      <c r="D1211" s="61" t="s">
        <v>35</v>
      </c>
      <c r="E1211" s="62" t="s">
        <v>73</v>
      </c>
      <c r="F1211" s="105" t="s">
        <v>36</v>
      </c>
      <c r="G1211" s="62" t="s">
        <v>899</v>
      </c>
      <c r="H1211" s="62" t="s">
        <v>56</v>
      </c>
      <c r="I1211" s="66" t="s">
        <v>1172</v>
      </c>
      <c r="J1211" s="62" t="s">
        <v>40</v>
      </c>
      <c r="K1211" s="67" t="s">
        <v>1173</v>
      </c>
      <c r="L1211" s="70"/>
      <c r="M1211" s="62"/>
      <c r="N1211" s="62"/>
      <c r="O1211" s="69"/>
      <c r="P1211" s="59" t="s">
        <v>42</v>
      </c>
      <c r="Q1211" s="73" t="s">
        <v>43</v>
      </c>
      <c r="R1211" s="62"/>
    </row>
    <row r="1212" ht="27.6" spans="1:18">
      <c r="A1212" s="58">
        <v>1189</v>
      </c>
      <c r="B1212" s="74">
        <v>45797</v>
      </c>
      <c r="C1212" s="60" t="s">
        <v>1922</v>
      </c>
      <c r="D1212" s="61" t="s">
        <v>35</v>
      </c>
      <c r="E1212" s="62" t="s">
        <v>804</v>
      </c>
      <c r="F1212" s="105" t="s">
        <v>36</v>
      </c>
      <c r="G1212" s="62" t="s">
        <v>45</v>
      </c>
      <c r="H1212" s="62" t="s">
        <v>94</v>
      </c>
      <c r="I1212" s="66" t="s">
        <v>1174</v>
      </c>
      <c r="J1212" s="62" t="s">
        <v>40</v>
      </c>
      <c r="K1212" s="67" t="s">
        <v>1175</v>
      </c>
      <c r="L1212" s="70"/>
      <c r="M1212" s="62"/>
      <c r="N1212" s="62"/>
      <c r="O1212" s="69"/>
      <c r="P1212" s="59" t="s">
        <v>42</v>
      </c>
      <c r="Q1212" s="73" t="s">
        <v>43</v>
      </c>
      <c r="R1212" s="62"/>
    </row>
    <row r="1213" ht="13.8" spans="1:18">
      <c r="A1213" s="58">
        <v>1190</v>
      </c>
      <c r="B1213" s="74">
        <v>45799</v>
      </c>
      <c r="C1213" s="60" t="s">
        <v>1922</v>
      </c>
      <c r="D1213" s="61" t="s">
        <v>35</v>
      </c>
      <c r="E1213" s="62" t="s">
        <v>804</v>
      </c>
      <c r="F1213" s="105" t="s">
        <v>36</v>
      </c>
      <c r="G1213" s="62" t="s">
        <v>93</v>
      </c>
      <c r="H1213" s="62" t="s">
        <v>56</v>
      </c>
      <c r="I1213" s="66" t="s">
        <v>187</v>
      </c>
      <c r="J1213" s="62" t="s">
        <v>40</v>
      </c>
      <c r="K1213" s="67" t="s">
        <v>188</v>
      </c>
      <c r="L1213" s="70"/>
      <c r="M1213" s="62"/>
      <c r="N1213" s="62"/>
      <c r="O1213" s="69"/>
      <c r="P1213" s="59" t="s">
        <v>42</v>
      </c>
      <c r="Q1213" s="73" t="s">
        <v>43</v>
      </c>
      <c r="R1213" s="62"/>
    </row>
    <row r="1214" ht="13.8" spans="1:18">
      <c r="A1214" s="58">
        <v>1191</v>
      </c>
      <c r="B1214" s="74">
        <v>45799</v>
      </c>
      <c r="C1214" s="60" t="s">
        <v>1922</v>
      </c>
      <c r="D1214" s="61" t="s">
        <v>35</v>
      </c>
      <c r="E1214" s="62" t="s">
        <v>804</v>
      </c>
      <c r="F1214" s="105" t="s">
        <v>36</v>
      </c>
      <c r="G1214" s="62" t="s">
        <v>65</v>
      </c>
      <c r="H1214" s="62" t="s">
        <v>94</v>
      </c>
      <c r="I1214" s="66" t="s">
        <v>184</v>
      </c>
      <c r="J1214" s="62" t="s">
        <v>40</v>
      </c>
      <c r="K1214" s="67" t="s">
        <v>185</v>
      </c>
      <c r="L1214" s="70"/>
      <c r="M1214" s="62"/>
      <c r="N1214" s="62"/>
      <c r="O1214" s="69"/>
      <c r="P1214" s="59" t="s">
        <v>42</v>
      </c>
      <c r="Q1214" s="73" t="s">
        <v>43</v>
      </c>
      <c r="R1214" s="62"/>
    </row>
    <row r="1215" ht="13.8" spans="1:18">
      <c r="A1215" s="58">
        <v>1192</v>
      </c>
      <c r="B1215" s="74">
        <v>45803</v>
      </c>
      <c r="C1215" s="60" t="s">
        <v>1933</v>
      </c>
      <c r="D1215" s="61" t="s">
        <v>35</v>
      </c>
      <c r="E1215" s="62" t="s">
        <v>804</v>
      </c>
      <c r="F1215" s="105" t="s">
        <v>36</v>
      </c>
      <c r="G1215" s="62" t="s">
        <v>82</v>
      </c>
      <c r="H1215" s="62" t="s">
        <v>376</v>
      </c>
      <c r="I1215" s="66" t="s">
        <v>1082</v>
      </c>
      <c r="J1215" s="62" t="s">
        <v>40</v>
      </c>
      <c r="K1215" s="67" t="s">
        <v>1083</v>
      </c>
      <c r="L1215" s="70"/>
      <c r="M1215" s="62"/>
      <c r="N1215" s="62"/>
      <c r="O1215" s="69"/>
      <c r="P1215" s="59" t="s">
        <v>42</v>
      </c>
      <c r="Q1215" s="73" t="s">
        <v>43</v>
      </c>
      <c r="R1215" s="62"/>
    </row>
    <row r="1216" ht="27.6" spans="1:18">
      <c r="A1216" s="58">
        <v>1193</v>
      </c>
      <c r="B1216" s="74">
        <v>45790</v>
      </c>
      <c r="C1216" s="60" t="s">
        <v>191</v>
      </c>
      <c r="D1216" s="61" t="s">
        <v>35</v>
      </c>
      <c r="E1216" s="62" t="s">
        <v>804</v>
      </c>
      <c r="F1216" s="105" t="s">
        <v>36</v>
      </c>
      <c r="G1216" s="62" t="s">
        <v>61</v>
      </c>
      <c r="H1216" s="62" t="s">
        <v>128</v>
      </c>
      <c r="I1216" s="66" t="s">
        <v>1067</v>
      </c>
      <c r="J1216" s="62" t="s">
        <v>40</v>
      </c>
      <c r="K1216" s="67" t="s">
        <v>1084</v>
      </c>
      <c r="L1216" s="70"/>
      <c r="M1216" s="62"/>
      <c r="N1216" s="62"/>
      <c r="O1216" s="69"/>
      <c r="P1216" s="59" t="s">
        <v>42</v>
      </c>
      <c r="Q1216" s="73" t="s">
        <v>43</v>
      </c>
      <c r="R1216" s="62"/>
    </row>
    <row r="1217" ht="13.8" spans="1:18">
      <c r="A1217" s="58">
        <v>1194</v>
      </c>
      <c r="B1217" s="74">
        <v>45782</v>
      </c>
      <c r="C1217" s="60" t="s">
        <v>1938</v>
      </c>
      <c r="D1217" s="61" t="s">
        <v>35</v>
      </c>
      <c r="E1217" s="62" t="s">
        <v>804</v>
      </c>
      <c r="F1217" s="105" t="s">
        <v>36</v>
      </c>
      <c r="G1217" s="62" t="s">
        <v>45</v>
      </c>
      <c r="H1217" s="62" t="s">
        <v>56</v>
      </c>
      <c r="I1217" s="66" t="s">
        <v>429</v>
      </c>
      <c r="J1217" s="62" t="s">
        <v>40</v>
      </c>
      <c r="K1217" s="67" t="s">
        <v>430</v>
      </c>
      <c r="L1217" s="70"/>
      <c r="M1217" s="62"/>
      <c r="N1217" s="62"/>
      <c r="O1217" s="69"/>
      <c r="P1217" s="59" t="s">
        <v>42</v>
      </c>
      <c r="Q1217" s="73" t="s">
        <v>43</v>
      </c>
      <c r="R1217" s="62"/>
    </row>
    <row r="1218" ht="13.8" spans="1:18">
      <c r="A1218" s="58">
        <v>1195</v>
      </c>
      <c r="B1218" s="74">
        <v>45796</v>
      </c>
      <c r="C1218" s="60" t="s">
        <v>49</v>
      </c>
      <c r="D1218" s="61" t="s">
        <v>35</v>
      </c>
      <c r="E1218" s="62" t="s">
        <v>804</v>
      </c>
      <c r="F1218" s="105" t="s">
        <v>36</v>
      </c>
      <c r="G1218" s="62" t="s">
        <v>45</v>
      </c>
      <c r="H1218" s="62" t="s">
        <v>56</v>
      </c>
      <c r="I1218" s="66" t="s">
        <v>1341</v>
      </c>
      <c r="J1218" s="62" t="s">
        <v>40</v>
      </c>
      <c r="K1218" s="67" t="s">
        <v>1164</v>
      </c>
      <c r="L1218" s="70"/>
      <c r="M1218" s="62"/>
      <c r="N1218" s="62"/>
      <c r="O1218" s="69"/>
      <c r="P1218" s="59" t="s">
        <v>42</v>
      </c>
      <c r="Q1218" s="73" t="s">
        <v>43</v>
      </c>
      <c r="R1218" s="62"/>
    </row>
    <row r="1219" ht="27.6" spans="1:18">
      <c r="A1219" s="58">
        <v>1196</v>
      </c>
      <c r="B1219" s="74">
        <v>45790</v>
      </c>
      <c r="C1219" s="60" t="s">
        <v>71</v>
      </c>
      <c r="D1219" s="61" t="s">
        <v>72</v>
      </c>
      <c r="E1219" s="62" t="s">
        <v>804</v>
      </c>
      <c r="F1219" s="105" t="s">
        <v>36</v>
      </c>
      <c r="G1219" s="62" t="s">
        <v>74</v>
      </c>
      <c r="H1219" s="62" t="s">
        <v>128</v>
      </c>
      <c r="I1219" s="66" t="s">
        <v>75</v>
      </c>
      <c r="J1219" s="62" t="s">
        <v>40</v>
      </c>
      <c r="K1219" s="67" t="s">
        <v>76</v>
      </c>
      <c r="L1219" s="70"/>
      <c r="M1219" s="62"/>
      <c r="N1219" s="62"/>
      <c r="O1219" s="69"/>
      <c r="P1219" s="59" t="s">
        <v>42</v>
      </c>
      <c r="Q1219" s="73" t="s">
        <v>43</v>
      </c>
      <c r="R1219" s="62"/>
    </row>
    <row r="1220" ht="27.6" spans="1:18">
      <c r="A1220" s="58">
        <v>1197</v>
      </c>
      <c r="B1220" s="74">
        <v>45793</v>
      </c>
      <c r="C1220" s="60" t="s">
        <v>71</v>
      </c>
      <c r="D1220" s="61" t="s">
        <v>72</v>
      </c>
      <c r="E1220" s="62" t="s">
        <v>804</v>
      </c>
      <c r="F1220" s="105" t="s">
        <v>36</v>
      </c>
      <c r="G1220" s="62" t="s">
        <v>55</v>
      </c>
      <c r="H1220" s="62" t="s">
        <v>38</v>
      </c>
      <c r="I1220" s="66" t="s">
        <v>77</v>
      </c>
      <c r="J1220" s="62" t="s">
        <v>40</v>
      </c>
      <c r="K1220" s="67" t="s">
        <v>78</v>
      </c>
      <c r="L1220" s="70"/>
      <c r="M1220" s="62"/>
      <c r="N1220" s="62"/>
      <c r="O1220" s="69"/>
      <c r="P1220" s="59" t="s">
        <v>42</v>
      </c>
      <c r="Q1220" s="73" t="s">
        <v>43</v>
      </c>
      <c r="R1220" s="62"/>
    </row>
    <row r="1221" ht="27.6" spans="1:18">
      <c r="A1221" s="58">
        <v>1198</v>
      </c>
      <c r="B1221" s="74">
        <v>45797</v>
      </c>
      <c r="C1221" s="60" t="s">
        <v>71</v>
      </c>
      <c r="D1221" s="61" t="s">
        <v>72</v>
      </c>
      <c r="E1221" s="62" t="s">
        <v>804</v>
      </c>
      <c r="F1221" s="105" t="s">
        <v>36</v>
      </c>
      <c r="G1221" s="62" t="s">
        <v>79</v>
      </c>
      <c r="H1221" s="62" t="s">
        <v>56</v>
      </c>
      <c r="I1221" s="66" t="s">
        <v>80</v>
      </c>
      <c r="J1221" s="62" t="s">
        <v>40</v>
      </c>
      <c r="K1221" s="67" t="s">
        <v>81</v>
      </c>
      <c r="L1221" s="70"/>
      <c r="M1221" s="62"/>
      <c r="N1221" s="62"/>
      <c r="O1221" s="69"/>
      <c r="P1221" s="59" t="s">
        <v>42</v>
      </c>
      <c r="Q1221" s="73" t="s">
        <v>43</v>
      </c>
      <c r="R1221" s="62"/>
    </row>
    <row r="1222" ht="27.6" spans="1:18">
      <c r="A1222" s="58">
        <v>1199</v>
      </c>
      <c r="B1222" s="74">
        <v>45784</v>
      </c>
      <c r="C1222" s="60" t="s">
        <v>71</v>
      </c>
      <c r="D1222" s="61" t="s">
        <v>72</v>
      </c>
      <c r="E1222" s="62" t="s">
        <v>804</v>
      </c>
      <c r="F1222" s="105" t="s">
        <v>36</v>
      </c>
      <c r="G1222" s="62" t="s">
        <v>82</v>
      </c>
      <c r="H1222" s="62" t="s">
        <v>56</v>
      </c>
      <c r="I1222" s="66" t="s">
        <v>83</v>
      </c>
      <c r="J1222" s="62" t="s">
        <v>40</v>
      </c>
      <c r="K1222" s="67" t="s">
        <v>84</v>
      </c>
      <c r="L1222" s="70"/>
      <c r="M1222" s="62"/>
      <c r="N1222" s="62"/>
      <c r="O1222" s="69"/>
      <c r="P1222" s="59" t="s">
        <v>42</v>
      </c>
      <c r="Q1222" s="73" t="s">
        <v>43</v>
      </c>
      <c r="R1222" s="62"/>
    </row>
    <row r="1223" ht="13.8" spans="1:18">
      <c r="A1223" s="58">
        <v>1200</v>
      </c>
      <c r="B1223" s="74">
        <v>45809</v>
      </c>
      <c r="C1223" s="106" t="s">
        <v>659</v>
      </c>
      <c r="D1223" s="61" t="s">
        <v>72</v>
      </c>
      <c r="E1223" s="62" t="s">
        <v>804</v>
      </c>
      <c r="F1223" s="107" t="s">
        <v>50</v>
      </c>
      <c r="G1223" s="65" t="s">
        <v>1850</v>
      </c>
      <c r="H1223" s="65" t="s">
        <v>94</v>
      </c>
      <c r="I1223" s="109" t="s">
        <v>1969</v>
      </c>
      <c r="J1223" s="62" t="s">
        <v>40</v>
      </c>
      <c r="K1223" s="91" t="s">
        <v>1970</v>
      </c>
      <c r="L1223" s="87"/>
      <c r="M1223" s="65"/>
      <c r="N1223" s="65"/>
      <c r="O1223" s="84"/>
      <c r="P1223" s="110"/>
      <c r="Q1223" s="65" t="s">
        <v>43</v>
      </c>
      <c r="R1223" s="65"/>
    </row>
    <row r="1224" ht="27.6" spans="1:18">
      <c r="A1224" s="58">
        <v>1201</v>
      </c>
      <c r="B1224" s="74">
        <v>45810</v>
      </c>
      <c r="C1224" s="106" t="s">
        <v>659</v>
      </c>
      <c r="D1224" s="61" t="s">
        <v>72</v>
      </c>
      <c r="E1224" s="62" t="s">
        <v>804</v>
      </c>
      <c r="F1224" s="107" t="s">
        <v>50</v>
      </c>
      <c r="G1224" s="65" t="s">
        <v>45</v>
      </c>
      <c r="H1224" s="65" t="s">
        <v>622</v>
      </c>
      <c r="I1224" s="80" t="s">
        <v>1971</v>
      </c>
      <c r="J1224" s="62" t="s">
        <v>40</v>
      </c>
      <c r="K1224" s="91" t="s">
        <v>1972</v>
      </c>
      <c r="L1224" s="87"/>
      <c r="M1224" s="65"/>
      <c r="N1224" s="65"/>
      <c r="O1224" s="81"/>
      <c r="P1224" s="82"/>
      <c r="Q1224" s="65" t="s">
        <v>43</v>
      </c>
      <c r="R1224" s="65"/>
    </row>
    <row r="1225" ht="27.6" spans="1:18">
      <c r="A1225" s="58">
        <v>1202</v>
      </c>
      <c r="B1225" s="74">
        <v>45810</v>
      </c>
      <c r="C1225" s="106" t="s">
        <v>659</v>
      </c>
      <c r="D1225" s="61" t="s">
        <v>72</v>
      </c>
      <c r="E1225" s="62" t="s">
        <v>804</v>
      </c>
      <c r="F1225" s="107" t="s">
        <v>50</v>
      </c>
      <c r="G1225" s="65" t="s">
        <v>45</v>
      </c>
      <c r="H1225" s="65" t="s">
        <v>622</v>
      </c>
      <c r="I1225" s="80" t="s">
        <v>1973</v>
      </c>
      <c r="J1225" s="62" t="s">
        <v>40</v>
      </c>
      <c r="K1225" s="91" t="s">
        <v>1974</v>
      </c>
      <c r="L1225" s="87"/>
      <c r="M1225" s="65"/>
      <c r="N1225" s="65"/>
      <c r="O1225" s="81"/>
      <c r="P1225" s="82"/>
      <c r="Q1225" s="65" t="s">
        <v>43</v>
      </c>
      <c r="R1225" s="65"/>
    </row>
    <row r="1226" ht="26.4" spans="1:18">
      <c r="A1226" s="58">
        <v>1203</v>
      </c>
      <c r="B1226" s="74">
        <v>45811</v>
      </c>
      <c r="C1226" s="106" t="s">
        <v>659</v>
      </c>
      <c r="D1226" s="61" t="s">
        <v>72</v>
      </c>
      <c r="E1226" s="62" t="s">
        <v>804</v>
      </c>
      <c r="F1226" s="107" t="s">
        <v>50</v>
      </c>
      <c r="G1226" s="65" t="s">
        <v>45</v>
      </c>
      <c r="H1226" s="65" t="s">
        <v>51</v>
      </c>
      <c r="I1226" s="80" t="s">
        <v>1975</v>
      </c>
      <c r="J1226" s="62" t="s">
        <v>88</v>
      </c>
      <c r="K1226" s="91" t="s">
        <v>1976</v>
      </c>
      <c r="L1226" s="87"/>
      <c r="M1226" s="65"/>
      <c r="N1226" s="65"/>
      <c r="O1226" s="81"/>
      <c r="P1226" s="82"/>
      <c r="Q1226" s="65" t="s">
        <v>43</v>
      </c>
      <c r="R1226" s="65"/>
    </row>
    <row r="1227" ht="26.4" spans="1:18">
      <c r="A1227" s="58">
        <v>1204</v>
      </c>
      <c r="B1227" s="74">
        <v>45809</v>
      </c>
      <c r="C1227" s="106" t="s">
        <v>659</v>
      </c>
      <c r="D1227" s="61" t="s">
        <v>72</v>
      </c>
      <c r="E1227" s="62" t="s">
        <v>804</v>
      </c>
      <c r="F1227" s="107" t="s">
        <v>36</v>
      </c>
      <c r="G1227" s="65" t="s">
        <v>61</v>
      </c>
      <c r="H1227" s="65" t="s">
        <v>989</v>
      </c>
      <c r="I1227" s="80" t="s">
        <v>1977</v>
      </c>
      <c r="J1227" s="62" t="s">
        <v>88</v>
      </c>
      <c r="K1227" s="91" t="s">
        <v>1978</v>
      </c>
      <c r="L1227" s="87"/>
      <c r="M1227" s="65"/>
      <c r="N1227" s="65"/>
      <c r="O1227" s="81"/>
      <c r="P1227" s="82"/>
      <c r="Q1227" s="65" t="s">
        <v>43</v>
      </c>
      <c r="R1227" s="65"/>
    </row>
    <row r="1228" ht="27.6" spans="1:18">
      <c r="A1228" s="58">
        <v>1205</v>
      </c>
      <c r="B1228" s="74">
        <v>45809</v>
      </c>
      <c r="C1228" s="106" t="s">
        <v>659</v>
      </c>
      <c r="D1228" s="61" t="s">
        <v>72</v>
      </c>
      <c r="E1228" s="62" t="s">
        <v>804</v>
      </c>
      <c r="F1228" s="107" t="s">
        <v>36</v>
      </c>
      <c r="G1228" s="65" t="s">
        <v>55</v>
      </c>
      <c r="H1228" s="65" t="s">
        <v>66</v>
      </c>
      <c r="I1228" s="80" t="s">
        <v>1979</v>
      </c>
      <c r="J1228" s="62" t="s">
        <v>88</v>
      </c>
      <c r="K1228" s="91" t="s">
        <v>1980</v>
      </c>
      <c r="L1228" s="87"/>
      <c r="M1228" s="65"/>
      <c r="N1228" s="65"/>
      <c r="O1228" s="81"/>
      <c r="P1228" s="82"/>
      <c r="Q1228" s="65" t="s">
        <v>43</v>
      </c>
      <c r="R1228" s="65"/>
    </row>
    <row r="1229" ht="27.6" spans="1:18">
      <c r="A1229" s="58">
        <v>1206</v>
      </c>
      <c r="B1229" s="74">
        <v>45810</v>
      </c>
      <c r="C1229" s="106" t="s">
        <v>659</v>
      </c>
      <c r="D1229" s="61" t="s">
        <v>72</v>
      </c>
      <c r="E1229" s="62" t="s">
        <v>804</v>
      </c>
      <c r="F1229" s="107" t="s">
        <v>36</v>
      </c>
      <c r="G1229" s="65" t="s">
        <v>45</v>
      </c>
      <c r="H1229" s="65" t="s">
        <v>56</v>
      </c>
      <c r="I1229" s="80" t="s">
        <v>1981</v>
      </c>
      <c r="J1229" s="62" t="s">
        <v>88</v>
      </c>
      <c r="K1229" s="91" t="s">
        <v>1982</v>
      </c>
      <c r="L1229" s="87"/>
      <c r="M1229" s="65"/>
      <c r="N1229" s="65"/>
      <c r="O1229" s="81"/>
      <c r="P1229" s="82"/>
      <c r="Q1229" s="65" t="s">
        <v>43</v>
      </c>
      <c r="R1229" s="65"/>
    </row>
    <row r="1230" ht="13.8" spans="1:18">
      <c r="A1230" s="58">
        <v>1207</v>
      </c>
      <c r="B1230" s="74">
        <v>45810</v>
      </c>
      <c r="C1230" s="106" t="s">
        <v>659</v>
      </c>
      <c r="D1230" s="61" t="s">
        <v>72</v>
      </c>
      <c r="E1230" s="62" t="s">
        <v>804</v>
      </c>
      <c r="F1230" s="107" t="s">
        <v>36</v>
      </c>
      <c r="G1230" s="65" t="s">
        <v>45</v>
      </c>
      <c r="H1230" s="65" t="s">
        <v>56</v>
      </c>
      <c r="I1230" s="80" t="s">
        <v>1983</v>
      </c>
      <c r="J1230" s="62" t="s">
        <v>88</v>
      </c>
      <c r="K1230" s="91" t="s">
        <v>1984</v>
      </c>
      <c r="L1230" s="87"/>
      <c r="M1230" s="65"/>
      <c r="N1230" s="65"/>
      <c r="O1230" s="81"/>
      <c r="P1230" s="82"/>
      <c r="Q1230" s="65" t="s">
        <v>43</v>
      </c>
      <c r="R1230" s="65"/>
    </row>
    <row r="1231" ht="27.6" spans="1:18">
      <c r="A1231" s="58">
        <v>1208</v>
      </c>
      <c r="B1231" s="74">
        <v>45810</v>
      </c>
      <c r="C1231" s="81" t="s">
        <v>632</v>
      </c>
      <c r="D1231" s="61" t="s">
        <v>72</v>
      </c>
      <c r="E1231" s="65" t="s">
        <v>804</v>
      </c>
      <c r="F1231" s="107" t="s">
        <v>36</v>
      </c>
      <c r="G1231" s="65" t="s">
        <v>82</v>
      </c>
      <c r="H1231" s="65" t="s">
        <v>46</v>
      </c>
      <c r="I1231" s="111" t="s">
        <v>1985</v>
      </c>
      <c r="J1231" s="65" t="s">
        <v>53</v>
      </c>
      <c r="K1231" s="91" t="s">
        <v>1986</v>
      </c>
      <c r="L1231" s="87"/>
      <c r="M1231" s="65"/>
      <c r="N1231" s="65"/>
      <c r="O1231" s="81"/>
      <c r="P1231" s="82"/>
      <c r="Q1231" s="65" t="s">
        <v>43</v>
      </c>
      <c r="R1231" s="65"/>
    </row>
    <row r="1232" ht="14.4" spans="1:18">
      <c r="A1232" s="58">
        <v>1209</v>
      </c>
      <c r="B1232" s="74">
        <v>45810</v>
      </c>
      <c r="C1232" s="81" t="s">
        <v>632</v>
      </c>
      <c r="D1232" s="61" t="s">
        <v>72</v>
      </c>
      <c r="E1232" s="65" t="s">
        <v>804</v>
      </c>
      <c r="F1232" s="107" t="s">
        <v>36</v>
      </c>
      <c r="G1232" s="65" t="s">
        <v>45</v>
      </c>
      <c r="H1232" s="65" t="s">
        <v>66</v>
      </c>
      <c r="I1232" s="111" t="s">
        <v>1987</v>
      </c>
      <c r="J1232" s="65" t="s">
        <v>88</v>
      </c>
      <c r="K1232" s="91" t="s">
        <v>1988</v>
      </c>
      <c r="L1232" s="87"/>
      <c r="M1232" s="65"/>
      <c r="N1232" s="65"/>
      <c r="O1232" s="81"/>
      <c r="P1232" s="82"/>
      <c r="Q1232" s="65" t="s">
        <v>43</v>
      </c>
      <c r="R1232" s="65"/>
    </row>
    <row r="1233" ht="27.6" spans="1:18">
      <c r="A1233" s="58">
        <v>1210</v>
      </c>
      <c r="B1233" s="74">
        <v>45810</v>
      </c>
      <c r="C1233" s="81" t="s">
        <v>632</v>
      </c>
      <c r="D1233" s="61" t="s">
        <v>72</v>
      </c>
      <c r="E1233" s="65" t="s">
        <v>804</v>
      </c>
      <c r="F1233" s="107" t="s">
        <v>36</v>
      </c>
      <c r="G1233" s="65" t="s">
        <v>45</v>
      </c>
      <c r="H1233" s="65" t="s">
        <v>56</v>
      </c>
      <c r="I1233" s="111" t="s">
        <v>1533</v>
      </c>
      <c r="J1233" s="65" t="s">
        <v>88</v>
      </c>
      <c r="K1233" s="91" t="s">
        <v>1989</v>
      </c>
      <c r="L1233" s="87"/>
      <c r="M1233" s="65"/>
      <c r="N1233" s="65"/>
      <c r="O1233" s="81"/>
      <c r="P1233" s="82"/>
      <c r="Q1233" s="65" t="s">
        <v>43</v>
      </c>
      <c r="R1233" s="65"/>
    </row>
    <row r="1234" ht="13.8" spans="1:18">
      <c r="A1234" s="58">
        <v>1211</v>
      </c>
      <c r="B1234" s="74">
        <v>45810</v>
      </c>
      <c r="C1234" s="64" t="s">
        <v>641</v>
      </c>
      <c r="D1234" s="61" t="s">
        <v>72</v>
      </c>
      <c r="E1234" s="65" t="s">
        <v>804</v>
      </c>
      <c r="F1234" s="107" t="s">
        <v>36</v>
      </c>
      <c r="G1234" s="62" t="s">
        <v>37</v>
      </c>
      <c r="H1234" s="65" t="s">
        <v>56</v>
      </c>
      <c r="I1234" s="78" t="s">
        <v>265</v>
      </c>
      <c r="J1234" s="62" t="s">
        <v>40</v>
      </c>
      <c r="K1234" s="67" t="s">
        <v>266</v>
      </c>
      <c r="L1234" s="70"/>
      <c r="M1234" s="62"/>
      <c r="N1234" s="62"/>
      <c r="O1234" s="64"/>
      <c r="P1234" s="79"/>
      <c r="Q1234" s="62" t="s">
        <v>43</v>
      </c>
      <c r="R1234" s="62"/>
    </row>
    <row r="1235" ht="27.6" spans="1:18">
      <c r="A1235" s="58">
        <v>1212</v>
      </c>
      <c r="B1235" s="74">
        <v>45810</v>
      </c>
      <c r="C1235" s="64" t="s">
        <v>641</v>
      </c>
      <c r="D1235" s="61" t="s">
        <v>72</v>
      </c>
      <c r="E1235" s="65" t="s">
        <v>804</v>
      </c>
      <c r="F1235" s="107" t="s">
        <v>36</v>
      </c>
      <c r="G1235" s="65" t="s">
        <v>55</v>
      </c>
      <c r="H1235" s="62" t="s">
        <v>128</v>
      </c>
      <c r="I1235" s="66" t="s">
        <v>310</v>
      </c>
      <c r="J1235" s="62" t="s">
        <v>40</v>
      </c>
      <c r="K1235" s="67" t="s">
        <v>311</v>
      </c>
      <c r="L1235" s="87"/>
      <c r="M1235" s="65"/>
      <c r="N1235" s="65"/>
      <c r="O1235" s="81"/>
      <c r="P1235" s="82"/>
      <c r="Q1235" s="65" t="s">
        <v>43</v>
      </c>
      <c r="R1235" s="65"/>
    </row>
    <row r="1236" ht="27.6" spans="1:18">
      <c r="A1236" s="58">
        <v>1213</v>
      </c>
      <c r="B1236" s="74">
        <v>45810</v>
      </c>
      <c r="C1236" s="81" t="s">
        <v>640</v>
      </c>
      <c r="D1236" s="61" t="s">
        <v>72</v>
      </c>
      <c r="E1236" s="65" t="s">
        <v>804</v>
      </c>
      <c r="F1236" s="107" t="s">
        <v>36</v>
      </c>
      <c r="G1236" s="65" t="s">
        <v>1850</v>
      </c>
      <c r="H1236" s="62" t="s">
        <v>94</v>
      </c>
      <c r="I1236" s="78" t="s">
        <v>1990</v>
      </c>
      <c r="J1236" s="62" t="s">
        <v>40</v>
      </c>
      <c r="K1236" s="67" t="s">
        <v>484</v>
      </c>
      <c r="L1236" s="87"/>
      <c r="M1236" s="65"/>
      <c r="N1236" s="65"/>
      <c r="O1236" s="81"/>
      <c r="P1236" s="82"/>
      <c r="Q1236" s="65" t="s">
        <v>43</v>
      </c>
      <c r="R1236" s="65"/>
    </row>
    <row r="1237" ht="13.8" spans="1:18">
      <c r="A1237" s="58">
        <v>1214</v>
      </c>
      <c r="B1237" s="74">
        <v>45810</v>
      </c>
      <c r="C1237" s="81" t="s">
        <v>640</v>
      </c>
      <c r="D1237" s="61" t="s">
        <v>72</v>
      </c>
      <c r="E1237" s="65" t="s">
        <v>804</v>
      </c>
      <c r="F1237" s="107" t="s">
        <v>192</v>
      </c>
      <c r="G1237" s="65" t="s">
        <v>79</v>
      </c>
      <c r="H1237" s="65" t="s">
        <v>51</v>
      </c>
      <c r="I1237" s="80" t="s">
        <v>1991</v>
      </c>
      <c r="J1237" s="65" t="s">
        <v>137</v>
      </c>
      <c r="K1237" s="91" t="s">
        <v>1992</v>
      </c>
      <c r="L1237" s="87"/>
      <c r="M1237" s="65"/>
      <c r="N1237" s="65"/>
      <c r="O1237" s="81"/>
      <c r="P1237" s="82"/>
      <c r="Q1237" s="65" t="s">
        <v>8</v>
      </c>
      <c r="R1237" s="65"/>
    </row>
    <row r="1238" ht="39.6" spans="1:18">
      <c r="A1238" s="58">
        <v>1215</v>
      </c>
      <c r="B1238" s="74">
        <v>45810</v>
      </c>
      <c r="C1238" s="106" t="s">
        <v>659</v>
      </c>
      <c r="D1238" s="61" t="s">
        <v>72</v>
      </c>
      <c r="E1238" s="62" t="s">
        <v>804</v>
      </c>
      <c r="F1238" s="107" t="s">
        <v>36</v>
      </c>
      <c r="G1238" s="65" t="s">
        <v>45</v>
      </c>
      <c r="H1238" s="65" t="s">
        <v>132</v>
      </c>
      <c r="I1238" s="80" t="s">
        <v>1993</v>
      </c>
      <c r="J1238" s="62" t="s">
        <v>88</v>
      </c>
      <c r="K1238" s="91" t="s">
        <v>1994</v>
      </c>
      <c r="L1238" s="87"/>
      <c r="M1238" s="65"/>
      <c r="N1238" s="65"/>
      <c r="O1238" s="81"/>
      <c r="P1238" s="82"/>
      <c r="Q1238" s="65" t="s">
        <v>43</v>
      </c>
      <c r="R1238" s="65"/>
    </row>
    <row r="1239" ht="27.6" spans="1:18">
      <c r="A1239" s="58">
        <v>1216</v>
      </c>
      <c r="B1239" s="74">
        <v>45810</v>
      </c>
      <c r="C1239" s="106" t="s">
        <v>659</v>
      </c>
      <c r="D1239" s="61" t="s">
        <v>72</v>
      </c>
      <c r="E1239" s="62" t="s">
        <v>804</v>
      </c>
      <c r="F1239" s="107" t="s">
        <v>36</v>
      </c>
      <c r="G1239" s="65" t="s">
        <v>131</v>
      </c>
      <c r="H1239" s="65" t="s">
        <v>66</v>
      </c>
      <c r="I1239" s="80" t="s">
        <v>1995</v>
      </c>
      <c r="J1239" s="62" t="s">
        <v>88</v>
      </c>
      <c r="K1239" s="91" t="s">
        <v>1996</v>
      </c>
      <c r="L1239" s="87"/>
      <c r="M1239" s="65"/>
      <c r="N1239" s="65"/>
      <c r="O1239" s="81"/>
      <c r="P1239" s="82"/>
      <c r="Q1239" s="65" t="s">
        <v>43</v>
      </c>
      <c r="R1239" s="65"/>
    </row>
    <row r="1240" ht="27.6" spans="1:18">
      <c r="A1240" s="58">
        <v>1217</v>
      </c>
      <c r="B1240" s="74">
        <v>45811</v>
      </c>
      <c r="C1240" s="106" t="s">
        <v>659</v>
      </c>
      <c r="D1240" s="61" t="s">
        <v>72</v>
      </c>
      <c r="E1240" s="62" t="s">
        <v>804</v>
      </c>
      <c r="F1240" s="107" t="s">
        <v>36</v>
      </c>
      <c r="G1240" s="65" t="s">
        <v>61</v>
      </c>
      <c r="H1240" s="65" t="s">
        <v>1008</v>
      </c>
      <c r="I1240" s="80" t="s">
        <v>1997</v>
      </c>
      <c r="J1240" s="62" t="s">
        <v>88</v>
      </c>
      <c r="K1240" s="91" t="s">
        <v>1998</v>
      </c>
      <c r="L1240" s="87"/>
      <c r="M1240" s="65"/>
      <c r="N1240" s="65"/>
      <c r="O1240" s="81"/>
      <c r="P1240" s="82"/>
      <c r="Q1240" s="65" t="s">
        <v>43</v>
      </c>
      <c r="R1240" s="65"/>
    </row>
    <row r="1241" ht="13.8" spans="1:18">
      <c r="A1241" s="58">
        <v>1218</v>
      </c>
      <c r="B1241" s="74">
        <v>45811</v>
      </c>
      <c r="C1241" s="106" t="s">
        <v>659</v>
      </c>
      <c r="D1241" s="61" t="s">
        <v>72</v>
      </c>
      <c r="E1241" s="62" t="s">
        <v>804</v>
      </c>
      <c r="F1241" s="107" t="s">
        <v>36</v>
      </c>
      <c r="G1241" s="65" t="s">
        <v>61</v>
      </c>
      <c r="H1241" s="65" t="s">
        <v>202</v>
      </c>
      <c r="I1241" s="80" t="s">
        <v>1999</v>
      </c>
      <c r="J1241" s="62" t="s">
        <v>88</v>
      </c>
      <c r="K1241" s="91" t="s">
        <v>2000</v>
      </c>
      <c r="L1241" s="87"/>
      <c r="M1241" s="65"/>
      <c r="N1241" s="65"/>
      <c r="O1241" s="81"/>
      <c r="P1241" s="82"/>
      <c r="Q1241" s="65" t="s">
        <v>43</v>
      </c>
      <c r="R1241" s="65"/>
    </row>
    <row r="1242" ht="41.4" spans="1:18">
      <c r="A1242" s="58">
        <v>1219</v>
      </c>
      <c r="B1242" s="74">
        <v>45813</v>
      </c>
      <c r="C1242" s="106" t="s">
        <v>597</v>
      </c>
      <c r="D1242" s="61" t="s">
        <v>60</v>
      </c>
      <c r="E1242" s="65" t="s">
        <v>804</v>
      </c>
      <c r="F1242" s="107" t="s">
        <v>36</v>
      </c>
      <c r="G1242" s="65" t="s">
        <v>65</v>
      </c>
      <c r="H1242" s="65" t="s">
        <v>360</v>
      </c>
      <c r="I1242" s="80" t="s">
        <v>2001</v>
      </c>
      <c r="J1242" s="62" t="s">
        <v>53</v>
      </c>
      <c r="K1242" s="91" t="s">
        <v>2002</v>
      </c>
      <c r="L1242" s="87" t="s">
        <v>2003</v>
      </c>
      <c r="M1242" s="65"/>
      <c r="N1242" s="65"/>
      <c r="O1242" s="81"/>
      <c r="P1242" s="82"/>
      <c r="Q1242" s="65" t="s">
        <v>43</v>
      </c>
      <c r="R1242" s="65"/>
    </row>
    <row r="1243" ht="26.4" spans="1:18">
      <c r="A1243" s="58">
        <v>1220</v>
      </c>
      <c r="B1243" s="74">
        <v>45810</v>
      </c>
      <c r="C1243" s="81" t="s">
        <v>620</v>
      </c>
      <c r="D1243" s="61" t="s">
        <v>60</v>
      </c>
      <c r="E1243" s="62" t="s">
        <v>621</v>
      </c>
      <c r="F1243" s="107" t="s">
        <v>36</v>
      </c>
      <c r="G1243" s="65" t="s">
        <v>79</v>
      </c>
      <c r="H1243" s="65" t="s">
        <v>66</v>
      </c>
      <c r="I1243" s="80" t="s">
        <v>2004</v>
      </c>
      <c r="J1243" s="62" t="s">
        <v>53</v>
      </c>
      <c r="K1243" s="91" t="s">
        <v>2005</v>
      </c>
      <c r="L1243" s="87" t="s">
        <v>2006</v>
      </c>
      <c r="M1243" s="65"/>
      <c r="N1243" s="65"/>
      <c r="O1243" s="81"/>
      <c r="P1243" s="82"/>
      <c r="Q1243" s="65" t="s">
        <v>43</v>
      </c>
      <c r="R1243" s="65"/>
    </row>
    <row r="1244" ht="27.6" spans="1:18">
      <c r="A1244" s="58">
        <v>1221</v>
      </c>
      <c r="B1244" s="74">
        <v>45809</v>
      </c>
      <c r="C1244" s="81" t="s">
        <v>620</v>
      </c>
      <c r="D1244" s="61" t="s">
        <v>60</v>
      </c>
      <c r="E1244" s="62" t="s">
        <v>621</v>
      </c>
      <c r="F1244" s="107" t="s">
        <v>36</v>
      </c>
      <c r="G1244" s="65" t="s">
        <v>79</v>
      </c>
      <c r="H1244" s="65" t="s">
        <v>51</v>
      </c>
      <c r="I1244" s="80" t="s">
        <v>2007</v>
      </c>
      <c r="J1244" s="62" t="s">
        <v>53</v>
      </c>
      <c r="K1244" s="91" t="s">
        <v>2008</v>
      </c>
      <c r="L1244" s="87" t="s">
        <v>2009</v>
      </c>
      <c r="M1244" s="65"/>
      <c r="N1244" s="65"/>
      <c r="O1244" s="81"/>
      <c r="P1244" s="82"/>
      <c r="Q1244" s="65" t="s">
        <v>43</v>
      </c>
      <c r="R1244" s="65"/>
    </row>
    <row r="1245" ht="39.6" spans="1:18">
      <c r="A1245" s="58">
        <v>1222</v>
      </c>
      <c r="B1245" s="74">
        <v>45810</v>
      </c>
      <c r="C1245" s="106" t="s">
        <v>597</v>
      </c>
      <c r="D1245" s="61" t="s">
        <v>60</v>
      </c>
      <c r="E1245" s="65" t="s">
        <v>804</v>
      </c>
      <c r="F1245" s="107" t="s">
        <v>36</v>
      </c>
      <c r="G1245" s="65" t="s">
        <v>82</v>
      </c>
      <c r="H1245" s="65" t="s">
        <v>56</v>
      </c>
      <c r="I1245" s="80" t="s">
        <v>2010</v>
      </c>
      <c r="J1245" s="65" t="s">
        <v>88</v>
      </c>
      <c r="K1245" s="91" t="s">
        <v>2011</v>
      </c>
      <c r="L1245" s="87" t="s">
        <v>2012</v>
      </c>
      <c r="M1245" s="65"/>
      <c r="N1245" s="65"/>
      <c r="O1245" s="81"/>
      <c r="P1245" s="82"/>
      <c r="Q1245" s="65" t="s">
        <v>43</v>
      </c>
      <c r="R1245" s="65"/>
    </row>
    <row r="1246" ht="41.4" spans="1:18">
      <c r="A1246" s="58">
        <v>1223</v>
      </c>
      <c r="B1246" s="108">
        <v>45810</v>
      </c>
      <c r="C1246" s="106" t="s">
        <v>597</v>
      </c>
      <c r="D1246" s="61" t="s">
        <v>60</v>
      </c>
      <c r="E1246" s="65" t="s">
        <v>804</v>
      </c>
      <c r="F1246" s="107" t="s">
        <v>36</v>
      </c>
      <c r="G1246" s="65" t="s">
        <v>45</v>
      </c>
      <c r="H1246" s="65" t="s">
        <v>38</v>
      </c>
      <c r="I1246" s="80" t="s">
        <v>2013</v>
      </c>
      <c r="J1246" s="65" t="s">
        <v>88</v>
      </c>
      <c r="K1246" s="91" t="s">
        <v>2014</v>
      </c>
      <c r="L1246" s="87" t="s">
        <v>2015</v>
      </c>
      <c r="M1246" s="65"/>
      <c r="N1246" s="65"/>
      <c r="O1246" s="81"/>
      <c r="P1246" s="82"/>
      <c r="Q1246" s="65" t="s">
        <v>43</v>
      </c>
      <c r="R1246" s="65"/>
    </row>
    <row r="1247" ht="52.8" spans="1:18">
      <c r="A1247" s="58">
        <v>1224</v>
      </c>
      <c r="B1247" s="108">
        <v>45810</v>
      </c>
      <c r="C1247" s="60" t="s">
        <v>100</v>
      </c>
      <c r="D1247" s="61" t="s">
        <v>60</v>
      </c>
      <c r="E1247" s="62" t="s">
        <v>101</v>
      </c>
      <c r="F1247" s="107" t="s">
        <v>36</v>
      </c>
      <c r="G1247" s="65" t="s">
        <v>1850</v>
      </c>
      <c r="H1247" s="65" t="s">
        <v>1008</v>
      </c>
      <c r="I1247" s="80" t="s">
        <v>2016</v>
      </c>
      <c r="J1247" s="65" t="s">
        <v>88</v>
      </c>
      <c r="K1247" s="91" t="s">
        <v>2017</v>
      </c>
      <c r="L1247" s="87"/>
      <c r="M1247" s="65"/>
      <c r="N1247" s="65"/>
      <c r="O1247" s="81"/>
      <c r="P1247" s="82"/>
      <c r="Q1247" s="65" t="s">
        <v>43</v>
      </c>
      <c r="R1247" s="65"/>
    </row>
    <row r="1248" ht="27.6" spans="1:18">
      <c r="A1248" s="58">
        <v>1225</v>
      </c>
      <c r="B1248" s="108">
        <v>45810</v>
      </c>
      <c r="C1248" s="81" t="s">
        <v>717</v>
      </c>
      <c r="D1248" s="61" t="s">
        <v>60</v>
      </c>
      <c r="E1248" s="62" t="s">
        <v>163</v>
      </c>
      <c r="F1248" s="107" t="s">
        <v>192</v>
      </c>
      <c r="G1248" s="65" t="s">
        <v>37</v>
      </c>
      <c r="H1248" s="65" t="s">
        <v>51</v>
      </c>
      <c r="I1248" s="80" t="s">
        <v>2018</v>
      </c>
      <c r="J1248" s="65" t="s">
        <v>137</v>
      </c>
      <c r="K1248" s="91" t="s">
        <v>2019</v>
      </c>
      <c r="L1248" s="87"/>
      <c r="M1248" s="65"/>
      <c r="N1248" s="65"/>
      <c r="O1248" s="81"/>
      <c r="P1248" s="82"/>
      <c r="Q1248" s="65" t="s">
        <v>8</v>
      </c>
      <c r="R1248" s="65"/>
    </row>
    <row r="1249" ht="27.6" spans="1:18">
      <c r="A1249" s="58">
        <v>1226</v>
      </c>
      <c r="B1249" s="108">
        <v>45810</v>
      </c>
      <c r="C1249" s="81" t="s">
        <v>717</v>
      </c>
      <c r="D1249" s="61" t="s">
        <v>60</v>
      </c>
      <c r="E1249" s="62" t="s">
        <v>163</v>
      </c>
      <c r="F1249" s="107" t="s">
        <v>192</v>
      </c>
      <c r="G1249" s="65" t="s">
        <v>93</v>
      </c>
      <c r="H1249" s="65" t="s">
        <v>51</v>
      </c>
      <c r="I1249" s="80" t="s">
        <v>2020</v>
      </c>
      <c r="J1249" s="65" t="s">
        <v>137</v>
      </c>
      <c r="K1249" s="91" t="s">
        <v>2019</v>
      </c>
      <c r="L1249" s="87"/>
      <c r="M1249" s="65"/>
      <c r="N1249" s="65"/>
      <c r="O1249" s="81"/>
      <c r="P1249" s="82"/>
      <c r="Q1249" s="65" t="s">
        <v>8</v>
      </c>
      <c r="R1249" s="65"/>
    </row>
    <row r="1250" ht="27.6" spans="1:18">
      <c r="A1250" s="58">
        <v>1227</v>
      </c>
      <c r="B1250" s="108">
        <v>45819</v>
      </c>
      <c r="C1250" s="81" t="s">
        <v>85</v>
      </c>
      <c r="D1250" s="61" t="s">
        <v>60</v>
      </c>
      <c r="E1250" s="62" t="s">
        <v>86</v>
      </c>
      <c r="F1250" s="107" t="s">
        <v>36</v>
      </c>
      <c r="G1250" s="65" t="s">
        <v>37</v>
      </c>
      <c r="H1250" s="65" t="s">
        <v>56</v>
      </c>
      <c r="I1250" s="80" t="s">
        <v>2021</v>
      </c>
      <c r="J1250" s="65" t="s">
        <v>88</v>
      </c>
      <c r="K1250" s="91" t="s">
        <v>2022</v>
      </c>
      <c r="L1250" s="87" t="s">
        <v>2023</v>
      </c>
      <c r="M1250" s="65"/>
      <c r="N1250" s="65"/>
      <c r="O1250" s="81"/>
      <c r="P1250" s="82"/>
      <c r="Q1250" s="65" t="s">
        <v>43</v>
      </c>
      <c r="R1250" s="65"/>
    </row>
    <row r="1251" ht="27.6" spans="1:18">
      <c r="A1251" s="58">
        <v>1228</v>
      </c>
      <c r="B1251" s="108">
        <v>45820</v>
      </c>
      <c r="C1251" s="81" t="s">
        <v>85</v>
      </c>
      <c r="D1251" s="61" t="s">
        <v>60</v>
      </c>
      <c r="E1251" s="62" t="s">
        <v>86</v>
      </c>
      <c r="F1251" s="107" t="s">
        <v>36</v>
      </c>
      <c r="G1251" s="65" t="s">
        <v>37</v>
      </c>
      <c r="H1251" s="65" t="s">
        <v>51</v>
      </c>
      <c r="I1251" s="80" t="s">
        <v>2024</v>
      </c>
      <c r="J1251" s="65" t="s">
        <v>88</v>
      </c>
      <c r="K1251" s="91" t="s">
        <v>2025</v>
      </c>
      <c r="L1251" s="87" t="s">
        <v>2026</v>
      </c>
      <c r="M1251" s="65"/>
      <c r="N1251" s="65"/>
      <c r="O1251" s="81"/>
      <c r="P1251" s="82"/>
      <c r="Q1251" s="65" t="s">
        <v>43</v>
      </c>
      <c r="R1251" s="65"/>
    </row>
    <row r="1252" ht="41.4" spans="1:18">
      <c r="A1252" s="58">
        <v>1229</v>
      </c>
      <c r="B1252" s="108">
        <v>45819</v>
      </c>
      <c r="C1252" s="81" t="s">
        <v>85</v>
      </c>
      <c r="D1252" s="61" t="s">
        <v>60</v>
      </c>
      <c r="E1252" s="62" t="s">
        <v>86</v>
      </c>
      <c r="F1252" s="107" t="s">
        <v>36</v>
      </c>
      <c r="G1252" s="65" t="s">
        <v>55</v>
      </c>
      <c r="H1252" s="65" t="s">
        <v>1008</v>
      </c>
      <c r="I1252" s="80" t="s">
        <v>2027</v>
      </c>
      <c r="J1252" s="65" t="s">
        <v>88</v>
      </c>
      <c r="K1252" s="91" t="s">
        <v>2028</v>
      </c>
      <c r="L1252" s="87" t="s">
        <v>2029</v>
      </c>
      <c r="M1252" s="65"/>
      <c r="N1252" s="65"/>
      <c r="O1252" s="81"/>
      <c r="P1252" s="82"/>
      <c r="Q1252" s="65" t="s">
        <v>43</v>
      </c>
      <c r="R1252" s="65"/>
    </row>
    <row r="1253" ht="52.8" spans="1:18">
      <c r="A1253" s="58">
        <v>1230</v>
      </c>
      <c r="B1253" s="108">
        <v>45819</v>
      </c>
      <c r="C1253" s="81" t="s">
        <v>85</v>
      </c>
      <c r="D1253" s="61" t="s">
        <v>60</v>
      </c>
      <c r="E1253" s="62" t="s">
        <v>86</v>
      </c>
      <c r="F1253" s="107" t="s">
        <v>36</v>
      </c>
      <c r="G1253" s="65" t="s">
        <v>55</v>
      </c>
      <c r="H1253" s="65" t="s">
        <v>1008</v>
      </c>
      <c r="I1253" s="80" t="s">
        <v>2030</v>
      </c>
      <c r="J1253" s="65" t="s">
        <v>88</v>
      </c>
      <c r="K1253" s="91" t="s">
        <v>2031</v>
      </c>
      <c r="L1253" s="87" t="s">
        <v>2032</v>
      </c>
      <c r="M1253" s="65"/>
      <c r="N1253" s="65"/>
      <c r="O1253" s="81"/>
      <c r="P1253" s="82"/>
      <c r="Q1253" s="65" t="s">
        <v>43</v>
      </c>
      <c r="R1253" s="65"/>
    </row>
    <row r="1254" ht="39.6" spans="1:18">
      <c r="A1254" s="58">
        <v>1231</v>
      </c>
      <c r="B1254" s="108">
        <v>45819</v>
      </c>
      <c r="C1254" s="60" t="s">
        <v>100</v>
      </c>
      <c r="D1254" s="61" t="s">
        <v>60</v>
      </c>
      <c r="E1254" s="65" t="s">
        <v>101</v>
      </c>
      <c r="F1254" s="107" t="s">
        <v>36</v>
      </c>
      <c r="G1254" s="65" t="s">
        <v>55</v>
      </c>
      <c r="H1254" s="65" t="s">
        <v>989</v>
      </c>
      <c r="I1254" s="80" t="s">
        <v>2033</v>
      </c>
      <c r="J1254" s="65" t="s">
        <v>88</v>
      </c>
      <c r="K1254" s="91" t="s">
        <v>2034</v>
      </c>
      <c r="L1254" s="87" t="s">
        <v>2035</v>
      </c>
      <c r="M1254" s="65"/>
      <c r="N1254" s="65"/>
      <c r="O1254" s="81"/>
      <c r="P1254" s="82"/>
      <c r="Q1254" s="65" t="s">
        <v>43</v>
      </c>
      <c r="R1254" s="65"/>
    </row>
    <row r="1255" ht="52.8" spans="1:18">
      <c r="A1255" s="58">
        <v>1232</v>
      </c>
      <c r="B1255" s="108">
        <v>45819</v>
      </c>
      <c r="C1255" s="60" t="s">
        <v>100</v>
      </c>
      <c r="D1255" s="61" t="s">
        <v>60</v>
      </c>
      <c r="E1255" s="65" t="s">
        <v>101</v>
      </c>
      <c r="F1255" s="107" t="s">
        <v>36</v>
      </c>
      <c r="G1255" s="65" t="s">
        <v>588</v>
      </c>
      <c r="H1255" s="65" t="s">
        <v>128</v>
      </c>
      <c r="I1255" s="80" t="s">
        <v>2036</v>
      </c>
      <c r="J1255" s="65" t="s">
        <v>88</v>
      </c>
      <c r="K1255" s="91" t="s">
        <v>2034</v>
      </c>
      <c r="L1255" s="87" t="s">
        <v>2037</v>
      </c>
      <c r="M1255" s="65"/>
      <c r="N1255" s="65"/>
      <c r="O1255" s="81"/>
      <c r="P1255" s="82"/>
      <c r="Q1255" s="65" t="s">
        <v>43</v>
      </c>
      <c r="R1255" s="65"/>
    </row>
    <row r="1256" ht="39.6" spans="1:18">
      <c r="A1256" s="58">
        <v>1233</v>
      </c>
      <c r="B1256" s="108">
        <v>45819</v>
      </c>
      <c r="C1256" s="60" t="s">
        <v>100</v>
      </c>
      <c r="D1256" s="61" t="s">
        <v>60</v>
      </c>
      <c r="E1256" s="65" t="s">
        <v>101</v>
      </c>
      <c r="F1256" s="107" t="s">
        <v>36</v>
      </c>
      <c r="G1256" s="65" t="s">
        <v>588</v>
      </c>
      <c r="H1256" s="65" t="s">
        <v>38</v>
      </c>
      <c r="I1256" s="80" t="s">
        <v>2038</v>
      </c>
      <c r="J1256" s="65" t="s">
        <v>88</v>
      </c>
      <c r="K1256" s="91" t="s">
        <v>2039</v>
      </c>
      <c r="L1256" s="87" t="s">
        <v>2040</v>
      </c>
      <c r="M1256" s="65"/>
      <c r="N1256" s="65"/>
      <c r="O1256" s="81"/>
      <c r="P1256" s="82"/>
      <c r="Q1256" s="65" t="s">
        <v>43</v>
      </c>
      <c r="R1256" s="65"/>
    </row>
    <row r="1257" ht="52.8" spans="1:18">
      <c r="A1257" s="58">
        <v>1234</v>
      </c>
      <c r="B1257" s="108">
        <v>45819</v>
      </c>
      <c r="C1257" s="60" t="s">
        <v>100</v>
      </c>
      <c r="D1257" s="61" t="s">
        <v>60</v>
      </c>
      <c r="E1257" s="65" t="s">
        <v>101</v>
      </c>
      <c r="F1257" s="107" t="s">
        <v>36</v>
      </c>
      <c r="G1257" s="65" t="s">
        <v>588</v>
      </c>
      <c r="H1257" s="65" t="s">
        <v>144</v>
      </c>
      <c r="I1257" s="80" t="s">
        <v>2041</v>
      </c>
      <c r="J1257" s="65" t="s">
        <v>88</v>
      </c>
      <c r="K1257" s="91" t="s">
        <v>2042</v>
      </c>
      <c r="L1257" s="87" t="s">
        <v>2043</v>
      </c>
      <c r="M1257" s="65"/>
      <c r="N1257" s="65"/>
      <c r="O1257" s="81"/>
      <c r="P1257" s="82"/>
      <c r="Q1257" s="65" t="s">
        <v>43</v>
      </c>
      <c r="R1257" s="65"/>
    </row>
    <row r="1258" ht="27.6" spans="1:18">
      <c r="A1258" s="58">
        <v>1235</v>
      </c>
      <c r="B1258" s="108">
        <v>45819</v>
      </c>
      <c r="C1258" s="81" t="s">
        <v>632</v>
      </c>
      <c r="D1258" s="61" t="s">
        <v>72</v>
      </c>
      <c r="E1258" s="65" t="s">
        <v>804</v>
      </c>
      <c r="F1258" s="107" t="s">
        <v>135</v>
      </c>
      <c r="G1258" s="65" t="s">
        <v>55</v>
      </c>
      <c r="H1258" s="65" t="s">
        <v>56</v>
      </c>
      <c r="I1258" s="80" t="s">
        <v>2044</v>
      </c>
      <c r="J1258" s="65" t="s">
        <v>137</v>
      </c>
      <c r="K1258" s="91" t="s">
        <v>1273</v>
      </c>
      <c r="L1258" s="87"/>
      <c r="M1258" s="65"/>
      <c r="N1258" s="65"/>
      <c r="O1258" s="81"/>
      <c r="P1258" s="82"/>
      <c r="Q1258" s="65" t="s">
        <v>8</v>
      </c>
      <c r="R1258" s="65"/>
    </row>
    <row r="1259" ht="26.4" spans="1:18">
      <c r="A1259" s="58">
        <v>1236</v>
      </c>
      <c r="B1259" s="108">
        <v>45819</v>
      </c>
      <c r="C1259" s="81" t="s">
        <v>632</v>
      </c>
      <c r="D1259" s="61" t="s">
        <v>72</v>
      </c>
      <c r="E1259" s="65" t="s">
        <v>804</v>
      </c>
      <c r="F1259" s="107" t="s">
        <v>135</v>
      </c>
      <c r="G1259" s="65" t="s">
        <v>37</v>
      </c>
      <c r="H1259" s="65" t="s">
        <v>376</v>
      </c>
      <c r="I1259" s="80" t="s">
        <v>2045</v>
      </c>
      <c r="J1259" s="65" t="s">
        <v>137</v>
      </c>
      <c r="K1259" s="91" t="s">
        <v>2046</v>
      </c>
      <c r="L1259" s="87"/>
      <c r="M1259" s="65"/>
      <c r="N1259" s="65"/>
      <c r="O1259" s="81"/>
      <c r="P1259" s="82"/>
      <c r="Q1259" s="65" t="s">
        <v>8</v>
      </c>
      <c r="R1259" s="65"/>
    </row>
    <row r="1260" ht="14.25" customHeight="1" spans="1:18">
      <c r="A1260" s="58">
        <v>1237</v>
      </c>
      <c r="B1260" s="108">
        <v>45817</v>
      </c>
      <c r="C1260" s="81" t="s">
        <v>641</v>
      </c>
      <c r="D1260" s="61" t="s">
        <v>72</v>
      </c>
      <c r="E1260" s="65" t="s">
        <v>804</v>
      </c>
      <c r="F1260" s="107" t="s">
        <v>50</v>
      </c>
      <c r="G1260" s="65" t="s">
        <v>1850</v>
      </c>
      <c r="H1260" s="65" t="s">
        <v>51</v>
      </c>
      <c r="I1260" s="80" t="s">
        <v>2047</v>
      </c>
      <c r="J1260" s="65" t="s">
        <v>53</v>
      </c>
      <c r="K1260" s="91" t="s">
        <v>2048</v>
      </c>
      <c r="L1260" s="87"/>
      <c r="M1260" s="65"/>
      <c r="N1260" s="65"/>
      <c r="O1260" s="81"/>
      <c r="P1260" s="82"/>
      <c r="Q1260" s="65" t="s">
        <v>43</v>
      </c>
      <c r="R1260" s="65"/>
    </row>
    <row r="1261" ht="27.6" spans="1:18">
      <c r="A1261" s="58">
        <v>1238</v>
      </c>
      <c r="B1261" s="108">
        <v>45818</v>
      </c>
      <c r="C1261" s="81" t="s">
        <v>641</v>
      </c>
      <c r="D1261" s="61" t="s">
        <v>72</v>
      </c>
      <c r="E1261" s="65" t="s">
        <v>804</v>
      </c>
      <c r="F1261" s="107" t="s">
        <v>50</v>
      </c>
      <c r="G1261" s="65" t="s">
        <v>82</v>
      </c>
      <c r="H1261" s="65" t="s">
        <v>622</v>
      </c>
      <c r="I1261" s="86" t="s">
        <v>2049</v>
      </c>
      <c r="J1261" s="65" t="s">
        <v>53</v>
      </c>
      <c r="K1261" s="91" t="s">
        <v>2050</v>
      </c>
      <c r="L1261" s="87"/>
      <c r="M1261" s="65"/>
      <c r="N1261" s="65"/>
      <c r="O1261" s="81"/>
      <c r="P1261" s="82"/>
      <c r="Q1261" s="65" t="s">
        <v>43</v>
      </c>
      <c r="R1261" s="65"/>
    </row>
    <row r="1262" ht="27.6" spans="1:18">
      <c r="A1262" s="58">
        <v>1239</v>
      </c>
      <c r="B1262" s="108">
        <v>45818</v>
      </c>
      <c r="C1262" s="84" t="s">
        <v>2051</v>
      </c>
      <c r="D1262" s="61" t="s">
        <v>72</v>
      </c>
      <c r="E1262" s="65" t="s">
        <v>804</v>
      </c>
      <c r="F1262" s="107" t="s">
        <v>36</v>
      </c>
      <c r="G1262" s="65" t="s">
        <v>45</v>
      </c>
      <c r="H1262" s="65" t="s">
        <v>94</v>
      </c>
      <c r="I1262" s="86" t="s">
        <v>2052</v>
      </c>
      <c r="J1262" s="65" t="s">
        <v>53</v>
      </c>
      <c r="K1262" s="91" t="s">
        <v>2053</v>
      </c>
      <c r="L1262" s="87"/>
      <c r="M1262" s="65"/>
      <c r="N1262" s="65"/>
      <c r="O1262" s="81"/>
      <c r="P1262" s="82"/>
      <c r="Q1262" s="65" t="s">
        <v>43</v>
      </c>
      <c r="R1262" s="65"/>
    </row>
    <row r="1263" ht="27.6" spans="1:18">
      <c r="A1263" s="58">
        <v>1240</v>
      </c>
      <c r="B1263" s="108">
        <v>45818</v>
      </c>
      <c r="C1263" s="84" t="s">
        <v>2051</v>
      </c>
      <c r="D1263" s="61" t="s">
        <v>72</v>
      </c>
      <c r="E1263" s="65" t="s">
        <v>804</v>
      </c>
      <c r="F1263" s="107" t="s">
        <v>36</v>
      </c>
      <c r="G1263" s="65" t="s">
        <v>45</v>
      </c>
      <c r="H1263" s="65" t="s">
        <v>622</v>
      </c>
      <c r="I1263" s="86" t="s">
        <v>2054</v>
      </c>
      <c r="J1263" s="65" t="s">
        <v>53</v>
      </c>
      <c r="K1263" s="91" t="s">
        <v>2055</v>
      </c>
      <c r="L1263" s="87"/>
      <c r="M1263" s="65"/>
      <c r="N1263" s="65"/>
      <c r="O1263" s="81"/>
      <c r="P1263" s="82"/>
      <c r="Q1263" s="65" t="s">
        <v>43</v>
      </c>
      <c r="R1263" s="65"/>
    </row>
    <row r="1264" ht="27.6" spans="1:18">
      <c r="A1264" s="58">
        <v>1241</v>
      </c>
      <c r="B1264" s="108">
        <v>45818</v>
      </c>
      <c r="C1264" s="84" t="s">
        <v>1526</v>
      </c>
      <c r="D1264" s="61" t="s">
        <v>72</v>
      </c>
      <c r="E1264" s="65" t="s">
        <v>804</v>
      </c>
      <c r="F1264" s="107" t="s">
        <v>36</v>
      </c>
      <c r="G1264" s="65" t="s">
        <v>37</v>
      </c>
      <c r="H1264" s="65" t="s">
        <v>132</v>
      </c>
      <c r="I1264" s="86" t="s">
        <v>2056</v>
      </c>
      <c r="J1264" s="65" t="s">
        <v>53</v>
      </c>
      <c r="K1264" s="91" t="s">
        <v>2057</v>
      </c>
      <c r="L1264" s="87"/>
      <c r="M1264" s="65"/>
      <c r="N1264" s="65"/>
      <c r="O1264" s="81"/>
      <c r="P1264" s="82"/>
      <c r="Q1264" s="65" t="s">
        <v>43</v>
      </c>
      <c r="R1264" s="65"/>
    </row>
    <row r="1265" ht="41.4" spans="1:18">
      <c r="A1265" s="58">
        <v>1242</v>
      </c>
      <c r="B1265" s="108">
        <v>45819</v>
      </c>
      <c r="C1265" s="84" t="s">
        <v>1526</v>
      </c>
      <c r="D1265" s="61" t="s">
        <v>72</v>
      </c>
      <c r="E1265" s="65" t="s">
        <v>804</v>
      </c>
      <c r="F1265" s="107" t="s">
        <v>36</v>
      </c>
      <c r="G1265" s="65" t="s">
        <v>55</v>
      </c>
      <c r="H1265" s="65" t="s">
        <v>622</v>
      </c>
      <c r="I1265" s="86" t="s">
        <v>2058</v>
      </c>
      <c r="J1265" s="65" t="s">
        <v>53</v>
      </c>
      <c r="K1265" s="91" t="s">
        <v>2059</v>
      </c>
      <c r="L1265" s="87"/>
      <c r="M1265" s="65"/>
      <c r="N1265" s="65"/>
      <c r="O1265" s="81"/>
      <c r="P1265" s="82"/>
      <c r="Q1265" s="65" t="s">
        <v>43</v>
      </c>
      <c r="R1265" s="65"/>
    </row>
    <row r="1266" ht="27.6" spans="1:18">
      <c r="A1266" s="58">
        <v>1243</v>
      </c>
      <c r="B1266" s="108">
        <v>45820</v>
      </c>
      <c r="C1266" s="84" t="s">
        <v>71</v>
      </c>
      <c r="D1266" s="61" t="s">
        <v>72</v>
      </c>
      <c r="E1266" s="65" t="s">
        <v>804</v>
      </c>
      <c r="F1266" s="107" t="s">
        <v>36</v>
      </c>
      <c r="G1266" s="65" t="s">
        <v>79</v>
      </c>
      <c r="H1266" s="65" t="s">
        <v>128</v>
      </c>
      <c r="I1266" s="86" t="s">
        <v>2060</v>
      </c>
      <c r="J1266" s="65" t="s">
        <v>88</v>
      </c>
      <c r="K1266" s="91" t="s">
        <v>2061</v>
      </c>
      <c r="L1266" s="87"/>
      <c r="M1266" s="65"/>
      <c r="N1266" s="65"/>
      <c r="O1266" s="81"/>
      <c r="P1266" s="82"/>
      <c r="Q1266" s="65" t="s">
        <v>43</v>
      </c>
      <c r="R1266" s="65"/>
    </row>
    <row r="1267" ht="27.6" spans="1:18">
      <c r="A1267" s="58">
        <v>1244</v>
      </c>
      <c r="B1267" s="108">
        <v>45820</v>
      </c>
      <c r="C1267" s="84" t="s">
        <v>71</v>
      </c>
      <c r="D1267" s="61" t="s">
        <v>72</v>
      </c>
      <c r="E1267" s="65" t="s">
        <v>804</v>
      </c>
      <c r="F1267" s="107" t="s">
        <v>36</v>
      </c>
      <c r="G1267" s="65" t="s">
        <v>45</v>
      </c>
      <c r="H1267" s="65" t="s">
        <v>56</v>
      </c>
      <c r="I1267" s="86" t="s">
        <v>2062</v>
      </c>
      <c r="J1267" s="65" t="s">
        <v>88</v>
      </c>
      <c r="K1267" s="91" t="s">
        <v>2063</v>
      </c>
      <c r="L1267" s="87"/>
      <c r="M1267" s="65"/>
      <c r="N1267" s="65"/>
      <c r="O1267" s="81"/>
      <c r="P1267" s="82"/>
      <c r="Q1267" s="65" t="s">
        <v>43</v>
      </c>
      <c r="R1267" s="65"/>
    </row>
    <row r="1268" ht="27.6" spans="1:18">
      <c r="A1268" s="58">
        <v>1245</v>
      </c>
      <c r="B1268" s="108">
        <v>45822</v>
      </c>
      <c r="C1268" s="84" t="s">
        <v>1526</v>
      </c>
      <c r="D1268" s="61" t="s">
        <v>72</v>
      </c>
      <c r="E1268" s="65" t="s">
        <v>804</v>
      </c>
      <c r="F1268" s="107" t="s">
        <v>36</v>
      </c>
      <c r="G1268" s="65" t="s">
        <v>37</v>
      </c>
      <c r="H1268" s="65" t="s">
        <v>38</v>
      </c>
      <c r="I1268" s="86" t="s">
        <v>2064</v>
      </c>
      <c r="J1268" s="65" t="s">
        <v>53</v>
      </c>
      <c r="K1268" s="91" t="s">
        <v>2065</v>
      </c>
      <c r="L1268" s="87" t="s">
        <v>2066</v>
      </c>
      <c r="M1268" s="65"/>
      <c r="N1268" s="65"/>
      <c r="O1268" s="81"/>
      <c r="P1268" s="82"/>
      <c r="Q1268" s="65" t="s">
        <v>43</v>
      </c>
      <c r="R1268" s="65"/>
    </row>
    <row r="1269" ht="27.6" spans="1:18">
      <c r="A1269" s="58">
        <v>1246</v>
      </c>
      <c r="B1269" s="108">
        <v>45823</v>
      </c>
      <c r="C1269" s="84" t="s">
        <v>1526</v>
      </c>
      <c r="D1269" s="61" t="s">
        <v>72</v>
      </c>
      <c r="E1269" s="65" t="s">
        <v>804</v>
      </c>
      <c r="F1269" s="107" t="s">
        <v>36</v>
      </c>
      <c r="G1269" s="65" t="s">
        <v>37</v>
      </c>
      <c r="H1269" s="65" t="s">
        <v>56</v>
      </c>
      <c r="I1269" s="86" t="s">
        <v>2067</v>
      </c>
      <c r="J1269" s="65" t="s">
        <v>53</v>
      </c>
      <c r="K1269" s="91" t="s">
        <v>2068</v>
      </c>
      <c r="L1269" s="87"/>
      <c r="M1269" s="65"/>
      <c r="N1269" s="65"/>
      <c r="O1269" s="81"/>
      <c r="P1269" s="82"/>
      <c r="Q1269" s="65" t="s">
        <v>43</v>
      </c>
      <c r="R1269" s="65"/>
    </row>
    <row r="1270" ht="27.6" spans="1:18">
      <c r="A1270" s="58">
        <v>1247</v>
      </c>
      <c r="B1270" s="108">
        <v>45824</v>
      </c>
      <c r="C1270" s="84" t="s">
        <v>1526</v>
      </c>
      <c r="D1270" s="61" t="s">
        <v>72</v>
      </c>
      <c r="E1270" s="65" t="s">
        <v>804</v>
      </c>
      <c r="F1270" s="107" t="s">
        <v>50</v>
      </c>
      <c r="G1270" s="65" t="s">
        <v>55</v>
      </c>
      <c r="H1270" s="65" t="s">
        <v>1008</v>
      </c>
      <c r="I1270" s="86" t="s">
        <v>2069</v>
      </c>
      <c r="J1270" s="65" t="s">
        <v>53</v>
      </c>
      <c r="K1270" s="91" t="s">
        <v>2070</v>
      </c>
      <c r="L1270" s="87"/>
      <c r="M1270" s="65"/>
      <c r="N1270" s="65"/>
      <c r="O1270" s="81"/>
      <c r="P1270" s="82"/>
      <c r="Q1270" s="65" t="s">
        <v>43</v>
      </c>
      <c r="R1270" s="65"/>
    </row>
    <row r="1271" ht="41.4" spans="1:18">
      <c r="A1271" s="58">
        <v>1248</v>
      </c>
      <c r="B1271" s="108">
        <v>45825</v>
      </c>
      <c r="C1271" s="84" t="s">
        <v>1526</v>
      </c>
      <c r="D1271" s="61" t="s">
        <v>72</v>
      </c>
      <c r="E1271" s="65" t="s">
        <v>804</v>
      </c>
      <c r="F1271" s="107" t="s">
        <v>50</v>
      </c>
      <c r="G1271" s="65" t="s">
        <v>55</v>
      </c>
      <c r="H1271" s="65" t="s">
        <v>128</v>
      </c>
      <c r="I1271" s="80" t="s">
        <v>2071</v>
      </c>
      <c r="J1271" s="65" t="s">
        <v>53</v>
      </c>
      <c r="K1271" s="91" t="s">
        <v>2072</v>
      </c>
      <c r="L1271" s="87"/>
      <c r="M1271" s="65"/>
      <c r="N1271" s="65"/>
      <c r="O1271" s="81"/>
      <c r="P1271" s="82"/>
      <c r="Q1271" s="65" t="s">
        <v>43</v>
      </c>
      <c r="R1271" s="65"/>
    </row>
    <row r="1272" ht="41.4" spans="1:18">
      <c r="A1272" s="58">
        <v>1249</v>
      </c>
      <c r="B1272" s="108">
        <v>45826</v>
      </c>
      <c r="C1272" s="84" t="s">
        <v>1526</v>
      </c>
      <c r="D1272" s="61" t="s">
        <v>72</v>
      </c>
      <c r="E1272" s="65" t="s">
        <v>804</v>
      </c>
      <c r="F1272" s="107" t="s">
        <v>36</v>
      </c>
      <c r="G1272" s="65" t="s">
        <v>37</v>
      </c>
      <c r="H1272" s="65" t="s">
        <v>46</v>
      </c>
      <c r="I1272" s="80" t="s">
        <v>2073</v>
      </c>
      <c r="J1272" s="65" t="s">
        <v>53</v>
      </c>
      <c r="K1272" s="91" t="s">
        <v>2074</v>
      </c>
      <c r="L1272" s="87"/>
      <c r="M1272" s="65"/>
      <c r="N1272" s="65"/>
      <c r="O1272" s="81"/>
      <c r="P1272" s="82"/>
      <c r="Q1272" s="65" t="s">
        <v>43</v>
      </c>
      <c r="R1272" s="65"/>
    </row>
    <row r="1273" ht="41.4" spans="1:18">
      <c r="A1273" s="58">
        <v>1250</v>
      </c>
      <c r="B1273" s="108">
        <v>45827</v>
      </c>
      <c r="C1273" s="84" t="s">
        <v>1526</v>
      </c>
      <c r="D1273" s="61" t="s">
        <v>72</v>
      </c>
      <c r="E1273" s="65" t="s">
        <v>804</v>
      </c>
      <c r="F1273" s="107" t="s">
        <v>36</v>
      </c>
      <c r="G1273" s="65" t="s">
        <v>55</v>
      </c>
      <c r="H1273" s="65" t="s">
        <v>128</v>
      </c>
      <c r="I1273" s="80" t="s">
        <v>2075</v>
      </c>
      <c r="J1273" s="65" t="s">
        <v>53</v>
      </c>
      <c r="K1273" s="91" t="s">
        <v>2076</v>
      </c>
      <c r="L1273" s="87"/>
      <c r="M1273" s="65"/>
      <c r="N1273" s="65"/>
      <c r="O1273" s="81"/>
      <c r="P1273" s="82"/>
      <c r="Q1273" s="65" t="s">
        <v>43</v>
      </c>
      <c r="R1273" s="65"/>
    </row>
    <row r="1274" ht="41.4" spans="1:18">
      <c r="A1274" s="58">
        <v>1251</v>
      </c>
      <c r="B1274" s="108">
        <v>45828</v>
      </c>
      <c r="C1274" s="84" t="s">
        <v>1526</v>
      </c>
      <c r="D1274" s="61" t="s">
        <v>72</v>
      </c>
      <c r="E1274" s="65" t="s">
        <v>804</v>
      </c>
      <c r="F1274" s="107" t="s">
        <v>36</v>
      </c>
      <c r="G1274" s="65" t="s">
        <v>37</v>
      </c>
      <c r="H1274" s="65" t="s">
        <v>132</v>
      </c>
      <c r="I1274" s="80" t="s">
        <v>2077</v>
      </c>
      <c r="J1274" s="65" t="s">
        <v>53</v>
      </c>
      <c r="K1274" s="91" t="s">
        <v>2078</v>
      </c>
      <c r="L1274" s="87"/>
      <c r="M1274" s="65"/>
      <c r="N1274" s="65"/>
      <c r="O1274" s="81"/>
      <c r="P1274" s="82"/>
      <c r="Q1274" s="65" t="s">
        <v>43</v>
      </c>
      <c r="R1274" s="65"/>
    </row>
    <row r="1275" ht="27.6" spans="1:18">
      <c r="A1275" s="58">
        <v>1252</v>
      </c>
      <c r="B1275" s="108">
        <v>45825</v>
      </c>
      <c r="C1275" s="81" t="s">
        <v>641</v>
      </c>
      <c r="D1275" s="61" t="s">
        <v>72</v>
      </c>
      <c r="E1275" s="65" t="s">
        <v>804</v>
      </c>
      <c r="F1275" s="107" t="s">
        <v>36</v>
      </c>
      <c r="G1275" s="65" t="s">
        <v>45</v>
      </c>
      <c r="H1275" s="65" t="s">
        <v>46</v>
      </c>
      <c r="I1275" s="80" t="s">
        <v>2079</v>
      </c>
      <c r="J1275" s="65" t="s">
        <v>53</v>
      </c>
      <c r="K1275" s="91" t="s">
        <v>2080</v>
      </c>
      <c r="L1275" s="87"/>
      <c r="M1275" s="65"/>
      <c r="N1275" s="65"/>
      <c r="O1275" s="81"/>
      <c r="P1275" s="82"/>
      <c r="Q1275" s="65" t="s">
        <v>43</v>
      </c>
      <c r="R1275" s="65"/>
    </row>
    <row r="1276" ht="27.6" spans="1:18">
      <c r="A1276" s="58">
        <v>1253</v>
      </c>
      <c r="B1276" s="108">
        <v>45824</v>
      </c>
      <c r="C1276" s="81" t="s">
        <v>641</v>
      </c>
      <c r="D1276" s="61" t="s">
        <v>72</v>
      </c>
      <c r="E1276" s="65" t="s">
        <v>804</v>
      </c>
      <c r="F1276" s="107" t="s">
        <v>36</v>
      </c>
      <c r="G1276" s="65" t="s">
        <v>61</v>
      </c>
      <c r="H1276" s="65" t="s">
        <v>94</v>
      </c>
      <c r="I1276" s="80" t="s">
        <v>2081</v>
      </c>
      <c r="J1276" s="65" t="s">
        <v>53</v>
      </c>
      <c r="K1276" s="91" t="s">
        <v>2082</v>
      </c>
      <c r="L1276" s="87"/>
      <c r="M1276" s="65"/>
      <c r="N1276" s="65"/>
      <c r="O1276" s="81"/>
      <c r="P1276" s="82"/>
      <c r="Q1276" s="65" t="s">
        <v>43</v>
      </c>
      <c r="R1276" s="65"/>
    </row>
    <row r="1277" ht="27.6" spans="1:18">
      <c r="A1277" s="58">
        <v>1254</v>
      </c>
      <c r="B1277" s="108">
        <v>45825</v>
      </c>
      <c r="C1277" s="81" t="s">
        <v>641</v>
      </c>
      <c r="D1277" s="61" t="s">
        <v>72</v>
      </c>
      <c r="E1277" s="65" t="s">
        <v>804</v>
      </c>
      <c r="F1277" s="107" t="s">
        <v>36</v>
      </c>
      <c r="G1277" s="65" t="s">
        <v>45</v>
      </c>
      <c r="H1277" s="65" t="s">
        <v>132</v>
      </c>
      <c r="I1277" s="80" t="s">
        <v>2083</v>
      </c>
      <c r="J1277" s="65" t="s">
        <v>53</v>
      </c>
      <c r="K1277" s="91" t="s">
        <v>2084</v>
      </c>
      <c r="L1277" s="87"/>
      <c r="M1277" s="65"/>
      <c r="N1277" s="65"/>
      <c r="O1277" s="81"/>
      <c r="P1277" s="82"/>
      <c r="Q1277" s="65" t="s">
        <v>43</v>
      </c>
      <c r="R1277" s="65"/>
    </row>
    <row r="1278" ht="41.4" spans="1:18">
      <c r="A1278" s="58">
        <v>1255</v>
      </c>
      <c r="B1278" s="108">
        <v>45823</v>
      </c>
      <c r="C1278" s="81" t="s">
        <v>641</v>
      </c>
      <c r="D1278" s="61" t="s">
        <v>72</v>
      </c>
      <c r="E1278" s="65" t="s">
        <v>804</v>
      </c>
      <c r="F1278" s="107" t="s">
        <v>36</v>
      </c>
      <c r="G1278" s="65" t="s">
        <v>82</v>
      </c>
      <c r="H1278" s="65" t="s">
        <v>1008</v>
      </c>
      <c r="I1278" s="80" t="s">
        <v>2085</v>
      </c>
      <c r="J1278" s="65" t="s">
        <v>53</v>
      </c>
      <c r="K1278" s="91" t="s">
        <v>2086</v>
      </c>
      <c r="L1278" s="87"/>
      <c r="M1278" s="65"/>
      <c r="N1278" s="65"/>
      <c r="O1278" s="81"/>
      <c r="P1278" s="82"/>
      <c r="Q1278" s="65" t="s">
        <v>43</v>
      </c>
      <c r="R1278" s="65"/>
    </row>
    <row r="1279" ht="27.6" spans="1:18">
      <c r="A1279" s="58">
        <v>1256</v>
      </c>
      <c r="B1279" s="108">
        <v>45825</v>
      </c>
      <c r="C1279" s="81" t="s">
        <v>597</v>
      </c>
      <c r="D1279" s="61" t="s">
        <v>60</v>
      </c>
      <c r="E1279" s="65" t="s">
        <v>804</v>
      </c>
      <c r="F1279" s="107" t="s">
        <v>36</v>
      </c>
      <c r="G1279" s="65" t="s">
        <v>65</v>
      </c>
      <c r="H1279" s="65" t="s">
        <v>150</v>
      </c>
      <c r="I1279" s="80" t="s">
        <v>2087</v>
      </c>
      <c r="J1279" s="65" t="s">
        <v>53</v>
      </c>
      <c r="K1279" s="91" t="s">
        <v>2088</v>
      </c>
      <c r="L1279" s="87" t="s">
        <v>2089</v>
      </c>
      <c r="M1279" s="65"/>
      <c r="N1279" s="65"/>
      <c r="O1279" s="81"/>
      <c r="P1279" s="82"/>
      <c r="Q1279" s="65" t="s">
        <v>43</v>
      </c>
      <c r="R1279" s="65"/>
    </row>
    <row r="1280" ht="55.2" spans="1:18">
      <c r="A1280" s="58">
        <v>1257</v>
      </c>
      <c r="B1280" s="108">
        <v>45824</v>
      </c>
      <c r="C1280" s="60" t="s">
        <v>100</v>
      </c>
      <c r="D1280" s="61" t="s">
        <v>60</v>
      </c>
      <c r="E1280" s="65" t="s">
        <v>101</v>
      </c>
      <c r="F1280" s="107" t="s">
        <v>36</v>
      </c>
      <c r="G1280" s="65" t="s">
        <v>79</v>
      </c>
      <c r="H1280" s="65" t="s">
        <v>46</v>
      </c>
      <c r="I1280" s="80" t="s">
        <v>2090</v>
      </c>
      <c r="J1280" s="65" t="s">
        <v>53</v>
      </c>
      <c r="K1280" s="91" t="s">
        <v>2091</v>
      </c>
      <c r="L1280" s="87" t="s">
        <v>2092</v>
      </c>
      <c r="M1280" s="65"/>
      <c r="N1280" s="65"/>
      <c r="O1280" s="81"/>
      <c r="P1280" s="82"/>
      <c r="Q1280" s="65" t="s">
        <v>43</v>
      </c>
      <c r="R1280" s="65"/>
    </row>
    <row r="1281" ht="96.6" spans="1:18">
      <c r="A1281" s="58">
        <v>1258</v>
      </c>
      <c r="B1281" s="108">
        <v>45824</v>
      </c>
      <c r="C1281" s="60" t="s">
        <v>100</v>
      </c>
      <c r="D1281" s="61" t="s">
        <v>60</v>
      </c>
      <c r="E1281" s="65" t="s">
        <v>101</v>
      </c>
      <c r="F1281" s="107" t="s">
        <v>36</v>
      </c>
      <c r="G1281" s="65" t="s">
        <v>588</v>
      </c>
      <c r="H1281" s="65" t="s">
        <v>51</v>
      </c>
      <c r="I1281" s="80" t="s">
        <v>2093</v>
      </c>
      <c r="J1281" s="65" t="s">
        <v>53</v>
      </c>
      <c r="K1281" s="91" t="s">
        <v>2094</v>
      </c>
      <c r="L1281" s="87" t="s">
        <v>2095</v>
      </c>
      <c r="M1281" s="65"/>
      <c r="N1281" s="65"/>
      <c r="O1281" s="81"/>
      <c r="P1281" s="82"/>
      <c r="Q1281" s="65" t="s">
        <v>43</v>
      </c>
      <c r="R1281" s="65"/>
    </row>
    <row r="1282" ht="27.6" spans="1:18">
      <c r="A1282" s="58">
        <v>1259</v>
      </c>
      <c r="B1282" s="108">
        <v>45825</v>
      </c>
      <c r="C1282" s="81" t="s">
        <v>597</v>
      </c>
      <c r="D1282" s="61" t="s">
        <v>60</v>
      </c>
      <c r="E1282" s="65" t="s">
        <v>804</v>
      </c>
      <c r="F1282" s="107" t="s">
        <v>36</v>
      </c>
      <c r="G1282" s="65" t="s">
        <v>61</v>
      </c>
      <c r="H1282" s="65" t="s">
        <v>128</v>
      </c>
      <c r="I1282" s="80" t="s">
        <v>2096</v>
      </c>
      <c r="J1282" s="65" t="s">
        <v>88</v>
      </c>
      <c r="K1282" s="91" t="s">
        <v>2097</v>
      </c>
      <c r="L1282" s="87" t="s">
        <v>2089</v>
      </c>
      <c r="M1282" s="65"/>
      <c r="N1282" s="65"/>
      <c r="O1282" s="81"/>
      <c r="P1282" s="82"/>
      <c r="Q1282" s="65" t="s">
        <v>43</v>
      </c>
      <c r="R1282" s="65"/>
    </row>
    <row r="1283" ht="27.6" spans="1:18">
      <c r="A1283" s="58">
        <v>1260</v>
      </c>
      <c r="B1283" s="108">
        <v>45821</v>
      </c>
      <c r="C1283" s="81" t="s">
        <v>717</v>
      </c>
      <c r="D1283" s="61" t="s">
        <v>60</v>
      </c>
      <c r="E1283" s="62" t="s">
        <v>163</v>
      </c>
      <c r="F1283" s="107" t="s">
        <v>192</v>
      </c>
      <c r="G1283" s="65" t="s">
        <v>37</v>
      </c>
      <c r="H1283" s="65" t="s">
        <v>51</v>
      </c>
      <c r="I1283" s="80" t="s">
        <v>2098</v>
      </c>
      <c r="J1283" s="65" t="s">
        <v>137</v>
      </c>
      <c r="K1283" s="91" t="s">
        <v>2019</v>
      </c>
      <c r="L1283" s="87"/>
      <c r="M1283" s="65"/>
      <c r="N1283" s="65"/>
      <c r="O1283" s="81"/>
      <c r="P1283" s="82"/>
      <c r="Q1283" s="65" t="s">
        <v>8</v>
      </c>
      <c r="R1283" s="65"/>
    </row>
    <row r="1284" ht="27.6" spans="1:18">
      <c r="A1284" s="58">
        <v>1261</v>
      </c>
      <c r="B1284" s="108">
        <v>45824</v>
      </c>
      <c r="C1284" s="81" t="s">
        <v>717</v>
      </c>
      <c r="D1284" s="61" t="s">
        <v>60</v>
      </c>
      <c r="E1284" s="62" t="s">
        <v>163</v>
      </c>
      <c r="F1284" s="107" t="s">
        <v>192</v>
      </c>
      <c r="G1284" s="65" t="s">
        <v>79</v>
      </c>
      <c r="H1284" s="65" t="s">
        <v>51</v>
      </c>
      <c r="I1284" s="80" t="s">
        <v>2099</v>
      </c>
      <c r="J1284" s="65" t="s">
        <v>137</v>
      </c>
      <c r="K1284" s="91" t="s">
        <v>2019</v>
      </c>
      <c r="L1284" s="87"/>
      <c r="M1284" s="65"/>
      <c r="N1284" s="65"/>
      <c r="O1284" s="81"/>
      <c r="P1284" s="82"/>
      <c r="Q1284" s="65" t="s">
        <v>8</v>
      </c>
      <c r="R1284" s="65"/>
    </row>
    <row r="1285" ht="13.8" spans="1:18">
      <c r="A1285" s="58">
        <v>1262</v>
      </c>
      <c r="B1285" s="108">
        <v>45824</v>
      </c>
      <c r="C1285" s="81" t="s">
        <v>620</v>
      </c>
      <c r="D1285" s="61" t="s">
        <v>60</v>
      </c>
      <c r="E1285" s="62" t="s">
        <v>621</v>
      </c>
      <c r="F1285" s="107" t="s">
        <v>36</v>
      </c>
      <c r="G1285" s="65" t="s">
        <v>79</v>
      </c>
      <c r="H1285" s="65" t="s">
        <v>51</v>
      </c>
      <c r="I1285" s="80" t="s">
        <v>2100</v>
      </c>
      <c r="J1285" s="65" t="s">
        <v>88</v>
      </c>
      <c r="K1285" s="91" t="s">
        <v>2101</v>
      </c>
      <c r="L1285" s="87" t="s">
        <v>2102</v>
      </c>
      <c r="M1285" s="65"/>
      <c r="N1285" s="65"/>
      <c r="O1285" s="81"/>
      <c r="P1285" s="82"/>
      <c r="Q1285" s="65" t="s">
        <v>43</v>
      </c>
      <c r="R1285" s="65"/>
    </row>
    <row r="1286" ht="27.6" spans="1:18">
      <c r="A1286" s="58">
        <v>1263</v>
      </c>
      <c r="B1286" s="108">
        <v>45825</v>
      </c>
      <c r="C1286" s="81" t="s">
        <v>85</v>
      </c>
      <c r="D1286" s="61" t="s">
        <v>60</v>
      </c>
      <c r="E1286" s="62" t="s">
        <v>86</v>
      </c>
      <c r="F1286" s="107" t="s">
        <v>36</v>
      </c>
      <c r="G1286" s="65" t="s">
        <v>1850</v>
      </c>
      <c r="H1286" s="65" t="s">
        <v>51</v>
      </c>
      <c r="I1286" s="80" t="s">
        <v>2103</v>
      </c>
      <c r="J1286" s="65" t="s">
        <v>88</v>
      </c>
      <c r="K1286" s="91" t="s">
        <v>2104</v>
      </c>
      <c r="L1286" s="87" t="s">
        <v>2105</v>
      </c>
      <c r="M1286" s="65"/>
      <c r="N1286" s="65"/>
      <c r="O1286" s="81"/>
      <c r="P1286" s="82"/>
      <c r="Q1286" s="65" t="s">
        <v>43</v>
      </c>
      <c r="R1286" s="65"/>
    </row>
    <row r="1287" ht="41.4" spans="1:18">
      <c r="A1287" s="58">
        <v>1264</v>
      </c>
      <c r="B1287" s="108">
        <v>45826</v>
      </c>
      <c r="C1287" s="81" t="s">
        <v>85</v>
      </c>
      <c r="D1287" s="61" t="s">
        <v>60</v>
      </c>
      <c r="E1287" s="62" t="s">
        <v>86</v>
      </c>
      <c r="F1287" s="107" t="s">
        <v>36</v>
      </c>
      <c r="G1287" s="65" t="s">
        <v>55</v>
      </c>
      <c r="H1287" s="65" t="s">
        <v>51</v>
      </c>
      <c r="I1287" s="80" t="s">
        <v>2106</v>
      </c>
      <c r="J1287" s="65" t="s">
        <v>88</v>
      </c>
      <c r="K1287" s="91" t="s">
        <v>2028</v>
      </c>
      <c r="L1287" s="87" t="s">
        <v>2029</v>
      </c>
      <c r="M1287" s="65"/>
      <c r="N1287" s="65"/>
      <c r="O1287" s="81"/>
      <c r="P1287" s="82"/>
      <c r="Q1287" s="65" t="s">
        <v>43</v>
      </c>
      <c r="R1287" s="65"/>
    </row>
    <row r="1288" ht="27.6" spans="1:18">
      <c r="A1288" s="58">
        <v>1265</v>
      </c>
      <c r="B1288" s="108">
        <v>45824</v>
      </c>
      <c r="C1288" s="81" t="s">
        <v>85</v>
      </c>
      <c r="D1288" s="61" t="s">
        <v>60</v>
      </c>
      <c r="E1288" s="62" t="s">
        <v>86</v>
      </c>
      <c r="F1288" s="107" t="s">
        <v>36</v>
      </c>
      <c r="G1288" s="65" t="s">
        <v>37</v>
      </c>
      <c r="H1288" s="65" t="s">
        <v>56</v>
      </c>
      <c r="I1288" s="80" t="s">
        <v>2107</v>
      </c>
      <c r="J1288" s="65" t="s">
        <v>88</v>
      </c>
      <c r="K1288" s="91" t="s">
        <v>2108</v>
      </c>
      <c r="L1288" s="87" t="s">
        <v>2109</v>
      </c>
      <c r="M1288" s="65"/>
      <c r="N1288" s="65"/>
      <c r="O1288" s="81"/>
      <c r="P1288" s="82"/>
      <c r="Q1288" s="65" t="s">
        <v>43</v>
      </c>
      <c r="R1288" s="65"/>
    </row>
    <row r="1289" ht="41.4" spans="1:18">
      <c r="A1289" s="58">
        <v>1266</v>
      </c>
      <c r="B1289" s="108">
        <v>45826</v>
      </c>
      <c r="C1289" s="81" t="s">
        <v>85</v>
      </c>
      <c r="D1289" s="61" t="s">
        <v>60</v>
      </c>
      <c r="E1289" s="62" t="s">
        <v>86</v>
      </c>
      <c r="F1289" s="107" t="s">
        <v>36</v>
      </c>
      <c r="G1289" s="65" t="s">
        <v>588</v>
      </c>
      <c r="H1289" s="65" t="s">
        <v>56</v>
      </c>
      <c r="I1289" s="80" t="s">
        <v>2110</v>
      </c>
      <c r="J1289" s="65" t="s">
        <v>88</v>
      </c>
      <c r="K1289" s="91" t="s">
        <v>2111</v>
      </c>
      <c r="L1289" s="87" t="s">
        <v>2112</v>
      </c>
      <c r="M1289" s="65"/>
      <c r="N1289" s="65"/>
      <c r="O1289" s="81"/>
      <c r="P1289" s="82"/>
      <c r="Q1289" s="65" t="s">
        <v>43</v>
      </c>
      <c r="R1289" s="65"/>
    </row>
    <row r="1290" ht="26.4" spans="1:18">
      <c r="A1290" s="58">
        <v>1267</v>
      </c>
      <c r="B1290" s="108">
        <v>45826</v>
      </c>
      <c r="C1290" s="81" t="s">
        <v>620</v>
      </c>
      <c r="D1290" s="61" t="s">
        <v>60</v>
      </c>
      <c r="E1290" s="62" t="s">
        <v>621</v>
      </c>
      <c r="F1290" s="107" t="s">
        <v>192</v>
      </c>
      <c r="G1290" s="65" t="s">
        <v>79</v>
      </c>
      <c r="H1290" s="65" t="s">
        <v>234</v>
      </c>
      <c r="I1290" s="80" t="s">
        <v>2113</v>
      </c>
      <c r="J1290" s="65" t="s">
        <v>137</v>
      </c>
      <c r="K1290" s="91" t="s">
        <v>2114</v>
      </c>
      <c r="L1290" s="87"/>
      <c r="M1290" s="65"/>
      <c r="N1290" s="65"/>
      <c r="O1290" s="81"/>
      <c r="P1290" s="59" t="s">
        <v>42</v>
      </c>
      <c r="Q1290" s="73" t="s">
        <v>8</v>
      </c>
      <c r="R1290" s="65"/>
    </row>
    <row r="1291" ht="27.6" spans="1:18">
      <c r="A1291" s="58">
        <v>1268</v>
      </c>
      <c r="B1291" s="108">
        <v>45829</v>
      </c>
      <c r="C1291" s="81" t="s">
        <v>640</v>
      </c>
      <c r="D1291" s="61" t="s">
        <v>72</v>
      </c>
      <c r="E1291" s="65" t="s">
        <v>804</v>
      </c>
      <c r="F1291" s="107" t="s">
        <v>36</v>
      </c>
      <c r="G1291" s="65" t="s">
        <v>37</v>
      </c>
      <c r="H1291" s="65" t="s">
        <v>1008</v>
      </c>
      <c r="I1291" s="80" t="s">
        <v>2115</v>
      </c>
      <c r="J1291" s="65" t="s">
        <v>53</v>
      </c>
      <c r="K1291" s="91" t="s">
        <v>2116</v>
      </c>
      <c r="L1291" s="87"/>
      <c r="M1291" s="65"/>
      <c r="N1291" s="65"/>
      <c r="O1291" s="81"/>
      <c r="P1291" s="82"/>
      <c r="Q1291" s="65" t="s">
        <v>43</v>
      </c>
      <c r="R1291" s="65"/>
    </row>
    <row r="1292" ht="41.4" spans="1:18">
      <c r="A1292" s="58">
        <v>1269</v>
      </c>
      <c r="B1292" s="108">
        <v>45830</v>
      </c>
      <c r="C1292" s="81" t="s">
        <v>641</v>
      </c>
      <c r="D1292" s="61" t="s">
        <v>72</v>
      </c>
      <c r="E1292" s="65" t="s">
        <v>804</v>
      </c>
      <c r="F1292" s="107" t="s">
        <v>50</v>
      </c>
      <c r="G1292" s="65" t="s">
        <v>1850</v>
      </c>
      <c r="H1292" s="65" t="s">
        <v>46</v>
      </c>
      <c r="I1292" s="80" t="s">
        <v>2117</v>
      </c>
      <c r="J1292" s="65" t="s">
        <v>53</v>
      </c>
      <c r="K1292" s="91" t="s">
        <v>2118</v>
      </c>
      <c r="L1292" s="87"/>
      <c r="M1292" s="65"/>
      <c r="N1292" s="65"/>
      <c r="O1292" s="81"/>
      <c r="P1292" s="82"/>
      <c r="Q1292" s="65" t="s">
        <v>43</v>
      </c>
      <c r="R1292" s="65"/>
    </row>
    <row r="1293" ht="13.8" spans="1:18">
      <c r="A1293" s="58">
        <v>1270</v>
      </c>
      <c r="B1293" s="108">
        <v>45830</v>
      </c>
      <c r="C1293" s="81" t="s">
        <v>641</v>
      </c>
      <c r="D1293" s="61" t="s">
        <v>72</v>
      </c>
      <c r="E1293" s="65" t="s">
        <v>804</v>
      </c>
      <c r="F1293" s="107" t="s">
        <v>36</v>
      </c>
      <c r="G1293" s="65" t="s">
        <v>61</v>
      </c>
      <c r="H1293" s="65" t="s">
        <v>1008</v>
      </c>
      <c r="I1293" s="80" t="s">
        <v>2119</v>
      </c>
      <c r="J1293" s="65" t="s">
        <v>53</v>
      </c>
      <c r="K1293" s="91" t="s">
        <v>2120</v>
      </c>
      <c r="L1293" s="87"/>
      <c r="M1293" s="65"/>
      <c r="N1293" s="65"/>
      <c r="O1293" s="81"/>
      <c r="P1293" s="82"/>
      <c r="Q1293" s="65" t="s">
        <v>43</v>
      </c>
      <c r="R1293" s="65"/>
    </row>
    <row r="1294" ht="27.6" spans="1:18">
      <c r="A1294" s="58">
        <v>1271</v>
      </c>
      <c r="B1294" s="108">
        <v>45830</v>
      </c>
      <c r="C1294" s="81" t="s">
        <v>640</v>
      </c>
      <c r="D1294" s="61" t="s">
        <v>72</v>
      </c>
      <c r="E1294" s="65" t="s">
        <v>804</v>
      </c>
      <c r="F1294" s="107" t="s">
        <v>36</v>
      </c>
      <c r="G1294" s="65" t="s">
        <v>37</v>
      </c>
      <c r="H1294" s="65" t="s">
        <v>132</v>
      </c>
      <c r="I1294" s="80" t="s">
        <v>2121</v>
      </c>
      <c r="J1294" s="65" t="s">
        <v>53</v>
      </c>
      <c r="K1294" s="91" t="s">
        <v>2122</v>
      </c>
      <c r="L1294" s="87" t="s">
        <v>2123</v>
      </c>
      <c r="M1294" s="65"/>
      <c r="N1294" s="65"/>
      <c r="O1294" s="81"/>
      <c r="P1294" s="82"/>
      <c r="Q1294" s="65" t="s">
        <v>43</v>
      </c>
      <c r="R1294" s="65"/>
    </row>
    <row r="1295" ht="27.6" spans="1:18">
      <c r="A1295" s="58">
        <v>1272</v>
      </c>
      <c r="B1295" s="108">
        <v>45831</v>
      </c>
      <c r="C1295" s="81" t="s">
        <v>641</v>
      </c>
      <c r="D1295" s="61" t="s">
        <v>72</v>
      </c>
      <c r="E1295" s="65" t="s">
        <v>804</v>
      </c>
      <c r="F1295" s="107" t="s">
        <v>36</v>
      </c>
      <c r="G1295" s="65" t="s">
        <v>79</v>
      </c>
      <c r="H1295" s="65" t="s">
        <v>56</v>
      </c>
      <c r="I1295" s="80" t="s">
        <v>2124</v>
      </c>
      <c r="J1295" s="65" t="s">
        <v>88</v>
      </c>
      <c r="K1295" s="91" t="s">
        <v>2125</v>
      </c>
      <c r="L1295" s="87"/>
      <c r="M1295" s="65"/>
      <c r="N1295" s="65"/>
      <c r="O1295" s="81"/>
      <c r="P1295" s="82"/>
      <c r="Q1295" s="65" t="s">
        <v>43</v>
      </c>
      <c r="R1295" s="65"/>
    </row>
    <row r="1296" ht="41.4" spans="1:18">
      <c r="A1296" s="58">
        <v>1273</v>
      </c>
      <c r="B1296" s="108">
        <v>45831</v>
      </c>
      <c r="C1296" s="81" t="s">
        <v>640</v>
      </c>
      <c r="D1296" s="61" t="s">
        <v>72</v>
      </c>
      <c r="E1296" s="65" t="s">
        <v>804</v>
      </c>
      <c r="F1296" s="107" t="s">
        <v>36</v>
      </c>
      <c r="G1296" s="65" t="s">
        <v>55</v>
      </c>
      <c r="H1296" s="65" t="s">
        <v>56</v>
      </c>
      <c r="I1296" s="80" t="s">
        <v>2126</v>
      </c>
      <c r="J1296" s="65" t="s">
        <v>53</v>
      </c>
      <c r="K1296" s="91" t="s">
        <v>2127</v>
      </c>
      <c r="L1296" s="87"/>
      <c r="M1296" s="65"/>
      <c r="N1296" s="65"/>
      <c r="O1296" s="81"/>
      <c r="P1296" s="82"/>
      <c r="Q1296" s="65" t="s">
        <v>43</v>
      </c>
      <c r="R1296" s="65"/>
    </row>
    <row r="1297" ht="13.8" spans="1:18">
      <c r="A1297" s="58">
        <v>1274</v>
      </c>
      <c r="B1297" s="108">
        <v>45832</v>
      </c>
      <c r="C1297" s="81" t="s">
        <v>641</v>
      </c>
      <c r="D1297" s="61" t="s">
        <v>72</v>
      </c>
      <c r="E1297" s="65" t="s">
        <v>804</v>
      </c>
      <c r="F1297" s="107" t="s">
        <v>135</v>
      </c>
      <c r="G1297" s="65" t="s">
        <v>61</v>
      </c>
      <c r="H1297" s="65" t="s">
        <v>202</v>
      </c>
      <c r="I1297" s="80" t="s">
        <v>2128</v>
      </c>
      <c r="J1297" s="65" t="s">
        <v>137</v>
      </c>
      <c r="K1297" s="91" t="s">
        <v>2129</v>
      </c>
      <c r="L1297" s="87"/>
      <c r="M1297" s="65"/>
      <c r="N1297" s="65"/>
      <c r="O1297" s="81"/>
      <c r="P1297" s="59" t="s">
        <v>42</v>
      </c>
      <c r="Q1297" s="73" t="s">
        <v>8</v>
      </c>
      <c r="R1297" s="65"/>
    </row>
    <row r="1298" ht="27.6" spans="1:18">
      <c r="A1298" s="58">
        <v>1275</v>
      </c>
      <c r="B1298" s="108">
        <v>45832</v>
      </c>
      <c r="C1298" s="81" t="s">
        <v>640</v>
      </c>
      <c r="D1298" s="61" t="s">
        <v>72</v>
      </c>
      <c r="E1298" s="65" t="s">
        <v>804</v>
      </c>
      <c r="F1298" s="107" t="s">
        <v>50</v>
      </c>
      <c r="G1298" s="65" t="s">
        <v>37</v>
      </c>
      <c r="H1298" s="65" t="s">
        <v>46</v>
      </c>
      <c r="I1298" s="80" t="s">
        <v>2130</v>
      </c>
      <c r="J1298" s="65" t="s">
        <v>53</v>
      </c>
      <c r="K1298" s="91" t="s">
        <v>2131</v>
      </c>
      <c r="L1298" s="87" t="s">
        <v>2132</v>
      </c>
      <c r="M1298" s="65"/>
      <c r="N1298" s="65"/>
      <c r="O1298" s="81"/>
      <c r="P1298" s="82"/>
      <c r="Q1298" s="65" t="s">
        <v>43</v>
      </c>
      <c r="R1298" s="65"/>
    </row>
    <row r="1299" ht="13.8" spans="1:18">
      <c r="A1299" s="58">
        <v>1276</v>
      </c>
      <c r="B1299" s="108">
        <v>45832</v>
      </c>
      <c r="C1299" s="81" t="s">
        <v>641</v>
      </c>
      <c r="D1299" s="61" t="s">
        <v>72</v>
      </c>
      <c r="E1299" s="65" t="s">
        <v>804</v>
      </c>
      <c r="F1299" s="107" t="s">
        <v>36</v>
      </c>
      <c r="G1299" s="65" t="s">
        <v>1850</v>
      </c>
      <c r="H1299" s="65" t="s">
        <v>56</v>
      </c>
      <c r="I1299" s="80" t="s">
        <v>2133</v>
      </c>
      <c r="J1299" s="65" t="s">
        <v>53</v>
      </c>
      <c r="K1299" s="91" t="s">
        <v>2134</v>
      </c>
      <c r="L1299" s="87"/>
      <c r="M1299" s="65"/>
      <c r="N1299" s="65"/>
      <c r="O1299" s="81"/>
      <c r="P1299" s="82"/>
      <c r="Q1299" s="65" t="s">
        <v>43</v>
      </c>
      <c r="R1299" s="65"/>
    </row>
    <row r="1300" ht="41.4" spans="1:18">
      <c r="A1300" s="58">
        <v>1277</v>
      </c>
      <c r="B1300" s="108">
        <v>45833</v>
      </c>
      <c r="C1300" s="81" t="s">
        <v>640</v>
      </c>
      <c r="D1300" s="61" t="s">
        <v>72</v>
      </c>
      <c r="E1300" s="65" t="s">
        <v>804</v>
      </c>
      <c r="F1300" s="107" t="s">
        <v>50</v>
      </c>
      <c r="G1300" s="65" t="s">
        <v>37</v>
      </c>
      <c r="H1300" s="65" t="s">
        <v>989</v>
      </c>
      <c r="I1300" s="80" t="s">
        <v>2135</v>
      </c>
      <c r="J1300" s="65" t="s">
        <v>53</v>
      </c>
      <c r="K1300" s="91" t="s">
        <v>2136</v>
      </c>
      <c r="L1300" s="87"/>
      <c r="M1300" s="65"/>
      <c r="N1300" s="65"/>
      <c r="O1300" s="81"/>
      <c r="P1300" s="82"/>
      <c r="Q1300" s="65" t="s">
        <v>43</v>
      </c>
      <c r="R1300" s="65"/>
    </row>
    <row r="1301" ht="27.6" spans="1:18">
      <c r="A1301" s="58">
        <v>1278</v>
      </c>
      <c r="B1301" s="108">
        <v>45833</v>
      </c>
      <c r="C1301" s="81" t="s">
        <v>641</v>
      </c>
      <c r="D1301" s="61" t="s">
        <v>72</v>
      </c>
      <c r="E1301" s="65" t="s">
        <v>804</v>
      </c>
      <c r="F1301" s="107" t="s">
        <v>36</v>
      </c>
      <c r="G1301" s="65" t="s">
        <v>1850</v>
      </c>
      <c r="H1301" s="65" t="s">
        <v>56</v>
      </c>
      <c r="I1301" s="80" t="s">
        <v>2137</v>
      </c>
      <c r="J1301" s="65" t="s">
        <v>53</v>
      </c>
      <c r="K1301" s="91" t="s">
        <v>2138</v>
      </c>
      <c r="L1301" s="87"/>
      <c r="M1301" s="65"/>
      <c r="N1301" s="65"/>
      <c r="O1301" s="81"/>
      <c r="P1301" s="82"/>
      <c r="Q1301" s="65" t="s">
        <v>43</v>
      </c>
      <c r="R1301" s="65"/>
    </row>
    <row r="1302" ht="41.4" spans="1:18">
      <c r="A1302" s="58">
        <v>1279</v>
      </c>
      <c r="B1302" s="108">
        <v>45834</v>
      </c>
      <c r="C1302" s="81" t="s">
        <v>640</v>
      </c>
      <c r="D1302" s="61" t="s">
        <v>72</v>
      </c>
      <c r="E1302" s="65" t="s">
        <v>804</v>
      </c>
      <c r="F1302" s="107" t="s">
        <v>36</v>
      </c>
      <c r="G1302" s="65" t="s">
        <v>37</v>
      </c>
      <c r="H1302" s="65" t="s">
        <v>51</v>
      </c>
      <c r="I1302" s="80" t="s">
        <v>2139</v>
      </c>
      <c r="J1302" s="65" t="s">
        <v>53</v>
      </c>
      <c r="K1302" s="91" t="s">
        <v>2140</v>
      </c>
      <c r="L1302" s="87"/>
      <c r="M1302" s="65"/>
      <c r="N1302" s="65"/>
      <c r="O1302" s="81"/>
      <c r="P1302" s="82"/>
      <c r="Q1302" s="65" t="s">
        <v>43</v>
      </c>
      <c r="R1302" s="65"/>
    </row>
    <row r="1303" ht="39.6" spans="1:18">
      <c r="A1303" s="58">
        <v>1280</v>
      </c>
      <c r="B1303" s="108">
        <v>45833</v>
      </c>
      <c r="C1303" s="81" t="s">
        <v>85</v>
      </c>
      <c r="D1303" s="61" t="s">
        <v>60</v>
      </c>
      <c r="E1303" s="65" t="s">
        <v>86</v>
      </c>
      <c r="F1303" s="107" t="s">
        <v>36</v>
      </c>
      <c r="G1303" s="65" t="s">
        <v>37</v>
      </c>
      <c r="H1303" s="65" t="s">
        <v>97</v>
      </c>
      <c r="I1303" s="80" t="s">
        <v>1387</v>
      </c>
      <c r="J1303" s="65" t="s">
        <v>88</v>
      </c>
      <c r="K1303" s="91" t="s">
        <v>856</v>
      </c>
      <c r="L1303" s="87" t="s">
        <v>2141</v>
      </c>
      <c r="M1303" s="65"/>
      <c r="N1303" s="65"/>
      <c r="O1303" s="81"/>
      <c r="P1303" s="82"/>
      <c r="Q1303" s="65" t="s">
        <v>43</v>
      </c>
      <c r="R1303" s="65"/>
    </row>
    <row r="1304" ht="27.6" spans="1:18">
      <c r="A1304" s="58">
        <v>1281</v>
      </c>
      <c r="B1304" s="108">
        <v>45833</v>
      </c>
      <c r="C1304" s="81" t="s">
        <v>85</v>
      </c>
      <c r="D1304" s="61" t="s">
        <v>60</v>
      </c>
      <c r="E1304" s="65" t="s">
        <v>86</v>
      </c>
      <c r="F1304" s="107" t="s">
        <v>36</v>
      </c>
      <c r="G1304" s="65" t="s">
        <v>37</v>
      </c>
      <c r="H1304" s="65" t="s">
        <v>56</v>
      </c>
      <c r="I1304" s="80" t="s">
        <v>2142</v>
      </c>
      <c r="J1304" s="65" t="s">
        <v>88</v>
      </c>
      <c r="K1304" s="91" t="s">
        <v>2108</v>
      </c>
      <c r="L1304" s="87" t="s">
        <v>2143</v>
      </c>
      <c r="M1304" s="65"/>
      <c r="N1304" s="65"/>
      <c r="O1304" s="81"/>
      <c r="P1304" s="82"/>
      <c r="Q1304" s="65" t="s">
        <v>43</v>
      </c>
      <c r="R1304" s="65"/>
    </row>
    <row r="1305" ht="41.4" spans="1:18">
      <c r="A1305" s="58">
        <v>1282</v>
      </c>
      <c r="B1305" s="108">
        <v>45833</v>
      </c>
      <c r="C1305" s="81" t="s">
        <v>85</v>
      </c>
      <c r="D1305" s="61" t="s">
        <v>60</v>
      </c>
      <c r="E1305" s="65" t="s">
        <v>86</v>
      </c>
      <c r="F1305" s="107" t="s">
        <v>135</v>
      </c>
      <c r="G1305" s="65" t="s">
        <v>93</v>
      </c>
      <c r="H1305" s="65" t="s">
        <v>56</v>
      </c>
      <c r="I1305" s="80" t="s">
        <v>2144</v>
      </c>
      <c r="J1305" s="65" t="s">
        <v>137</v>
      </c>
      <c r="K1305" s="91" t="s">
        <v>2145</v>
      </c>
      <c r="L1305" s="87"/>
      <c r="M1305" s="65"/>
      <c r="N1305" s="65"/>
      <c r="O1305" s="81"/>
      <c r="P1305" s="59" t="s">
        <v>42</v>
      </c>
      <c r="Q1305" s="73" t="s">
        <v>8</v>
      </c>
      <c r="R1305" s="65"/>
    </row>
    <row r="1306" ht="27.6" spans="1:18">
      <c r="A1306" s="58">
        <v>1283</v>
      </c>
      <c r="B1306" s="108">
        <v>45833</v>
      </c>
      <c r="C1306" s="81" t="s">
        <v>85</v>
      </c>
      <c r="D1306" s="61" t="s">
        <v>60</v>
      </c>
      <c r="E1306" s="65" t="s">
        <v>86</v>
      </c>
      <c r="F1306" s="107" t="s">
        <v>36</v>
      </c>
      <c r="G1306" s="65" t="s">
        <v>65</v>
      </c>
      <c r="H1306" s="65" t="s">
        <v>1008</v>
      </c>
      <c r="I1306" s="80" t="s">
        <v>2146</v>
      </c>
      <c r="J1306" s="65" t="s">
        <v>88</v>
      </c>
      <c r="K1306" s="91" t="s">
        <v>2147</v>
      </c>
      <c r="L1306" s="87" t="s">
        <v>2148</v>
      </c>
      <c r="M1306" s="65"/>
      <c r="N1306" s="65"/>
      <c r="O1306" s="81"/>
      <c r="P1306" s="82"/>
      <c r="Q1306" s="65" t="s">
        <v>43</v>
      </c>
      <c r="R1306" s="65"/>
    </row>
    <row r="1307" ht="41.4" spans="1:18">
      <c r="A1307" s="58">
        <v>1284</v>
      </c>
      <c r="B1307" s="108">
        <v>45833</v>
      </c>
      <c r="C1307" s="81" t="s">
        <v>85</v>
      </c>
      <c r="D1307" s="61" t="s">
        <v>60</v>
      </c>
      <c r="E1307" s="65" t="s">
        <v>86</v>
      </c>
      <c r="F1307" s="107" t="s">
        <v>36</v>
      </c>
      <c r="G1307" s="65" t="s">
        <v>65</v>
      </c>
      <c r="H1307" s="65" t="s">
        <v>1008</v>
      </c>
      <c r="I1307" s="80" t="s">
        <v>2149</v>
      </c>
      <c r="J1307" s="65" t="s">
        <v>88</v>
      </c>
      <c r="K1307" s="91" t="s">
        <v>2150</v>
      </c>
      <c r="L1307" s="87" t="s">
        <v>2151</v>
      </c>
      <c r="M1307" s="65"/>
      <c r="N1307" s="65"/>
      <c r="O1307" s="81"/>
      <c r="P1307" s="82"/>
      <c r="Q1307" s="65" t="s">
        <v>43</v>
      </c>
      <c r="R1307" s="65"/>
    </row>
    <row r="1308" ht="27.6" spans="1:18">
      <c r="A1308" s="58">
        <v>1285</v>
      </c>
      <c r="B1308" s="108">
        <v>45830</v>
      </c>
      <c r="C1308" s="81" t="s">
        <v>2051</v>
      </c>
      <c r="D1308" s="61" t="s">
        <v>72</v>
      </c>
      <c r="E1308" s="65" t="s">
        <v>804</v>
      </c>
      <c r="F1308" s="107" t="s">
        <v>36</v>
      </c>
      <c r="G1308" s="65" t="s">
        <v>45</v>
      </c>
      <c r="H1308" s="65" t="s">
        <v>128</v>
      </c>
      <c r="I1308" s="80" t="s">
        <v>2152</v>
      </c>
      <c r="J1308" s="65" t="s">
        <v>88</v>
      </c>
      <c r="K1308" s="91" t="s">
        <v>2153</v>
      </c>
      <c r="L1308" s="87"/>
      <c r="M1308" s="65"/>
      <c r="N1308" s="65"/>
      <c r="O1308" s="81"/>
      <c r="P1308" s="82"/>
      <c r="Q1308" s="65" t="s">
        <v>43</v>
      </c>
      <c r="R1308" s="65"/>
    </row>
    <row r="1309" ht="27.6" spans="1:18">
      <c r="A1309" s="58">
        <v>1286</v>
      </c>
      <c r="B1309" s="108">
        <v>45832</v>
      </c>
      <c r="C1309" s="81" t="s">
        <v>2051</v>
      </c>
      <c r="D1309" s="61" t="s">
        <v>72</v>
      </c>
      <c r="E1309" s="65" t="s">
        <v>804</v>
      </c>
      <c r="F1309" s="107" t="s">
        <v>36</v>
      </c>
      <c r="G1309" s="65" t="s">
        <v>45</v>
      </c>
      <c r="H1309" s="65" t="s">
        <v>56</v>
      </c>
      <c r="I1309" s="80" t="s">
        <v>2154</v>
      </c>
      <c r="J1309" s="65" t="s">
        <v>88</v>
      </c>
      <c r="K1309" s="91" t="s">
        <v>2155</v>
      </c>
      <c r="L1309" s="87"/>
      <c r="M1309" s="65"/>
      <c r="N1309" s="65"/>
      <c r="O1309" s="81"/>
      <c r="P1309" s="82"/>
      <c r="Q1309" s="65" t="s">
        <v>43</v>
      </c>
      <c r="R1309" s="65"/>
    </row>
    <row r="1310" ht="27.6" spans="1:18">
      <c r="A1310" s="58">
        <v>1287</v>
      </c>
      <c r="B1310" s="108">
        <v>45810</v>
      </c>
      <c r="C1310" s="64" t="s">
        <v>49</v>
      </c>
      <c r="D1310" s="62" t="s">
        <v>35</v>
      </c>
      <c r="E1310" s="62" t="s">
        <v>804</v>
      </c>
      <c r="F1310" s="105" t="s">
        <v>36</v>
      </c>
      <c r="G1310" s="62" t="s">
        <v>588</v>
      </c>
      <c r="H1310" s="62" t="s">
        <v>46</v>
      </c>
      <c r="I1310" s="78" t="s">
        <v>398</v>
      </c>
      <c r="J1310" s="62" t="s">
        <v>91</v>
      </c>
      <c r="K1310" s="67" t="s">
        <v>399</v>
      </c>
      <c r="L1310" s="70"/>
      <c r="M1310" s="62"/>
      <c r="N1310" s="62"/>
      <c r="O1310" s="64"/>
      <c r="P1310" s="79"/>
      <c r="Q1310" s="62" t="s">
        <v>43</v>
      </c>
      <c r="R1310" s="62"/>
    </row>
    <row r="1311" ht="13.8" spans="1:18">
      <c r="A1311" s="58">
        <v>1288</v>
      </c>
      <c r="B1311" s="108">
        <v>45810</v>
      </c>
      <c r="C1311" s="64" t="s">
        <v>198</v>
      </c>
      <c r="D1311" s="62" t="s">
        <v>35</v>
      </c>
      <c r="E1311" s="62" t="s">
        <v>804</v>
      </c>
      <c r="F1311" s="105" t="s">
        <v>36</v>
      </c>
      <c r="G1311" s="62" t="s">
        <v>45</v>
      </c>
      <c r="H1311" s="62" t="s">
        <v>46</v>
      </c>
      <c r="I1311" s="78" t="s">
        <v>2156</v>
      </c>
      <c r="J1311" s="62" t="s">
        <v>40</v>
      </c>
      <c r="K1311" s="67" t="s">
        <v>435</v>
      </c>
      <c r="L1311" s="70"/>
      <c r="M1311" s="62"/>
      <c r="N1311" s="62"/>
      <c r="O1311" s="64"/>
      <c r="P1311" s="79"/>
      <c r="Q1311" s="62" t="s">
        <v>43</v>
      </c>
      <c r="R1311" s="62"/>
    </row>
    <row r="1312" ht="13.8" spans="1:18">
      <c r="A1312" s="58">
        <v>1289</v>
      </c>
      <c r="B1312" s="108">
        <v>45810</v>
      </c>
      <c r="C1312" s="64" t="s">
        <v>1933</v>
      </c>
      <c r="D1312" s="62" t="s">
        <v>35</v>
      </c>
      <c r="E1312" s="62" t="s">
        <v>804</v>
      </c>
      <c r="F1312" s="105" t="s">
        <v>36</v>
      </c>
      <c r="G1312" s="62" t="s">
        <v>1790</v>
      </c>
      <c r="H1312" s="62" t="s">
        <v>94</v>
      </c>
      <c r="I1312" s="78" t="s">
        <v>451</v>
      </c>
      <c r="J1312" s="62" t="s">
        <v>40</v>
      </c>
      <c r="K1312" s="67" t="s">
        <v>2157</v>
      </c>
      <c r="L1312" s="70"/>
      <c r="M1312" s="62"/>
      <c r="N1312" s="62"/>
      <c r="O1312" s="64"/>
      <c r="P1312" s="79"/>
      <c r="Q1312" s="62" t="s">
        <v>43</v>
      </c>
      <c r="R1312" s="62"/>
    </row>
    <row r="1313" ht="13.8" spans="1:18">
      <c r="A1313" s="58">
        <v>1290</v>
      </c>
      <c r="B1313" s="108">
        <v>45810</v>
      </c>
      <c r="C1313" s="64" t="s">
        <v>191</v>
      </c>
      <c r="D1313" s="62" t="s">
        <v>35</v>
      </c>
      <c r="E1313" s="62" t="s">
        <v>804</v>
      </c>
      <c r="F1313" s="105" t="s">
        <v>36</v>
      </c>
      <c r="G1313" s="62" t="s">
        <v>61</v>
      </c>
      <c r="H1313" s="62" t="s">
        <v>94</v>
      </c>
      <c r="I1313" s="78" t="s">
        <v>1436</v>
      </c>
      <c r="J1313" s="62" t="s">
        <v>40</v>
      </c>
      <c r="K1313" s="67" t="s">
        <v>1437</v>
      </c>
      <c r="L1313" s="70"/>
      <c r="M1313" s="62"/>
      <c r="N1313" s="62"/>
      <c r="O1313" s="64"/>
      <c r="P1313" s="79"/>
      <c r="Q1313" s="62" t="s">
        <v>43</v>
      </c>
      <c r="R1313" s="62"/>
    </row>
    <row r="1314" ht="13.8" spans="1:18">
      <c r="A1314" s="58">
        <v>1291</v>
      </c>
      <c r="B1314" s="108">
        <v>45810</v>
      </c>
      <c r="C1314" s="64" t="s">
        <v>1903</v>
      </c>
      <c r="D1314" s="62" t="s">
        <v>35</v>
      </c>
      <c r="E1314" s="62" t="s">
        <v>804</v>
      </c>
      <c r="F1314" s="105" t="s">
        <v>36</v>
      </c>
      <c r="G1314" s="62" t="s">
        <v>82</v>
      </c>
      <c r="H1314" s="62" t="s">
        <v>46</v>
      </c>
      <c r="I1314" s="78" t="s">
        <v>434</v>
      </c>
      <c r="J1314" s="62" t="s">
        <v>40</v>
      </c>
      <c r="K1314" s="67" t="s">
        <v>435</v>
      </c>
      <c r="L1314" s="70"/>
      <c r="M1314" s="62"/>
      <c r="N1314" s="62"/>
      <c r="O1314" s="64"/>
      <c r="P1314" s="79"/>
      <c r="Q1314" s="62" t="s">
        <v>43</v>
      </c>
      <c r="R1314" s="62"/>
    </row>
    <row r="1315" ht="13.8" spans="1:18">
      <c r="A1315" s="58">
        <v>1292</v>
      </c>
      <c r="B1315" s="108">
        <v>45810</v>
      </c>
      <c r="C1315" s="60" t="s">
        <v>1938</v>
      </c>
      <c r="D1315" s="62" t="s">
        <v>35</v>
      </c>
      <c r="E1315" s="62" t="s">
        <v>804</v>
      </c>
      <c r="F1315" s="105" t="s">
        <v>36</v>
      </c>
      <c r="G1315" s="62" t="s">
        <v>131</v>
      </c>
      <c r="H1315" s="62" t="s">
        <v>94</v>
      </c>
      <c r="I1315" s="78" t="s">
        <v>509</v>
      </c>
      <c r="J1315" s="62" t="s">
        <v>40</v>
      </c>
      <c r="K1315" s="67" t="s">
        <v>510</v>
      </c>
      <c r="L1315" s="70"/>
      <c r="M1315" s="62"/>
      <c r="N1315" s="62"/>
      <c r="O1315" s="64"/>
      <c r="P1315" s="79"/>
      <c r="Q1315" s="62" t="s">
        <v>43</v>
      </c>
      <c r="R1315" s="62"/>
    </row>
    <row r="1316" ht="13.8" spans="1:18">
      <c r="A1316" s="58">
        <v>1293</v>
      </c>
      <c r="B1316" s="108">
        <v>45810</v>
      </c>
      <c r="C1316" s="64" t="s">
        <v>1933</v>
      </c>
      <c r="D1316" s="62" t="s">
        <v>35</v>
      </c>
      <c r="E1316" s="62" t="s">
        <v>804</v>
      </c>
      <c r="F1316" s="105" t="s">
        <v>36</v>
      </c>
      <c r="G1316" s="62" t="s">
        <v>588</v>
      </c>
      <c r="H1316" s="62" t="s">
        <v>128</v>
      </c>
      <c r="I1316" s="78" t="s">
        <v>535</v>
      </c>
      <c r="J1316" s="62" t="s">
        <v>40</v>
      </c>
      <c r="K1316" s="67" t="s">
        <v>2158</v>
      </c>
      <c r="L1316" s="70"/>
      <c r="M1316" s="62"/>
      <c r="N1316" s="62"/>
      <c r="O1316" s="64"/>
      <c r="P1316" s="79"/>
      <c r="Q1316" s="62" t="s">
        <v>43</v>
      </c>
      <c r="R1316" s="62"/>
    </row>
    <row r="1317" ht="27.6" spans="1:18">
      <c r="A1317" s="58">
        <v>1294</v>
      </c>
      <c r="B1317" s="108">
        <v>45810</v>
      </c>
      <c r="C1317" s="69" t="s">
        <v>1076</v>
      </c>
      <c r="D1317" s="62" t="s">
        <v>35</v>
      </c>
      <c r="E1317" s="62" t="s">
        <v>1077</v>
      </c>
      <c r="F1317" s="105" t="s">
        <v>36</v>
      </c>
      <c r="G1317" s="62" t="s">
        <v>45</v>
      </c>
      <c r="H1317" s="62" t="s">
        <v>46</v>
      </c>
      <c r="I1317" s="78" t="s">
        <v>525</v>
      </c>
      <c r="J1317" s="62" t="s">
        <v>40</v>
      </c>
      <c r="K1317" s="67" t="s">
        <v>526</v>
      </c>
      <c r="L1317" s="70"/>
      <c r="M1317" s="62"/>
      <c r="N1317" s="62"/>
      <c r="O1317" s="64"/>
      <c r="P1317" s="79"/>
      <c r="Q1317" s="62" t="s">
        <v>43</v>
      </c>
      <c r="R1317" s="62"/>
    </row>
    <row r="1318" ht="27.6" spans="1:18">
      <c r="A1318" s="58">
        <v>1295</v>
      </c>
      <c r="B1318" s="108">
        <v>45809</v>
      </c>
      <c r="C1318" s="64" t="s">
        <v>49</v>
      </c>
      <c r="D1318" s="62" t="s">
        <v>35</v>
      </c>
      <c r="E1318" s="62" t="s">
        <v>804</v>
      </c>
      <c r="F1318" s="105" t="s">
        <v>36</v>
      </c>
      <c r="G1318" s="62" t="s">
        <v>1790</v>
      </c>
      <c r="H1318" s="62" t="s">
        <v>94</v>
      </c>
      <c r="I1318" s="78" t="s">
        <v>537</v>
      </c>
      <c r="J1318" s="62" t="s">
        <v>40</v>
      </c>
      <c r="K1318" s="67" t="s">
        <v>538</v>
      </c>
      <c r="L1318" s="70"/>
      <c r="M1318" s="62"/>
      <c r="N1318" s="62"/>
      <c r="O1318" s="64"/>
      <c r="P1318" s="79"/>
      <c r="Q1318" s="62" t="s">
        <v>43</v>
      </c>
      <c r="R1318" s="62"/>
    </row>
    <row r="1319" ht="27.6" spans="1:18">
      <c r="A1319" s="58">
        <v>1296</v>
      </c>
      <c r="B1319" s="108">
        <v>45809</v>
      </c>
      <c r="C1319" s="64" t="s">
        <v>198</v>
      </c>
      <c r="D1319" s="62" t="s">
        <v>35</v>
      </c>
      <c r="E1319" s="62" t="s">
        <v>804</v>
      </c>
      <c r="F1319" s="105" t="s">
        <v>36</v>
      </c>
      <c r="G1319" s="62" t="s">
        <v>61</v>
      </c>
      <c r="H1319" s="62" t="s">
        <v>38</v>
      </c>
      <c r="I1319" s="78" t="s">
        <v>2159</v>
      </c>
      <c r="J1319" s="62" t="s">
        <v>40</v>
      </c>
      <c r="K1319" s="67" t="s">
        <v>566</v>
      </c>
      <c r="L1319" s="70"/>
      <c r="M1319" s="62"/>
      <c r="N1319" s="62"/>
      <c r="O1319" s="64"/>
      <c r="P1319" s="79"/>
      <c r="Q1319" s="62" t="s">
        <v>43</v>
      </c>
      <c r="R1319" s="62"/>
    </row>
    <row r="1320" ht="27.6" spans="1:18">
      <c r="A1320" s="58">
        <v>1297</v>
      </c>
      <c r="B1320" s="108">
        <v>45809</v>
      </c>
      <c r="C1320" s="64" t="s">
        <v>1933</v>
      </c>
      <c r="D1320" s="62" t="s">
        <v>35</v>
      </c>
      <c r="E1320" s="62" t="s">
        <v>804</v>
      </c>
      <c r="F1320" s="105" t="s">
        <v>36</v>
      </c>
      <c r="G1320" s="62" t="s">
        <v>82</v>
      </c>
      <c r="H1320" s="62" t="s">
        <v>56</v>
      </c>
      <c r="I1320" s="78" t="s">
        <v>178</v>
      </c>
      <c r="J1320" s="62" t="s">
        <v>40</v>
      </c>
      <c r="K1320" s="67" t="s">
        <v>179</v>
      </c>
      <c r="L1320" s="70"/>
      <c r="M1320" s="62"/>
      <c r="N1320" s="62"/>
      <c r="O1320" s="64"/>
      <c r="P1320" s="79"/>
      <c r="Q1320" s="62" t="s">
        <v>43</v>
      </c>
      <c r="R1320" s="62"/>
    </row>
    <row r="1321" ht="13.8" spans="1:18">
      <c r="A1321" s="58">
        <v>1298</v>
      </c>
      <c r="B1321" s="108">
        <v>45809</v>
      </c>
      <c r="C1321" s="64" t="s">
        <v>49</v>
      </c>
      <c r="D1321" s="62" t="s">
        <v>35</v>
      </c>
      <c r="E1321" s="62" t="s">
        <v>804</v>
      </c>
      <c r="F1321" s="105" t="s">
        <v>36</v>
      </c>
      <c r="G1321" s="62" t="s">
        <v>131</v>
      </c>
      <c r="H1321" s="62" t="s">
        <v>94</v>
      </c>
      <c r="I1321" s="78" t="s">
        <v>451</v>
      </c>
      <c r="J1321" s="62" t="s">
        <v>40</v>
      </c>
      <c r="K1321" s="67" t="s">
        <v>452</v>
      </c>
      <c r="L1321" s="70"/>
      <c r="M1321" s="62"/>
      <c r="N1321" s="62"/>
      <c r="O1321" s="64"/>
      <c r="P1321" s="79"/>
      <c r="Q1321" s="62" t="s">
        <v>43</v>
      </c>
      <c r="R1321" s="62"/>
    </row>
    <row r="1322" ht="13.8" spans="1:18">
      <c r="A1322" s="58">
        <v>1299</v>
      </c>
      <c r="B1322" s="108">
        <v>45809</v>
      </c>
      <c r="C1322" s="64" t="s">
        <v>198</v>
      </c>
      <c r="D1322" s="62" t="s">
        <v>35</v>
      </c>
      <c r="E1322" s="62" t="s">
        <v>804</v>
      </c>
      <c r="F1322" s="105" t="s">
        <v>36</v>
      </c>
      <c r="G1322" s="62" t="s">
        <v>45</v>
      </c>
      <c r="H1322" s="62" t="s">
        <v>46</v>
      </c>
      <c r="I1322" s="78" t="s">
        <v>434</v>
      </c>
      <c r="J1322" s="62" t="s">
        <v>40</v>
      </c>
      <c r="K1322" s="67" t="s">
        <v>435</v>
      </c>
      <c r="L1322" s="70"/>
      <c r="M1322" s="62"/>
      <c r="N1322" s="62"/>
      <c r="O1322" s="64"/>
      <c r="P1322" s="79"/>
      <c r="Q1322" s="62" t="s">
        <v>43</v>
      </c>
      <c r="R1322" s="62"/>
    </row>
    <row r="1323" ht="13.8" spans="1:18">
      <c r="A1323" s="58">
        <v>1300</v>
      </c>
      <c r="B1323" s="108">
        <v>45809</v>
      </c>
      <c r="C1323" s="64" t="s">
        <v>1933</v>
      </c>
      <c r="D1323" s="62" t="s">
        <v>35</v>
      </c>
      <c r="E1323" s="62" t="s">
        <v>804</v>
      </c>
      <c r="F1323" s="105" t="s">
        <v>36</v>
      </c>
      <c r="G1323" s="62" t="s">
        <v>45</v>
      </c>
      <c r="H1323" s="62" t="s">
        <v>46</v>
      </c>
      <c r="I1323" s="78" t="s">
        <v>1026</v>
      </c>
      <c r="J1323" s="62" t="s">
        <v>40</v>
      </c>
      <c r="K1323" s="67" t="s">
        <v>1027</v>
      </c>
      <c r="L1323" s="70"/>
      <c r="M1323" s="62"/>
      <c r="N1323" s="62"/>
      <c r="O1323" s="64"/>
      <c r="P1323" s="79"/>
      <c r="Q1323" s="62" t="s">
        <v>43</v>
      </c>
      <c r="R1323" s="62"/>
    </row>
    <row r="1324" ht="26.4" spans="1:18">
      <c r="A1324" s="58">
        <v>1301</v>
      </c>
      <c r="B1324" s="108">
        <v>45809</v>
      </c>
      <c r="C1324" s="64" t="s">
        <v>191</v>
      </c>
      <c r="D1324" s="62" t="s">
        <v>35</v>
      </c>
      <c r="E1324" s="62" t="s">
        <v>804</v>
      </c>
      <c r="F1324" s="105" t="s">
        <v>36</v>
      </c>
      <c r="G1324" s="62" t="s">
        <v>588</v>
      </c>
      <c r="H1324" s="62" t="s">
        <v>66</v>
      </c>
      <c r="I1324" s="78" t="s">
        <v>1072</v>
      </c>
      <c r="J1324" s="62" t="s">
        <v>40</v>
      </c>
      <c r="K1324" s="67" t="s">
        <v>1073</v>
      </c>
      <c r="L1324" s="70"/>
      <c r="M1324" s="62"/>
      <c r="N1324" s="62"/>
      <c r="O1324" s="64"/>
      <c r="P1324" s="79"/>
      <c r="Q1324" s="62" t="s">
        <v>43</v>
      </c>
      <c r="R1324" s="62"/>
    </row>
    <row r="1325" ht="27.6" spans="1:18">
      <c r="A1325" s="58">
        <v>1302</v>
      </c>
      <c r="B1325" s="108">
        <v>45809</v>
      </c>
      <c r="C1325" s="64" t="s">
        <v>453</v>
      </c>
      <c r="D1325" s="62" t="s">
        <v>35</v>
      </c>
      <c r="E1325" s="62" t="s">
        <v>589</v>
      </c>
      <c r="F1325" s="105" t="s">
        <v>36</v>
      </c>
      <c r="G1325" s="62" t="s">
        <v>45</v>
      </c>
      <c r="H1325" s="62" t="s">
        <v>128</v>
      </c>
      <c r="I1325" s="78" t="s">
        <v>1081</v>
      </c>
      <c r="J1325" s="62" t="s">
        <v>40</v>
      </c>
      <c r="K1325" s="67" t="s">
        <v>207</v>
      </c>
      <c r="L1325" s="70"/>
      <c r="M1325" s="62"/>
      <c r="N1325" s="62"/>
      <c r="O1325" s="64"/>
      <c r="P1325" s="79"/>
      <c r="Q1325" s="62" t="s">
        <v>43</v>
      </c>
      <c r="R1325" s="62"/>
    </row>
    <row r="1326" ht="27.6" spans="1:18">
      <c r="A1326" s="58">
        <v>1303</v>
      </c>
      <c r="B1326" s="108">
        <v>45811</v>
      </c>
      <c r="C1326" s="60" t="s">
        <v>1938</v>
      </c>
      <c r="D1326" s="62" t="s">
        <v>35</v>
      </c>
      <c r="E1326" s="62" t="s">
        <v>804</v>
      </c>
      <c r="F1326" s="105" t="s">
        <v>36</v>
      </c>
      <c r="G1326" s="62" t="s">
        <v>1790</v>
      </c>
      <c r="H1326" s="62" t="s">
        <v>56</v>
      </c>
      <c r="I1326" s="78" t="s">
        <v>1210</v>
      </c>
      <c r="J1326" s="62" t="s">
        <v>91</v>
      </c>
      <c r="K1326" s="67" t="s">
        <v>2160</v>
      </c>
      <c r="L1326" s="70"/>
      <c r="M1326" s="62"/>
      <c r="N1326" s="62"/>
      <c r="O1326" s="64"/>
      <c r="P1326" s="79"/>
      <c r="Q1326" s="62" t="s">
        <v>43</v>
      </c>
      <c r="R1326" s="62"/>
    </row>
    <row r="1327" ht="27.6" spans="1:18">
      <c r="A1327" s="58">
        <v>1304</v>
      </c>
      <c r="B1327" s="108">
        <v>45811</v>
      </c>
      <c r="C1327" s="64" t="s">
        <v>1933</v>
      </c>
      <c r="D1327" s="62" t="s">
        <v>35</v>
      </c>
      <c r="E1327" s="62" t="s">
        <v>804</v>
      </c>
      <c r="F1327" s="105" t="s">
        <v>36</v>
      </c>
      <c r="G1327" s="62" t="s">
        <v>61</v>
      </c>
      <c r="H1327" s="62" t="s">
        <v>56</v>
      </c>
      <c r="I1327" s="78" t="s">
        <v>2161</v>
      </c>
      <c r="J1327" s="62" t="s">
        <v>40</v>
      </c>
      <c r="K1327" s="67" t="s">
        <v>2162</v>
      </c>
      <c r="L1327" s="70"/>
      <c r="M1327" s="62"/>
      <c r="N1327" s="62"/>
      <c r="O1327" s="64"/>
      <c r="P1327" s="79"/>
      <c r="Q1327" s="62" t="s">
        <v>43</v>
      </c>
      <c r="R1327" s="62"/>
    </row>
    <row r="1328" ht="27.6" spans="1:18">
      <c r="A1328" s="58">
        <v>1305</v>
      </c>
      <c r="B1328" s="108">
        <v>45811</v>
      </c>
      <c r="C1328" s="60" t="s">
        <v>1938</v>
      </c>
      <c r="D1328" s="62" t="s">
        <v>35</v>
      </c>
      <c r="E1328" s="62" t="s">
        <v>804</v>
      </c>
      <c r="F1328" s="105" t="s">
        <v>36</v>
      </c>
      <c r="G1328" s="62" t="s">
        <v>82</v>
      </c>
      <c r="H1328" s="62" t="s">
        <v>56</v>
      </c>
      <c r="I1328" s="78" t="s">
        <v>2163</v>
      </c>
      <c r="J1328" s="62" t="s">
        <v>40</v>
      </c>
      <c r="K1328" s="67" t="s">
        <v>1162</v>
      </c>
      <c r="L1328" s="70"/>
      <c r="M1328" s="62"/>
      <c r="N1328" s="62"/>
      <c r="O1328" s="64"/>
      <c r="P1328" s="79"/>
      <c r="Q1328" s="62" t="s">
        <v>43</v>
      </c>
      <c r="R1328" s="62"/>
    </row>
    <row r="1329" ht="27.6" spans="1:18">
      <c r="A1329" s="58">
        <v>1306</v>
      </c>
      <c r="B1329" s="108">
        <v>45811</v>
      </c>
      <c r="C1329" s="64" t="s">
        <v>49</v>
      </c>
      <c r="D1329" s="62" t="s">
        <v>35</v>
      </c>
      <c r="E1329" s="62" t="s">
        <v>804</v>
      </c>
      <c r="F1329" s="105" t="s">
        <v>36</v>
      </c>
      <c r="G1329" s="62" t="s">
        <v>131</v>
      </c>
      <c r="H1329" s="62" t="s">
        <v>128</v>
      </c>
      <c r="I1329" s="78" t="s">
        <v>1208</v>
      </c>
      <c r="J1329" s="62" t="s">
        <v>40</v>
      </c>
      <c r="K1329" s="67" t="s">
        <v>2164</v>
      </c>
      <c r="L1329" s="70"/>
      <c r="M1329" s="62"/>
      <c r="N1329" s="62"/>
      <c r="O1329" s="64"/>
      <c r="P1329" s="79"/>
      <c r="Q1329" s="62" t="s">
        <v>43</v>
      </c>
      <c r="R1329" s="62"/>
    </row>
    <row r="1330" ht="13.8" spans="1:18">
      <c r="A1330" s="58">
        <v>1307</v>
      </c>
      <c r="B1330" s="108">
        <v>45811</v>
      </c>
      <c r="C1330" s="64" t="s">
        <v>198</v>
      </c>
      <c r="D1330" s="62" t="s">
        <v>35</v>
      </c>
      <c r="E1330" s="62" t="s">
        <v>804</v>
      </c>
      <c r="F1330" s="105" t="s">
        <v>36</v>
      </c>
      <c r="G1330" s="62" t="s">
        <v>588</v>
      </c>
      <c r="H1330" s="62" t="s">
        <v>128</v>
      </c>
      <c r="I1330" s="78" t="s">
        <v>2165</v>
      </c>
      <c r="J1330" s="62" t="s">
        <v>40</v>
      </c>
      <c r="K1330" s="67" t="s">
        <v>2166</v>
      </c>
      <c r="L1330" s="70"/>
      <c r="M1330" s="62"/>
      <c r="N1330" s="62"/>
      <c r="O1330" s="64"/>
      <c r="P1330" s="79"/>
      <c r="Q1330" s="62" t="s">
        <v>43</v>
      </c>
      <c r="R1330" s="62"/>
    </row>
    <row r="1331" ht="13.8" spans="1:18">
      <c r="A1331" s="58">
        <v>1308</v>
      </c>
      <c r="B1331" s="108">
        <v>45809</v>
      </c>
      <c r="C1331" s="64" t="s">
        <v>1933</v>
      </c>
      <c r="D1331" s="62" t="s">
        <v>35</v>
      </c>
      <c r="E1331" s="62" t="s">
        <v>804</v>
      </c>
      <c r="F1331" s="105" t="s">
        <v>50</v>
      </c>
      <c r="G1331" s="62" t="s">
        <v>45</v>
      </c>
      <c r="H1331" s="62" t="s">
        <v>51</v>
      </c>
      <c r="I1331" s="78" t="s">
        <v>367</v>
      </c>
      <c r="J1331" s="62" t="s">
        <v>40</v>
      </c>
      <c r="K1331" s="67" t="s">
        <v>1429</v>
      </c>
      <c r="L1331" s="70"/>
      <c r="M1331" s="62"/>
      <c r="N1331" s="62"/>
      <c r="O1331" s="64"/>
      <c r="P1331" s="79"/>
      <c r="Q1331" s="62" t="s">
        <v>43</v>
      </c>
      <c r="R1331" s="62"/>
    </row>
    <row r="1332" ht="13.8" spans="1:18">
      <c r="A1332" s="58">
        <v>1309</v>
      </c>
      <c r="B1332" s="108">
        <v>45810</v>
      </c>
      <c r="C1332" s="69" t="s">
        <v>1076</v>
      </c>
      <c r="D1332" s="62" t="s">
        <v>35</v>
      </c>
      <c r="E1332" s="62" t="s">
        <v>1077</v>
      </c>
      <c r="F1332" s="105" t="s">
        <v>50</v>
      </c>
      <c r="G1332" s="62" t="s">
        <v>1790</v>
      </c>
      <c r="H1332" s="62" t="s">
        <v>51</v>
      </c>
      <c r="I1332" s="78" t="s">
        <v>507</v>
      </c>
      <c r="J1332" s="62" t="s">
        <v>91</v>
      </c>
      <c r="K1332" s="67" t="s">
        <v>508</v>
      </c>
      <c r="L1332" s="70"/>
      <c r="M1332" s="62"/>
      <c r="N1332" s="62"/>
      <c r="O1332" s="64"/>
      <c r="P1332" s="79"/>
      <c r="Q1332" s="62" t="s">
        <v>43</v>
      </c>
      <c r="R1332" s="62"/>
    </row>
    <row r="1333" ht="27.6" spans="1:18">
      <c r="A1333" s="58">
        <v>1310</v>
      </c>
      <c r="B1333" s="108">
        <v>45811</v>
      </c>
      <c r="C1333" s="64" t="s">
        <v>198</v>
      </c>
      <c r="D1333" s="62" t="s">
        <v>35</v>
      </c>
      <c r="E1333" s="62" t="s">
        <v>804</v>
      </c>
      <c r="F1333" s="105" t="s">
        <v>50</v>
      </c>
      <c r="G1333" s="62" t="s">
        <v>61</v>
      </c>
      <c r="H1333" s="62" t="s">
        <v>97</v>
      </c>
      <c r="I1333" s="78" t="s">
        <v>392</v>
      </c>
      <c r="J1333" s="62" t="s">
        <v>91</v>
      </c>
      <c r="K1333" s="67" t="s">
        <v>393</v>
      </c>
      <c r="L1333" s="70"/>
      <c r="M1333" s="62"/>
      <c r="N1333" s="62"/>
      <c r="O1333" s="64"/>
      <c r="P1333" s="79"/>
      <c r="Q1333" s="62" t="s">
        <v>43</v>
      </c>
      <c r="R1333" s="62"/>
    </row>
    <row r="1334" ht="13.8" spans="1:18">
      <c r="A1334" s="58">
        <v>1311</v>
      </c>
      <c r="B1334" s="108">
        <v>45810</v>
      </c>
      <c r="C1334" s="64" t="s">
        <v>1933</v>
      </c>
      <c r="D1334" s="62" t="s">
        <v>35</v>
      </c>
      <c r="E1334" s="62" t="s">
        <v>804</v>
      </c>
      <c r="F1334" s="105" t="s">
        <v>50</v>
      </c>
      <c r="G1334" s="62" t="s">
        <v>82</v>
      </c>
      <c r="H1334" s="62" t="s">
        <v>51</v>
      </c>
      <c r="I1334" s="78" t="s">
        <v>221</v>
      </c>
      <c r="J1334" s="62" t="s">
        <v>91</v>
      </c>
      <c r="K1334" s="67" t="s">
        <v>570</v>
      </c>
      <c r="L1334" s="70"/>
      <c r="M1334" s="62"/>
      <c r="N1334" s="62"/>
      <c r="O1334" s="64"/>
      <c r="P1334" s="79"/>
      <c r="Q1334" s="62" t="s">
        <v>43</v>
      </c>
      <c r="R1334" s="62"/>
    </row>
    <row r="1335" ht="13.8" spans="1:18">
      <c r="A1335" s="58">
        <v>1312</v>
      </c>
      <c r="B1335" s="108">
        <v>45810</v>
      </c>
      <c r="C1335" s="64" t="s">
        <v>191</v>
      </c>
      <c r="D1335" s="62" t="s">
        <v>35</v>
      </c>
      <c r="E1335" s="62" t="s">
        <v>804</v>
      </c>
      <c r="F1335" s="105" t="s">
        <v>50</v>
      </c>
      <c r="G1335" s="62" t="s">
        <v>131</v>
      </c>
      <c r="H1335" s="62" t="s">
        <v>51</v>
      </c>
      <c r="I1335" s="78" t="s">
        <v>2167</v>
      </c>
      <c r="J1335" s="62" t="s">
        <v>91</v>
      </c>
      <c r="K1335" s="67" t="s">
        <v>371</v>
      </c>
      <c r="L1335" s="70"/>
      <c r="M1335" s="62"/>
      <c r="N1335" s="62"/>
      <c r="O1335" s="64"/>
      <c r="P1335" s="79"/>
      <c r="Q1335" s="62" t="s">
        <v>43</v>
      </c>
      <c r="R1335" s="62"/>
    </row>
    <row r="1336" ht="26.4" spans="1:18">
      <c r="A1336" s="58">
        <v>1313</v>
      </c>
      <c r="B1336" s="108">
        <v>45809</v>
      </c>
      <c r="C1336" s="64" t="s">
        <v>1903</v>
      </c>
      <c r="D1336" s="62" t="s">
        <v>35</v>
      </c>
      <c r="E1336" s="62" t="s">
        <v>804</v>
      </c>
      <c r="F1336" s="105" t="s">
        <v>192</v>
      </c>
      <c r="G1336" s="62" t="s">
        <v>131</v>
      </c>
      <c r="H1336" s="62" t="s">
        <v>51</v>
      </c>
      <c r="I1336" s="78" t="s">
        <v>321</v>
      </c>
      <c r="J1336" s="62" t="s">
        <v>137</v>
      </c>
      <c r="K1336" s="67" t="s">
        <v>1874</v>
      </c>
      <c r="L1336" s="70"/>
      <c r="M1336" s="62"/>
      <c r="N1336" s="62"/>
      <c r="O1336" s="64"/>
      <c r="P1336" s="79"/>
      <c r="Q1336" s="62" t="s">
        <v>8</v>
      </c>
      <c r="R1336" s="62"/>
    </row>
    <row r="1337" ht="13.8" spans="1:18">
      <c r="A1337" s="58">
        <v>1314</v>
      </c>
      <c r="B1337" s="108">
        <v>45810</v>
      </c>
      <c r="C1337" s="60" t="s">
        <v>1938</v>
      </c>
      <c r="D1337" s="62" t="s">
        <v>35</v>
      </c>
      <c r="E1337" s="62" t="s">
        <v>804</v>
      </c>
      <c r="F1337" s="105" t="s">
        <v>192</v>
      </c>
      <c r="G1337" s="62" t="s">
        <v>262</v>
      </c>
      <c r="H1337" s="62" t="s">
        <v>51</v>
      </c>
      <c r="I1337" s="78" t="s">
        <v>2168</v>
      </c>
      <c r="J1337" s="62" t="s">
        <v>137</v>
      </c>
      <c r="K1337" s="67" t="s">
        <v>194</v>
      </c>
      <c r="L1337" s="70"/>
      <c r="M1337" s="62"/>
      <c r="N1337" s="62"/>
      <c r="O1337" s="64"/>
      <c r="P1337" s="79"/>
      <c r="Q1337" s="62" t="s">
        <v>8</v>
      </c>
      <c r="R1337" s="62"/>
    </row>
    <row r="1338" ht="13.8" spans="1:18">
      <c r="A1338" s="58">
        <v>1315</v>
      </c>
      <c r="B1338" s="108">
        <v>45810</v>
      </c>
      <c r="C1338" s="64" t="s">
        <v>1933</v>
      </c>
      <c r="D1338" s="62" t="s">
        <v>35</v>
      </c>
      <c r="E1338" s="62" t="s">
        <v>804</v>
      </c>
      <c r="F1338" s="105" t="s">
        <v>192</v>
      </c>
      <c r="G1338" s="62" t="s">
        <v>259</v>
      </c>
      <c r="H1338" s="62" t="s">
        <v>51</v>
      </c>
      <c r="I1338" s="78" t="s">
        <v>1885</v>
      </c>
      <c r="J1338" s="62" t="s">
        <v>137</v>
      </c>
      <c r="K1338" s="67" t="s">
        <v>194</v>
      </c>
      <c r="L1338" s="70"/>
      <c r="M1338" s="62"/>
      <c r="N1338" s="62"/>
      <c r="O1338" s="64"/>
      <c r="P1338" s="79"/>
      <c r="Q1338" s="62" t="s">
        <v>8</v>
      </c>
      <c r="R1338" s="62"/>
    </row>
    <row r="1339" ht="13.8" spans="1:18">
      <c r="A1339" s="58">
        <v>1316</v>
      </c>
      <c r="B1339" s="108">
        <v>45810</v>
      </c>
      <c r="C1339" s="64" t="s">
        <v>49</v>
      </c>
      <c r="D1339" s="62" t="s">
        <v>35</v>
      </c>
      <c r="E1339" s="62" t="s">
        <v>804</v>
      </c>
      <c r="F1339" s="105" t="s">
        <v>135</v>
      </c>
      <c r="G1339" s="62" t="s">
        <v>259</v>
      </c>
      <c r="H1339" s="62" t="s">
        <v>56</v>
      </c>
      <c r="I1339" s="78" t="s">
        <v>2169</v>
      </c>
      <c r="J1339" s="62" t="s">
        <v>137</v>
      </c>
      <c r="K1339" s="67" t="s">
        <v>194</v>
      </c>
      <c r="L1339" s="70"/>
      <c r="M1339" s="62"/>
      <c r="N1339" s="62"/>
      <c r="O1339" s="64"/>
      <c r="P1339" s="79"/>
      <c r="Q1339" s="62" t="s">
        <v>8</v>
      </c>
      <c r="R1339" s="62"/>
    </row>
    <row r="1340" ht="13.8" spans="1:18">
      <c r="A1340" s="58">
        <v>1317</v>
      </c>
      <c r="B1340" s="108">
        <v>45809</v>
      </c>
      <c r="C1340" s="64" t="s">
        <v>198</v>
      </c>
      <c r="D1340" s="62" t="s">
        <v>35</v>
      </c>
      <c r="E1340" s="62" t="s">
        <v>804</v>
      </c>
      <c r="F1340" s="105" t="s">
        <v>192</v>
      </c>
      <c r="G1340" s="62" t="s">
        <v>37</v>
      </c>
      <c r="H1340" s="62" t="s">
        <v>234</v>
      </c>
      <c r="I1340" s="78" t="s">
        <v>2170</v>
      </c>
      <c r="J1340" s="62" t="s">
        <v>137</v>
      </c>
      <c r="K1340" s="67" t="s">
        <v>194</v>
      </c>
      <c r="L1340" s="70"/>
      <c r="M1340" s="62"/>
      <c r="N1340" s="62"/>
      <c r="O1340" s="64"/>
      <c r="P1340" s="79"/>
      <c r="Q1340" s="62" t="s">
        <v>8</v>
      </c>
      <c r="R1340" s="62"/>
    </row>
    <row r="1341" ht="27.6" spans="1:18">
      <c r="A1341" s="58">
        <v>1318</v>
      </c>
      <c r="B1341" s="108">
        <v>45824</v>
      </c>
      <c r="C1341" s="64" t="s">
        <v>453</v>
      </c>
      <c r="D1341" s="62" t="s">
        <v>35</v>
      </c>
      <c r="E1341" s="62" t="s">
        <v>589</v>
      </c>
      <c r="F1341" s="105" t="s">
        <v>50</v>
      </c>
      <c r="G1341" s="62" t="s">
        <v>588</v>
      </c>
      <c r="H1341" s="62" t="s">
        <v>94</v>
      </c>
      <c r="I1341" s="78" t="s">
        <v>339</v>
      </c>
      <c r="J1341" s="62" t="s">
        <v>40</v>
      </c>
      <c r="K1341" s="67" t="s">
        <v>340</v>
      </c>
      <c r="L1341" s="70"/>
      <c r="M1341" s="62"/>
      <c r="N1341" s="62"/>
      <c r="O1341" s="64"/>
      <c r="P1341" s="79"/>
      <c r="Q1341" s="62" t="s">
        <v>43</v>
      </c>
      <c r="R1341" s="62"/>
    </row>
    <row r="1342" ht="13.8" spans="1:18">
      <c r="A1342" s="58">
        <v>1319</v>
      </c>
      <c r="B1342" s="108">
        <v>45824</v>
      </c>
      <c r="C1342" s="64" t="s">
        <v>198</v>
      </c>
      <c r="D1342" s="62" t="s">
        <v>35</v>
      </c>
      <c r="E1342" s="62" t="s">
        <v>804</v>
      </c>
      <c r="F1342" s="105" t="s">
        <v>50</v>
      </c>
      <c r="G1342" s="62" t="s">
        <v>45</v>
      </c>
      <c r="H1342" s="62" t="s">
        <v>51</v>
      </c>
      <c r="I1342" s="78" t="s">
        <v>352</v>
      </c>
      <c r="J1342" s="62" t="s">
        <v>91</v>
      </c>
      <c r="K1342" s="67" t="s">
        <v>353</v>
      </c>
      <c r="L1342" s="70"/>
      <c r="M1342" s="62"/>
      <c r="N1342" s="62"/>
      <c r="O1342" s="64"/>
      <c r="P1342" s="79"/>
      <c r="Q1342" s="62" t="s">
        <v>43</v>
      </c>
      <c r="R1342" s="62"/>
    </row>
    <row r="1343" ht="13.8" spans="1:18">
      <c r="A1343" s="58">
        <v>1320</v>
      </c>
      <c r="B1343" s="108">
        <v>45824</v>
      </c>
      <c r="C1343" s="69" t="s">
        <v>1076</v>
      </c>
      <c r="D1343" s="62" t="s">
        <v>35</v>
      </c>
      <c r="E1343" s="62" t="s">
        <v>1077</v>
      </c>
      <c r="F1343" s="105" t="s">
        <v>50</v>
      </c>
      <c r="G1343" s="62" t="s">
        <v>1790</v>
      </c>
      <c r="H1343" s="62" t="s">
        <v>51</v>
      </c>
      <c r="I1343" s="78" t="s">
        <v>370</v>
      </c>
      <c r="J1343" s="62" t="s">
        <v>91</v>
      </c>
      <c r="K1343" s="67" t="s">
        <v>371</v>
      </c>
      <c r="L1343" s="70"/>
      <c r="M1343" s="62"/>
      <c r="N1343" s="62"/>
      <c r="O1343" s="64"/>
      <c r="P1343" s="79"/>
      <c r="Q1343" s="62" t="s">
        <v>43</v>
      </c>
      <c r="R1343" s="62"/>
    </row>
    <row r="1344" ht="27.6" spans="1:18">
      <c r="A1344" s="58">
        <v>1321</v>
      </c>
      <c r="B1344" s="108">
        <v>45824</v>
      </c>
      <c r="C1344" s="64" t="s">
        <v>191</v>
      </c>
      <c r="D1344" s="62" t="s">
        <v>35</v>
      </c>
      <c r="E1344" s="62" t="s">
        <v>804</v>
      </c>
      <c r="F1344" s="105" t="s">
        <v>50</v>
      </c>
      <c r="G1344" s="62" t="s">
        <v>61</v>
      </c>
      <c r="H1344" s="62" t="s">
        <v>97</v>
      </c>
      <c r="I1344" s="78" t="s">
        <v>392</v>
      </c>
      <c r="J1344" s="62" t="s">
        <v>91</v>
      </c>
      <c r="K1344" s="67" t="s">
        <v>393</v>
      </c>
      <c r="L1344" s="70"/>
      <c r="M1344" s="62"/>
      <c r="N1344" s="62"/>
      <c r="O1344" s="64"/>
      <c r="P1344" s="79"/>
      <c r="Q1344" s="62" t="s">
        <v>43</v>
      </c>
      <c r="R1344" s="62"/>
    </row>
    <row r="1345" ht="13.8" spans="1:18">
      <c r="A1345" s="58">
        <v>1322</v>
      </c>
      <c r="B1345" s="108">
        <v>45823</v>
      </c>
      <c r="C1345" s="64" t="s">
        <v>1903</v>
      </c>
      <c r="D1345" s="62" t="s">
        <v>35</v>
      </c>
      <c r="E1345" s="62" t="s">
        <v>804</v>
      </c>
      <c r="F1345" s="105" t="s">
        <v>50</v>
      </c>
      <c r="G1345" s="62" t="s">
        <v>82</v>
      </c>
      <c r="H1345" s="62" t="s">
        <v>51</v>
      </c>
      <c r="I1345" s="78" t="s">
        <v>402</v>
      </c>
      <c r="J1345" s="62" t="s">
        <v>91</v>
      </c>
      <c r="K1345" s="67" t="s">
        <v>403</v>
      </c>
      <c r="L1345" s="70"/>
      <c r="M1345" s="62"/>
      <c r="N1345" s="62"/>
      <c r="O1345" s="64"/>
      <c r="P1345" s="79"/>
      <c r="Q1345" s="62" t="s">
        <v>43</v>
      </c>
      <c r="R1345" s="62"/>
    </row>
    <row r="1346" ht="27.6" spans="1:18">
      <c r="A1346" s="58">
        <v>1323</v>
      </c>
      <c r="B1346" s="108">
        <v>45823</v>
      </c>
      <c r="C1346" s="60" t="s">
        <v>1938</v>
      </c>
      <c r="D1346" s="62" t="s">
        <v>35</v>
      </c>
      <c r="E1346" s="62" t="s">
        <v>804</v>
      </c>
      <c r="F1346" s="105" t="s">
        <v>50</v>
      </c>
      <c r="G1346" s="62" t="s">
        <v>131</v>
      </c>
      <c r="H1346" s="62" t="s">
        <v>51</v>
      </c>
      <c r="I1346" s="78" t="s">
        <v>199</v>
      </c>
      <c r="J1346" s="62" t="s">
        <v>91</v>
      </c>
      <c r="K1346" s="67" t="s">
        <v>200</v>
      </c>
      <c r="L1346" s="70"/>
      <c r="M1346" s="62"/>
      <c r="N1346" s="62"/>
      <c r="O1346" s="64"/>
      <c r="P1346" s="79"/>
      <c r="Q1346" s="62" t="s">
        <v>43</v>
      </c>
      <c r="R1346" s="62"/>
    </row>
    <row r="1347" ht="27.6" spans="1:18">
      <c r="A1347" s="58">
        <v>1324</v>
      </c>
      <c r="B1347" s="108">
        <v>45823</v>
      </c>
      <c r="C1347" s="64" t="s">
        <v>1933</v>
      </c>
      <c r="D1347" s="62" t="s">
        <v>35</v>
      </c>
      <c r="E1347" s="62" t="s">
        <v>804</v>
      </c>
      <c r="F1347" s="105" t="s">
        <v>50</v>
      </c>
      <c r="G1347" s="62" t="s">
        <v>588</v>
      </c>
      <c r="H1347" s="62" t="s">
        <v>1008</v>
      </c>
      <c r="I1347" s="78" t="s">
        <v>189</v>
      </c>
      <c r="J1347" s="62" t="s">
        <v>40</v>
      </c>
      <c r="K1347" s="67" t="s">
        <v>190</v>
      </c>
      <c r="L1347" s="70"/>
      <c r="M1347" s="62"/>
      <c r="N1347" s="62"/>
      <c r="O1347" s="64"/>
      <c r="P1347" s="79"/>
      <c r="Q1347" s="62" t="s">
        <v>43</v>
      </c>
      <c r="R1347" s="62"/>
    </row>
    <row r="1348" ht="55.2" spans="1:18">
      <c r="A1348" s="58">
        <v>1325</v>
      </c>
      <c r="B1348" s="108">
        <v>45822</v>
      </c>
      <c r="C1348" s="60" t="s">
        <v>1938</v>
      </c>
      <c r="D1348" s="62" t="s">
        <v>35</v>
      </c>
      <c r="E1348" s="62" t="s">
        <v>804</v>
      </c>
      <c r="F1348" s="105" t="s">
        <v>50</v>
      </c>
      <c r="G1348" s="62" t="s">
        <v>45</v>
      </c>
      <c r="H1348" s="62" t="s">
        <v>66</v>
      </c>
      <c r="I1348" s="78" t="s">
        <v>213</v>
      </c>
      <c r="J1348" s="62" t="s">
        <v>40</v>
      </c>
      <c r="K1348" s="67" t="s">
        <v>1311</v>
      </c>
      <c r="L1348" s="70"/>
      <c r="M1348" s="62"/>
      <c r="N1348" s="62"/>
      <c r="O1348" s="64"/>
      <c r="P1348" s="79"/>
      <c r="Q1348" s="62" t="s">
        <v>43</v>
      </c>
      <c r="R1348" s="62"/>
    </row>
    <row r="1349" ht="13.8" spans="1:18">
      <c r="A1349" s="58">
        <v>1326</v>
      </c>
      <c r="B1349" s="108">
        <v>45822</v>
      </c>
      <c r="C1349" s="64" t="s">
        <v>49</v>
      </c>
      <c r="D1349" s="62" t="s">
        <v>35</v>
      </c>
      <c r="E1349" s="62" t="s">
        <v>804</v>
      </c>
      <c r="F1349" s="105" t="s">
        <v>50</v>
      </c>
      <c r="G1349" s="62" t="s">
        <v>1790</v>
      </c>
      <c r="H1349" s="62" t="s">
        <v>66</v>
      </c>
      <c r="I1349" s="78" t="s">
        <v>1312</v>
      </c>
      <c r="J1349" s="62" t="s">
        <v>40</v>
      </c>
      <c r="K1349" s="67" t="s">
        <v>1375</v>
      </c>
      <c r="L1349" s="70"/>
      <c r="M1349" s="62"/>
      <c r="N1349" s="62"/>
      <c r="O1349" s="64"/>
      <c r="P1349" s="79"/>
      <c r="Q1349" s="62" t="s">
        <v>43</v>
      </c>
      <c r="R1349" s="62"/>
    </row>
    <row r="1350" ht="27.6" spans="1:18">
      <c r="A1350" s="58">
        <v>1327</v>
      </c>
      <c r="B1350" s="108">
        <v>45822</v>
      </c>
      <c r="C1350" s="64" t="s">
        <v>198</v>
      </c>
      <c r="D1350" s="62" t="s">
        <v>35</v>
      </c>
      <c r="E1350" s="62" t="s">
        <v>804</v>
      </c>
      <c r="F1350" s="105" t="s">
        <v>50</v>
      </c>
      <c r="G1350" s="62" t="s">
        <v>61</v>
      </c>
      <c r="H1350" s="62" t="s">
        <v>989</v>
      </c>
      <c r="I1350" s="78" t="s">
        <v>1335</v>
      </c>
      <c r="J1350" s="62" t="s">
        <v>91</v>
      </c>
      <c r="K1350" s="67" t="s">
        <v>1336</v>
      </c>
      <c r="L1350" s="70"/>
      <c r="M1350" s="62"/>
      <c r="N1350" s="62"/>
      <c r="O1350" s="64"/>
      <c r="P1350" s="79"/>
      <c r="Q1350" s="62" t="s">
        <v>43</v>
      </c>
      <c r="R1350" s="62"/>
    </row>
    <row r="1351" ht="27.6" spans="1:18">
      <c r="A1351" s="58">
        <v>1328</v>
      </c>
      <c r="B1351" s="108">
        <v>45822</v>
      </c>
      <c r="C1351" s="64" t="s">
        <v>1933</v>
      </c>
      <c r="D1351" s="62" t="s">
        <v>35</v>
      </c>
      <c r="E1351" s="62" t="s">
        <v>804</v>
      </c>
      <c r="F1351" s="105" t="s">
        <v>50</v>
      </c>
      <c r="G1351" s="62" t="s">
        <v>82</v>
      </c>
      <c r="H1351" s="62" t="s">
        <v>51</v>
      </c>
      <c r="I1351" s="78" t="s">
        <v>217</v>
      </c>
      <c r="J1351" s="62" t="s">
        <v>40</v>
      </c>
      <c r="K1351" s="67" t="s">
        <v>218</v>
      </c>
      <c r="L1351" s="70"/>
      <c r="M1351" s="62"/>
      <c r="N1351" s="62"/>
      <c r="O1351" s="64"/>
      <c r="P1351" s="79"/>
      <c r="Q1351" s="62" t="s">
        <v>43</v>
      </c>
      <c r="R1351" s="62"/>
    </row>
    <row r="1352" ht="13.8" spans="1:18">
      <c r="A1352" s="58">
        <v>1329</v>
      </c>
      <c r="B1352" s="108">
        <v>45820</v>
      </c>
      <c r="C1352" s="64" t="s">
        <v>49</v>
      </c>
      <c r="D1352" s="62" t="s">
        <v>35</v>
      </c>
      <c r="E1352" s="62" t="s">
        <v>804</v>
      </c>
      <c r="F1352" s="105" t="s">
        <v>50</v>
      </c>
      <c r="G1352" s="62" t="s">
        <v>131</v>
      </c>
      <c r="H1352" s="62" t="s">
        <v>51</v>
      </c>
      <c r="I1352" s="78" t="s">
        <v>221</v>
      </c>
      <c r="J1352" s="62" t="s">
        <v>91</v>
      </c>
      <c r="K1352" s="67" t="s">
        <v>222</v>
      </c>
      <c r="L1352" s="70"/>
      <c r="M1352" s="62"/>
      <c r="N1352" s="62"/>
      <c r="O1352" s="64"/>
      <c r="P1352" s="79"/>
      <c r="Q1352" s="62" t="s">
        <v>43</v>
      </c>
      <c r="R1352" s="62"/>
    </row>
    <row r="1353" ht="13.8" spans="1:18">
      <c r="A1353" s="58">
        <v>1330</v>
      </c>
      <c r="B1353" s="108">
        <v>45820</v>
      </c>
      <c r="C1353" s="64" t="s">
        <v>198</v>
      </c>
      <c r="D1353" s="62" t="s">
        <v>35</v>
      </c>
      <c r="E1353" s="62" t="s">
        <v>804</v>
      </c>
      <c r="F1353" s="105" t="s">
        <v>50</v>
      </c>
      <c r="G1353" s="62" t="s">
        <v>45</v>
      </c>
      <c r="H1353" s="62" t="s">
        <v>51</v>
      </c>
      <c r="I1353" s="78" t="s">
        <v>1394</v>
      </c>
      <c r="J1353" s="62" t="s">
        <v>91</v>
      </c>
      <c r="K1353" s="67" t="s">
        <v>2171</v>
      </c>
      <c r="L1353" s="70"/>
      <c r="M1353" s="62"/>
      <c r="N1353" s="62"/>
      <c r="O1353" s="64"/>
      <c r="P1353" s="79"/>
      <c r="Q1353" s="62" t="s">
        <v>43</v>
      </c>
      <c r="R1353" s="62"/>
    </row>
    <row r="1354" ht="13.8" spans="1:18">
      <c r="A1354" s="58">
        <v>1331</v>
      </c>
      <c r="B1354" s="108">
        <v>45820</v>
      </c>
      <c r="C1354" s="64" t="s">
        <v>1933</v>
      </c>
      <c r="D1354" s="62" t="s">
        <v>35</v>
      </c>
      <c r="E1354" s="62" t="s">
        <v>804</v>
      </c>
      <c r="F1354" s="105" t="s">
        <v>135</v>
      </c>
      <c r="G1354" s="62" t="s">
        <v>45</v>
      </c>
      <c r="H1354" s="62" t="s">
        <v>56</v>
      </c>
      <c r="I1354" s="78" t="s">
        <v>2172</v>
      </c>
      <c r="J1354" s="62" t="s">
        <v>137</v>
      </c>
      <c r="K1354" s="67" t="s">
        <v>568</v>
      </c>
      <c r="L1354" s="70"/>
      <c r="M1354" s="62"/>
      <c r="N1354" s="62"/>
      <c r="O1354" s="64"/>
      <c r="P1354" s="79"/>
      <c r="Q1354" s="62" t="s">
        <v>8</v>
      </c>
      <c r="R1354" s="62"/>
    </row>
    <row r="1355" ht="13.8" spans="1:18">
      <c r="A1355" s="58">
        <v>1332</v>
      </c>
      <c r="B1355" s="108">
        <v>45820</v>
      </c>
      <c r="C1355" s="64" t="s">
        <v>191</v>
      </c>
      <c r="D1355" s="62" t="s">
        <v>35</v>
      </c>
      <c r="E1355" s="62" t="s">
        <v>804</v>
      </c>
      <c r="F1355" s="105" t="s">
        <v>192</v>
      </c>
      <c r="G1355" s="62" t="s">
        <v>588</v>
      </c>
      <c r="H1355" s="62" t="s">
        <v>51</v>
      </c>
      <c r="I1355" s="78" t="s">
        <v>2173</v>
      </c>
      <c r="J1355" s="62" t="s">
        <v>137</v>
      </c>
      <c r="K1355" s="67" t="s">
        <v>568</v>
      </c>
      <c r="L1355" s="70"/>
      <c r="M1355" s="62"/>
      <c r="N1355" s="62"/>
      <c r="O1355" s="64"/>
      <c r="P1355" s="79"/>
      <c r="Q1355" s="62" t="s">
        <v>8</v>
      </c>
      <c r="R1355" s="62"/>
    </row>
    <row r="1356" ht="13.8" spans="1:18">
      <c r="A1356" s="58">
        <v>1333</v>
      </c>
      <c r="B1356" s="108">
        <v>45820</v>
      </c>
      <c r="C1356" s="64" t="s">
        <v>1903</v>
      </c>
      <c r="D1356" s="62" t="s">
        <v>35</v>
      </c>
      <c r="E1356" s="62" t="s">
        <v>804</v>
      </c>
      <c r="F1356" s="105" t="s">
        <v>135</v>
      </c>
      <c r="G1356" s="62" t="s">
        <v>45</v>
      </c>
      <c r="H1356" s="62" t="s">
        <v>56</v>
      </c>
      <c r="I1356" s="78" t="s">
        <v>2174</v>
      </c>
      <c r="J1356" s="62" t="s">
        <v>137</v>
      </c>
      <c r="K1356" s="67" t="s">
        <v>568</v>
      </c>
      <c r="L1356" s="70"/>
      <c r="M1356" s="62"/>
      <c r="N1356" s="62"/>
      <c r="O1356" s="64"/>
      <c r="P1356" s="79"/>
      <c r="Q1356" s="62" t="s">
        <v>8</v>
      </c>
      <c r="R1356" s="62"/>
    </row>
    <row r="1357" ht="26.4" spans="1:18">
      <c r="A1357" s="58">
        <v>1334</v>
      </c>
      <c r="B1357" s="108">
        <v>45820</v>
      </c>
      <c r="C1357" s="60" t="s">
        <v>1938</v>
      </c>
      <c r="D1357" s="62" t="s">
        <v>35</v>
      </c>
      <c r="E1357" s="62" t="s">
        <v>804</v>
      </c>
      <c r="F1357" s="105" t="s">
        <v>135</v>
      </c>
      <c r="G1357" s="62" t="s">
        <v>1790</v>
      </c>
      <c r="H1357" s="62" t="s">
        <v>989</v>
      </c>
      <c r="I1357" s="78" t="s">
        <v>1314</v>
      </c>
      <c r="J1357" s="62" t="s">
        <v>137</v>
      </c>
      <c r="K1357" s="67" t="s">
        <v>194</v>
      </c>
      <c r="L1357" s="70"/>
      <c r="M1357" s="62"/>
      <c r="N1357" s="62"/>
      <c r="O1357" s="64"/>
      <c r="P1357" s="79"/>
      <c r="Q1357" s="62" t="s">
        <v>8</v>
      </c>
      <c r="R1357" s="62"/>
    </row>
    <row r="1358" ht="13.8" spans="1:18">
      <c r="A1358" s="58">
        <v>1335</v>
      </c>
      <c r="B1358" s="108">
        <v>45820</v>
      </c>
      <c r="C1358" s="64" t="s">
        <v>1933</v>
      </c>
      <c r="D1358" s="62" t="s">
        <v>35</v>
      </c>
      <c r="E1358" s="62" t="s">
        <v>804</v>
      </c>
      <c r="F1358" s="105" t="s">
        <v>135</v>
      </c>
      <c r="G1358" s="62" t="s">
        <v>61</v>
      </c>
      <c r="H1358" s="62" t="s">
        <v>132</v>
      </c>
      <c r="I1358" s="78" t="s">
        <v>2175</v>
      </c>
      <c r="J1358" s="62" t="s">
        <v>137</v>
      </c>
      <c r="K1358" s="67" t="s">
        <v>2176</v>
      </c>
      <c r="L1358" s="70"/>
      <c r="M1358" s="62"/>
      <c r="N1358" s="62"/>
      <c r="O1358" s="64"/>
      <c r="P1358" s="79"/>
      <c r="Q1358" s="62" t="s">
        <v>8</v>
      </c>
      <c r="R1358" s="62"/>
    </row>
    <row r="1359" ht="13.8" spans="1:18">
      <c r="A1359" s="58">
        <v>1336</v>
      </c>
      <c r="B1359" s="108">
        <v>45820</v>
      </c>
      <c r="C1359" s="60" t="s">
        <v>1938</v>
      </c>
      <c r="D1359" s="62" t="s">
        <v>35</v>
      </c>
      <c r="E1359" s="62" t="s">
        <v>804</v>
      </c>
      <c r="F1359" s="105" t="s">
        <v>192</v>
      </c>
      <c r="G1359" s="62" t="s">
        <v>82</v>
      </c>
      <c r="H1359" s="62" t="s">
        <v>989</v>
      </c>
      <c r="I1359" s="78" t="s">
        <v>2177</v>
      </c>
      <c r="J1359" s="62" t="s">
        <v>137</v>
      </c>
      <c r="K1359" s="67" t="s">
        <v>2178</v>
      </c>
      <c r="L1359" s="70"/>
      <c r="M1359" s="62"/>
      <c r="N1359" s="62"/>
      <c r="O1359" s="64"/>
      <c r="P1359" s="79"/>
      <c r="Q1359" s="62" t="s">
        <v>8</v>
      </c>
      <c r="R1359" s="62"/>
    </row>
    <row r="1360" ht="13.8" spans="1:18">
      <c r="A1360" s="58">
        <v>1337</v>
      </c>
      <c r="B1360" s="108">
        <v>45820</v>
      </c>
      <c r="C1360" s="64" t="s">
        <v>49</v>
      </c>
      <c r="D1360" s="62" t="s">
        <v>35</v>
      </c>
      <c r="E1360" s="62" t="s">
        <v>804</v>
      </c>
      <c r="F1360" s="105" t="s">
        <v>192</v>
      </c>
      <c r="G1360" s="62" t="s">
        <v>131</v>
      </c>
      <c r="H1360" s="62" t="s">
        <v>989</v>
      </c>
      <c r="I1360" s="78" t="s">
        <v>2179</v>
      </c>
      <c r="J1360" s="62" t="s">
        <v>137</v>
      </c>
      <c r="K1360" s="67" t="s">
        <v>2180</v>
      </c>
      <c r="L1360" s="70"/>
      <c r="M1360" s="62"/>
      <c r="N1360" s="62"/>
      <c r="O1360" s="64"/>
      <c r="P1360" s="79"/>
      <c r="Q1360" s="62" t="s">
        <v>8</v>
      </c>
      <c r="R1360" s="62"/>
    </row>
    <row r="1361" ht="13.8" spans="1:18">
      <c r="A1361" s="58">
        <v>1338</v>
      </c>
      <c r="B1361" s="108">
        <v>45820</v>
      </c>
      <c r="C1361" s="64" t="s">
        <v>198</v>
      </c>
      <c r="D1361" s="62" t="s">
        <v>35</v>
      </c>
      <c r="E1361" s="62" t="s">
        <v>804</v>
      </c>
      <c r="F1361" s="105" t="s">
        <v>135</v>
      </c>
      <c r="G1361" s="62" t="s">
        <v>588</v>
      </c>
      <c r="H1361" s="62" t="s">
        <v>128</v>
      </c>
      <c r="I1361" s="78" t="s">
        <v>569</v>
      </c>
      <c r="J1361" s="62" t="s">
        <v>137</v>
      </c>
      <c r="K1361" s="67" t="s">
        <v>2181</v>
      </c>
      <c r="L1361" s="70"/>
      <c r="M1361" s="62"/>
      <c r="N1361" s="62"/>
      <c r="O1361" s="64"/>
      <c r="P1361" s="79"/>
      <c r="Q1361" s="62" t="s">
        <v>8</v>
      </c>
      <c r="R1361" s="62"/>
    </row>
    <row r="1362" ht="13.8" spans="1:18">
      <c r="A1362" s="58">
        <v>1339</v>
      </c>
      <c r="B1362" s="108">
        <v>45819</v>
      </c>
      <c r="C1362" s="69" t="s">
        <v>1076</v>
      </c>
      <c r="D1362" s="62" t="s">
        <v>35</v>
      </c>
      <c r="E1362" s="62" t="s">
        <v>1077</v>
      </c>
      <c r="F1362" s="105" t="s">
        <v>135</v>
      </c>
      <c r="G1362" s="62" t="s">
        <v>45</v>
      </c>
      <c r="H1362" s="62" t="s">
        <v>94</v>
      </c>
      <c r="I1362" s="78" t="s">
        <v>2182</v>
      </c>
      <c r="J1362" s="62" t="s">
        <v>137</v>
      </c>
      <c r="K1362" s="67" t="s">
        <v>2181</v>
      </c>
      <c r="L1362" s="70"/>
      <c r="M1362" s="62"/>
      <c r="N1362" s="62"/>
      <c r="O1362" s="64"/>
      <c r="P1362" s="79"/>
      <c r="Q1362" s="62" t="s">
        <v>8</v>
      </c>
      <c r="R1362" s="62"/>
    </row>
    <row r="1363" ht="13.8" spans="1:18">
      <c r="A1363" s="58">
        <v>1340</v>
      </c>
      <c r="B1363" s="108">
        <v>45819</v>
      </c>
      <c r="C1363" s="64" t="s">
        <v>49</v>
      </c>
      <c r="D1363" s="62" t="s">
        <v>35</v>
      </c>
      <c r="E1363" s="62" t="s">
        <v>804</v>
      </c>
      <c r="F1363" s="105" t="s">
        <v>192</v>
      </c>
      <c r="G1363" s="62" t="s">
        <v>1790</v>
      </c>
      <c r="H1363" s="62" t="s">
        <v>360</v>
      </c>
      <c r="I1363" s="78" t="s">
        <v>2183</v>
      </c>
      <c r="J1363" s="62" t="s">
        <v>137</v>
      </c>
      <c r="K1363" s="67" t="s">
        <v>204</v>
      </c>
      <c r="L1363" s="70"/>
      <c r="M1363" s="62"/>
      <c r="N1363" s="62"/>
      <c r="O1363" s="64"/>
      <c r="P1363" s="79"/>
      <c r="Q1363" s="62" t="s">
        <v>8</v>
      </c>
      <c r="R1363" s="62"/>
    </row>
    <row r="1364" ht="26.4" spans="1:18">
      <c r="A1364" s="58">
        <v>1341</v>
      </c>
      <c r="B1364" s="108">
        <v>45819</v>
      </c>
      <c r="C1364" s="64" t="s">
        <v>198</v>
      </c>
      <c r="D1364" s="62" t="s">
        <v>35</v>
      </c>
      <c r="E1364" s="62" t="s">
        <v>804</v>
      </c>
      <c r="F1364" s="105" t="s">
        <v>192</v>
      </c>
      <c r="G1364" s="62" t="s">
        <v>61</v>
      </c>
      <c r="H1364" s="62" t="s">
        <v>66</v>
      </c>
      <c r="I1364" s="78" t="s">
        <v>560</v>
      </c>
      <c r="J1364" s="62" t="s">
        <v>137</v>
      </c>
      <c r="K1364" s="67" t="s">
        <v>2180</v>
      </c>
      <c r="L1364" s="70"/>
      <c r="M1364" s="62"/>
      <c r="N1364" s="62"/>
      <c r="O1364" s="64"/>
      <c r="P1364" s="79"/>
      <c r="Q1364" s="62" t="s">
        <v>8</v>
      </c>
      <c r="R1364" s="62"/>
    </row>
    <row r="1365" ht="26.4" spans="1:18">
      <c r="A1365" s="58">
        <v>1342</v>
      </c>
      <c r="B1365" s="108">
        <v>45819</v>
      </c>
      <c r="C1365" s="64" t="s">
        <v>453</v>
      </c>
      <c r="D1365" s="62" t="s">
        <v>35</v>
      </c>
      <c r="E1365" s="62" t="s">
        <v>589</v>
      </c>
      <c r="F1365" s="105" t="s">
        <v>135</v>
      </c>
      <c r="G1365" s="62" t="s">
        <v>82</v>
      </c>
      <c r="H1365" s="62" t="s">
        <v>46</v>
      </c>
      <c r="I1365" s="78" t="s">
        <v>2184</v>
      </c>
      <c r="J1365" s="62" t="s">
        <v>137</v>
      </c>
      <c r="K1365" s="67" t="s">
        <v>2181</v>
      </c>
      <c r="L1365" s="70"/>
      <c r="M1365" s="62"/>
      <c r="N1365" s="62"/>
      <c r="O1365" s="64"/>
      <c r="P1365" s="79"/>
      <c r="Q1365" s="62" t="s">
        <v>8</v>
      </c>
      <c r="R1365" s="62"/>
    </row>
    <row r="1366" ht="13.8" spans="1:18">
      <c r="A1366" s="58">
        <v>1343</v>
      </c>
      <c r="B1366" s="108">
        <v>45819</v>
      </c>
      <c r="C1366" s="64" t="s">
        <v>191</v>
      </c>
      <c r="D1366" s="62" t="s">
        <v>35</v>
      </c>
      <c r="E1366" s="62" t="s">
        <v>804</v>
      </c>
      <c r="F1366" s="105" t="s">
        <v>36</v>
      </c>
      <c r="G1366" s="62" t="s">
        <v>131</v>
      </c>
      <c r="H1366" s="62" t="s">
        <v>56</v>
      </c>
      <c r="I1366" s="78" t="s">
        <v>2185</v>
      </c>
      <c r="J1366" s="62" t="s">
        <v>40</v>
      </c>
      <c r="K1366" s="67" t="s">
        <v>438</v>
      </c>
      <c r="L1366" s="70"/>
      <c r="M1366" s="62"/>
      <c r="N1366" s="62"/>
      <c r="O1366" s="64"/>
      <c r="P1366" s="79"/>
      <c r="Q1366" s="62" t="s">
        <v>43</v>
      </c>
      <c r="R1366" s="62"/>
    </row>
    <row r="1367" ht="27.6" spans="1:18">
      <c r="A1367" s="58">
        <v>1344</v>
      </c>
      <c r="B1367" s="108">
        <v>45819</v>
      </c>
      <c r="C1367" s="64" t="s">
        <v>1903</v>
      </c>
      <c r="D1367" s="62" t="s">
        <v>35</v>
      </c>
      <c r="E1367" s="62" t="s">
        <v>804</v>
      </c>
      <c r="F1367" s="105" t="s">
        <v>36</v>
      </c>
      <c r="G1367" s="62" t="s">
        <v>131</v>
      </c>
      <c r="H1367" s="62" t="s">
        <v>128</v>
      </c>
      <c r="I1367" s="78" t="s">
        <v>511</v>
      </c>
      <c r="J1367" s="62" t="s">
        <v>40</v>
      </c>
      <c r="K1367" s="67" t="s">
        <v>512</v>
      </c>
      <c r="L1367" s="70"/>
      <c r="M1367" s="62"/>
      <c r="N1367" s="62"/>
      <c r="O1367" s="64"/>
      <c r="P1367" s="79"/>
      <c r="Q1367" s="62" t="s">
        <v>43</v>
      </c>
      <c r="R1367" s="62"/>
    </row>
    <row r="1368" ht="27.6" spans="1:18">
      <c r="A1368" s="58">
        <v>1345</v>
      </c>
      <c r="B1368" s="108">
        <v>45819</v>
      </c>
      <c r="C1368" s="60" t="s">
        <v>1938</v>
      </c>
      <c r="D1368" s="62" t="s">
        <v>35</v>
      </c>
      <c r="E1368" s="62" t="s">
        <v>804</v>
      </c>
      <c r="F1368" s="105" t="s">
        <v>36</v>
      </c>
      <c r="G1368" s="62" t="s">
        <v>262</v>
      </c>
      <c r="H1368" s="62" t="s">
        <v>132</v>
      </c>
      <c r="I1368" s="78" t="s">
        <v>521</v>
      </c>
      <c r="J1368" s="62" t="s">
        <v>40</v>
      </c>
      <c r="K1368" s="67" t="s">
        <v>522</v>
      </c>
      <c r="L1368" s="70"/>
      <c r="M1368" s="62"/>
      <c r="N1368" s="62"/>
      <c r="O1368" s="64"/>
      <c r="P1368" s="79"/>
      <c r="Q1368" s="62" t="s">
        <v>43</v>
      </c>
      <c r="R1368" s="62"/>
    </row>
    <row r="1369" ht="13.8" spans="1:18">
      <c r="A1369" s="58">
        <v>1346</v>
      </c>
      <c r="B1369" s="108">
        <v>45819</v>
      </c>
      <c r="C1369" s="64" t="s">
        <v>1933</v>
      </c>
      <c r="D1369" s="62" t="s">
        <v>35</v>
      </c>
      <c r="E1369" s="62" t="s">
        <v>804</v>
      </c>
      <c r="F1369" s="105" t="s">
        <v>36</v>
      </c>
      <c r="G1369" s="62" t="s">
        <v>259</v>
      </c>
      <c r="H1369" s="62" t="s">
        <v>56</v>
      </c>
      <c r="I1369" s="78" t="s">
        <v>523</v>
      </c>
      <c r="J1369" s="62" t="s">
        <v>40</v>
      </c>
      <c r="K1369" s="67" t="s">
        <v>524</v>
      </c>
      <c r="L1369" s="70"/>
      <c r="M1369" s="62"/>
      <c r="N1369" s="62"/>
      <c r="O1369" s="64"/>
      <c r="P1369" s="79"/>
      <c r="Q1369" s="62" t="s">
        <v>43</v>
      </c>
      <c r="R1369" s="62"/>
    </row>
    <row r="1370" ht="27.6" spans="1:18">
      <c r="A1370" s="58">
        <v>1347</v>
      </c>
      <c r="B1370" s="108">
        <v>45820</v>
      </c>
      <c r="C1370" s="64" t="s">
        <v>49</v>
      </c>
      <c r="D1370" s="62" t="s">
        <v>35</v>
      </c>
      <c r="E1370" s="62" t="s">
        <v>804</v>
      </c>
      <c r="F1370" s="105" t="s">
        <v>36</v>
      </c>
      <c r="G1370" s="62" t="s">
        <v>259</v>
      </c>
      <c r="H1370" s="62" t="s">
        <v>46</v>
      </c>
      <c r="I1370" s="78" t="s">
        <v>1447</v>
      </c>
      <c r="J1370" s="62" t="s">
        <v>40</v>
      </c>
      <c r="K1370" s="67" t="s">
        <v>544</v>
      </c>
      <c r="L1370" s="70"/>
      <c r="M1370" s="62"/>
      <c r="N1370" s="62"/>
      <c r="O1370" s="64"/>
      <c r="P1370" s="79"/>
      <c r="Q1370" s="62" t="s">
        <v>43</v>
      </c>
      <c r="R1370" s="62"/>
    </row>
    <row r="1371" ht="27.6" spans="1:18">
      <c r="A1371" s="58">
        <v>1348</v>
      </c>
      <c r="B1371" s="108">
        <v>45820</v>
      </c>
      <c r="C1371" s="64" t="s">
        <v>198</v>
      </c>
      <c r="D1371" s="62" t="s">
        <v>35</v>
      </c>
      <c r="E1371" s="62" t="s">
        <v>804</v>
      </c>
      <c r="F1371" s="105" t="s">
        <v>36</v>
      </c>
      <c r="G1371" s="62" t="s">
        <v>37</v>
      </c>
      <c r="H1371" s="62" t="s">
        <v>132</v>
      </c>
      <c r="I1371" s="78" t="s">
        <v>545</v>
      </c>
      <c r="J1371" s="62" t="s">
        <v>40</v>
      </c>
      <c r="K1371" s="67" t="s">
        <v>546</v>
      </c>
      <c r="L1371" s="70"/>
      <c r="M1371" s="62"/>
      <c r="N1371" s="62"/>
      <c r="O1371" s="64"/>
      <c r="P1371" s="79"/>
      <c r="Q1371" s="62" t="s">
        <v>43</v>
      </c>
      <c r="R1371" s="62"/>
    </row>
    <row r="1372" ht="27.6" spans="1:18">
      <c r="A1372" s="58">
        <v>1349</v>
      </c>
      <c r="B1372" s="108">
        <v>45822</v>
      </c>
      <c r="C1372" s="64" t="s">
        <v>1933</v>
      </c>
      <c r="D1372" s="62" t="s">
        <v>35</v>
      </c>
      <c r="E1372" s="62" t="s">
        <v>804</v>
      </c>
      <c r="F1372" s="105" t="s">
        <v>36</v>
      </c>
      <c r="G1372" s="62" t="s">
        <v>61</v>
      </c>
      <c r="H1372" s="62" t="s">
        <v>46</v>
      </c>
      <c r="I1372" s="78" t="s">
        <v>558</v>
      </c>
      <c r="J1372" s="62" t="s">
        <v>40</v>
      </c>
      <c r="K1372" s="67" t="s">
        <v>559</v>
      </c>
      <c r="L1372" s="70"/>
      <c r="M1372" s="62"/>
      <c r="N1372" s="62"/>
      <c r="O1372" s="64"/>
      <c r="P1372" s="79"/>
      <c r="Q1372" s="62" t="s">
        <v>43</v>
      </c>
      <c r="R1372" s="62"/>
    </row>
    <row r="1373" ht="27.6" spans="1:18">
      <c r="A1373" s="58">
        <v>1350</v>
      </c>
      <c r="B1373" s="108">
        <v>45822</v>
      </c>
      <c r="C1373" s="60" t="s">
        <v>1938</v>
      </c>
      <c r="D1373" s="62" t="s">
        <v>35</v>
      </c>
      <c r="E1373" s="62" t="s">
        <v>804</v>
      </c>
      <c r="F1373" s="105" t="s">
        <v>36</v>
      </c>
      <c r="G1373" s="62" t="s">
        <v>82</v>
      </c>
      <c r="H1373" s="62" t="s">
        <v>46</v>
      </c>
      <c r="I1373" s="78" t="s">
        <v>563</v>
      </c>
      <c r="J1373" s="62" t="s">
        <v>40</v>
      </c>
      <c r="K1373" s="67" t="s">
        <v>564</v>
      </c>
      <c r="L1373" s="70"/>
      <c r="M1373" s="62"/>
      <c r="N1373" s="62"/>
      <c r="O1373" s="64"/>
      <c r="P1373" s="79"/>
      <c r="Q1373" s="62" t="s">
        <v>43</v>
      </c>
      <c r="R1373" s="62"/>
    </row>
    <row r="1374" ht="27.6" spans="1:18">
      <c r="A1374" s="58">
        <v>1351</v>
      </c>
      <c r="B1374" s="108">
        <v>45822</v>
      </c>
      <c r="C1374" s="64" t="s">
        <v>49</v>
      </c>
      <c r="D1374" s="62" t="s">
        <v>35</v>
      </c>
      <c r="E1374" s="62" t="s">
        <v>804</v>
      </c>
      <c r="F1374" s="105" t="s">
        <v>36</v>
      </c>
      <c r="G1374" s="62" t="s">
        <v>131</v>
      </c>
      <c r="H1374" s="62" t="s">
        <v>46</v>
      </c>
      <c r="I1374" s="78" t="s">
        <v>346</v>
      </c>
      <c r="J1374" s="62" t="s">
        <v>40</v>
      </c>
      <c r="K1374" s="67" t="s">
        <v>2186</v>
      </c>
      <c r="L1374" s="70"/>
      <c r="M1374" s="62"/>
      <c r="N1374" s="62"/>
      <c r="O1374" s="64"/>
      <c r="P1374" s="79"/>
      <c r="Q1374" s="62" t="s">
        <v>43</v>
      </c>
      <c r="R1374" s="62"/>
    </row>
    <row r="1375" ht="13.8" spans="1:18">
      <c r="A1375" s="58">
        <v>1352</v>
      </c>
      <c r="B1375" s="108">
        <v>45822</v>
      </c>
      <c r="C1375" s="64" t="s">
        <v>198</v>
      </c>
      <c r="D1375" s="62" t="s">
        <v>35</v>
      </c>
      <c r="E1375" s="62" t="s">
        <v>804</v>
      </c>
      <c r="F1375" s="105" t="s">
        <v>36</v>
      </c>
      <c r="G1375" s="62" t="s">
        <v>588</v>
      </c>
      <c r="H1375" s="62" t="s">
        <v>56</v>
      </c>
      <c r="I1375" s="78" t="s">
        <v>1149</v>
      </c>
      <c r="J1375" s="62" t="s">
        <v>40</v>
      </c>
      <c r="K1375" s="67" t="s">
        <v>1150</v>
      </c>
      <c r="L1375" s="70"/>
      <c r="M1375" s="62"/>
      <c r="N1375" s="62"/>
      <c r="O1375" s="64"/>
      <c r="P1375" s="79"/>
      <c r="Q1375" s="62" t="s">
        <v>43</v>
      </c>
      <c r="R1375" s="62"/>
    </row>
    <row r="1376" ht="13.8" spans="1:18">
      <c r="A1376" s="58">
        <v>1353</v>
      </c>
      <c r="B1376" s="108">
        <v>45822</v>
      </c>
      <c r="C1376" s="64" t="s">
        <v>1933</v>
      </c>
      <c r="D1376" s="62" t="s">
        <v>35</v>
      </c>
      <c r="E1376" s="62" t="s">
        <v>804</v>
      </c>
      <c r="F1376" s="105" t="s">
        <v>36</v>
      </c>
      <c r="G1376" s="62" t="s">
        <v>45</v>
      </c>
      <c r="H1376" s="62" t="s">
        <v>56</v>
      </c>
      <c r="I1376" s="78" t="s">
        <v>1035</v>
      </c>
      <c r="J1376" s="62" t="s">
        <v>40</v>
      </c>
      <c r="K1376" s="67" t="s">
        <v>1438</v>
      </c>
      <c r="L1376" s="70"/>
      <c r="M1376" s="62"/>
      <c r="N1376" s="62"/>
      <c r="O1376" s="64"/>
      <c r="P1376" s="79"/>
      <c r="Q1376" s="62" t="s">
        <v>43</v>
      </c>
      <c r="R1376" s="62"/>
    </row>
    <row r="1377" ht="13.8" spans="1:18">
      <c r="A1377" s="58">
        <v>1354</v>
      </c>
      <c r="B1377" s="108">
        <v>45824</v>
      </c>
      <c r="C1377" s="64" t="s">
        <v>49</v>
      </c>
      <c r="D1377" s="62" t="s">
        <v>35</v>
      </c>
      <c r="E1377" s="62" t="s">
        <v>804</v>
      </c>
      <c r="F1377" s="105" t="s">
        <v>36</v>
      </c>
      <c r="G1377" s="62" t="s">
        <v>259</v>
      </c>
      <c r="H1377" s="62" t="s">
        <v>56</v>
      </c>
      <c r="I1377" s="78" t="s">
        <v>455</v>
      </c>
      <c r="J1377" s="62" t="s">
        <v>40</v>
      </c>
      <c r="K1377" s="67" t="s">
        <v>456</v>
      </c>
      <c r="L1377" s="70"/>
      <c r="M1377" s="62"/>
      <c r="N1377" s="62"/>
      <c r="O1377" s="64"/>
      <c r="P1377" s="79"/>
      <c r="Q1377" s="62" t="s">
        <v>43</v>
      </c>
      <c r="R1377" s="62"/>
    </row>
    <row r="1378" ht="13.8" spans="1:18">
      <c r="A1378" s="58">
        <v>1355</v>
      </c>
      <c r="B1378" s="108">
        <v>45823</v>
      </c>
      <c r="C1378" s="64" t="s">
        <v>198</v>
      </c>
      <c r="D1378" s="62" t="s">
        <v>35</v>
      </c>
      <c r="E1378" s="62" t="s">
        <v>804</v>
      </c>
      <c r="F1378" s="105" t="s">
        <v>36</v>
      </c>
      <c r="G1378" s="62" t="s">
        <v>61</v>
      </c>
      <c r="H1378" s="62" t="s">
        <v>56</v>
      </c>
      <c r="I1378" s="78" t="s">
        <v>1965</v>
      </c>
      <c r="J1378" s="62" t="s">
        <v>40</v>
      </c>
      <c r="K1378" s="67" t="s">
        <v>1966</v>
      </c>
      <c r="L1378" s="70"/>
      <c r="M1378" s="62"/>
      <c r="N1378" s="62"/>
      <c r="O1378" s="64"/>
      <c r="P1378" s="79"/>
      <c r="Q1378" s="62" t="s">
        <v>43</v>
      </c>
      <c r="R1378" s="62"/>
    </row>
    <row r="1379" ht="13.8" spans="1:18">
      <c r="A1379" s="58">
        <v>1356</v>
      </c>
      <c r="B1379" s="108">
        <v>45823</v>
      </c>
      <c r="C1379" s="64" t="s">
        <v>1933</v>
      </c>
      <c r="D1379" s="62" t="s">
        <v>35</v>
      </c>
      <c r="E1379" s="62" t="s">
        <v>804</v>
      </c>
      <c r="F1379" s="105" t="s">
        <v>36</v>
      </c>
      <c r="G1379" s="62" t="s">
        <v>588</v>
      </c>
      <c r="H1379" s="62" t="s">
        <v>56</v>
      </c>
      <c r="I1379" s="78" t="s">
        <v>1176</v>
      </c>
      <c r="J1379" s="62" t="s">
        <v>40</v>
      </c>
      <c r="K1379" s="67" t="s">
        <v>2187</v>
      </c>
      <c r="L1379" s="70"/>
      <c r="M1379" s="62"/>
      <c r="N1379" s="62"/>
      <c r="O1379" s="64"/>
      <c r="P1379" s="79"/>
      <c r="Q1379" s="62" t="s">
        <v>43</v>
      </c>
      <c r="R1379" s="62"/>
    </row>
    <row r="1380" ht="13.8" spans="1:18">
      <c r="A1380" s="58">
        <v>1357</v>
      </c>
      <c r="B1380" s="108">
        <v>45823</v>
      </c>
      <c r="C1380" s="64" t="s">
        <v>191</v>
      </c>
      <c r="D1380" s="62" t="s">
        <v>35</v>
      </c>
      <c r="E1380" s="62" t="s">
        <v>804</v>
      </c>
      <c r="F1380" s="105" t="s">
        <v>36</v>
      </c>
      <c r="G1380" s="62" t="s">
        <v>131</v>
      </c>
      <c r="H1380" s="62" t="s">
        <v>56</v>
      </c>
      <c r="I1380" s="78" t="s">
        <v>1882</v>
      </c>
      <c r="J1380" s="62" t="s">
        <v>40</v>
      </c>
      <c r="K1380" s="67" t="s">
        <v>1025</v>
      </c>
      <c r="L1380" s="70"/>
      <c r="M1380" s="62"/>
      <c r="N1380" s="62"/>
      <c r="O1380" s="64"/>
      <c r="P1380" s="79"/>
      <c r="Q1380" s="62" t="s">
        <v>43</v>
      </c>
      <c r="R1380" s="62"/>
    </row>
    <row r="1381" ht="13.8" spans="1:18">
      <c r="A1381" s="58">
        <v>1358</v>
      </c>
      <c r="B1381" s="108">
        <v>45823</v>
      </c>
      <c r="C1381" s="64" t="s">
        <v>1903</v>
      </c>
      <c r="D1381" s="62" t="s">
        <v>35</v>
      </c>
      <c r="E1381" s="62" t="s">
        <v>804</v>
      </c>
      <c r="F1381" s="105" t="s">
        <v>36</v>
      </c>
      <c r="G1381" s="62" t="s">
        <v>131</v>
      </c>
      <c r="H1381" s="62" t="s">
        <v>38</v>
      </c>
      <c r="I1381" s="78" t="s">
        <v>1380</v>
      </c>
      <c r="J1381" s="62" t="s">
        <v>40</v>
      </c>
      <c r="K1381" s="67" t="s">
        <v>2188</v>
      </c>
      <c r="L1381" s="70"/>
      <c r="M1381" s="62"/>
      <c r="N1381" s="62"/>
      <c r="O1381" s="64"/>
      <c r="P1381" s="79"/>
      <c r="Q1381" s="62" t="s">
        <v>43</v>
      </c>
      <c r="R1381" s="62"/>
    </row>
    <row r="1382" ht="27.6" spans="1:18">
      <c r="A1382" s="58">
        <v>1359</v>
      </c>
      <c r="B1382" s="108">
        <v>45823</v>
      </c>
      <c r="C1382" s="60" t="s">
        <v>1938</v>
      </c>
      <c r="D1382" s="62" t="s">
        <v>35</v>
      </c>
      <c r="E1382" s="62" t="s">
        <v>804</v>
      </c>
      <c r="F1382" s="105" t="s">
        <v>36</v>
      </c>
      <c r="G1382" s="62" t="s">
        <v>262</v>
      </c>
      <c r="H1382" s="62" t="s">
        <v>56</v>
      </c>
      <c r="I1382" s="78" t="s">
        <v>2189</v>
      </c>
      <c r="J1382" s="62" t="s">
        <v>40</v>
      </c>
      <c r="K1382" s="67" t="s">
        <v>2190</v>
      </c>
      <c r="L1382" s="70"/>
      <c r="M1382" s="62"/>
      <c r="N1382" s="62"/>
      <c r="O1382" s="64"/>
      <c r="P1382" s="79"/>
      <c r="Q1382" s="62" t="s">
        <v>43</v>
      </c>
      <c r="R1382" s="62"/>
    </row>
    <row r="1383" ht="13.8" spans="1:18">
      <c r="A1383" s="58">
        <v>1360</v>
      </c>
      <c r="B1383" s="108">
        <v>45824</v>
      </c>
      <c r="C1383" s="64" t="s">
        <v>1933</v>
      </c>
      <c r="D1383" s="62" t="s">
        <v>35</v>
      </c>
      <c r="E1383" s="62" t="s">
        <v>804</v>
      </c>
      <c r="F1383" s="105" t="s">
        <v>36</v>
      </c>
      <c r="G1383" s="62" t="s">
        <v>61</v>
      </c>
      <c r="H1383" s="62" t="s">
        <v>132</v>
      </c>
      <c r="I1383" s="78" t="s">
        <v>1916</v>
      </c>
      <c r="J1383" s="62" t="s">
        <v>40</v>
      </c>
      <c r="K1383" s="67" t="s">
        <v>2191</v>
      </c>
      <c r="L1383" s="70"/>
      <c r="M1383" s="62"/>
      <c r="N1383" s="62"/>
      <c r="O1383" s="64"/>
      <c r="P1383" s="79"/>
      <c r="Q1383" s="62" t="s">
        <v>43</v>
      </c>
      <c r="R1383" s="62"/>
    </row>
    <row r="1384" ht="13.8" spans="1:18">
      <c r="A1384" s="58">
        <v>1361</v>
      </c>
      <c r="B1384" s="108">
        <v>45824</v>
      </c>
      <c r="C1384" s="64" t="s">
        <v>49</v>
      </c>
      <c r="D1384" s="62" t="s">
        <v>35</v>
      </c>
      <c r="E1384" s="62" t="s">
        <v>804</v>
      </c>
      <c r="F1384" s="105" t="s">
        <v>36</v>
      </c>
      <c r="G1384" s="62" t="s">
        <v>259</v>
      </c>
      <c r="H1384" s="62" t="s">
        <v>128</v>
      </c>
      <c r="I1384" s="78" t="s">
        <v>2192</v>
      </c>
      <c r="J1384" s="62" t="s">
        <v>40</v>
      </c>
      <c r="K1384" s="67" t="s">
        <v>2193</v>
      </c>
      <c r="L1384" s="70"/>
      <c r="M1384" s="62"/>
      <c r="N1384" s="62"/>
      <c r="O1384" s="64"/>
      <c r="P1384" s="79"/>
      <c r="Q1384" s="62" t="s">
        <v>43</v>
      </c>
      <c r="R1384" s="62"/>
    </row>
    <row r="1385" ht="13.8" spans="1:18">
      <c r="A1385" s="58">
        <v>1362</v>
      </c>
      <c r="B1385" s="108">
        <v>45824</v>
      </c>
      <c r="C1385" s="64" t="s">
        <v>198</v>
      </c>
      <c r="D1385" s="62" t="s">
        <v>35</v>
      </c>
      <c r="E1385" s="62" t="s">
        <v>804</v>
      </c>
      <c r="F1385" s="105" t="s">
        <v>36</v>
      </c>
      <c r="G1385" s="62" t="s">
        <v>37</v>
      </c>
      <c r="H1385" s="62" t="s">
        <v>128</v>
      </c>
      <c r="I1385" s="78" t="s">
        <v>2194</v>
      </c>
      <c r="J1385" s="62" t="s">
        <v>40</v>
      </c>
      <c r="K1385" s="67" t="s">
        <v>2195</v>
      </c>
      <c r="L1385" s="70"/>
      <c r="M1385" s="62"/>
      <c r="N1385" s="62"/>
      <c r="O1385" s="64"/>
      <c r="P1385" s="79"/>
      <c r="Q1385" s="62" t="s">
        <v>43</v>
      </c>
      <c r="R1385" s="62"/>
    </row>
    <row r="1386" ht="27.6" spans="1:18">
      <c r="A1386" s="58">
        <v>1363</v>
      </c>
      <c r="B1386" s="108">
        <v>45825</v>
      </c>
      <c r="C1386" s="64" t="s">
        <v>1933</v>
      </c>
      <c r="D1386" s="62" t="s">
        <v>35</v>
      </c>
      <c r="E1386" s="62" t="s">
        <v>804</v>
      </c>
      <c r="F1386" s="105" t="s">
        <v>36</v>
      </c>
      <c r="G1386" s="62" t="s">
        <v>82</v>
      </c>
      <c r="H1386" s="62" t="s">
        <v>128</v>
      </c>
      <c r="I1386" s="78" t="s">
        <v>2196</v>
      </c>
      <c r="J1386" s="62" t="s">
        <v>40</v>
      </c>
      <c r="K1386" s="67" t="s">
        <v>2197</v>
      </c>
      <c r="L1386" s="70"/>
      <c r="M1386" s="62"/>
      <c r="N1386" s="62"/>
      <c r="O1386" s="64"/>
      <c r="P1386" s="79"/>
      <c r="Q1386" s="62" t="s">
        <v>43</v>
      </c>
      <c r="R1386" s="62"/>
    </row>
    <row r="1387" ht="27.6" spans="1:18">
      <c r="A1387" s="58">
        <v>1364</v>
      </c>
      <c r="B1387" s="108">
        <v>45826</v>
      </c>
      <c r="C1387" s="60" t="s">
        <v>1938</v>
      </c>
      <c r="D1387" s="62" t="s">
        <v>35</v>
      </c>
      <c r="E1387" s="62" t="s">
        <v>804</v>
      </c>
      <c r="F1387" s="105" t="s">
        <v>36</v>
      </c>
      <c r="G1387" s="62" t="s">
        <v>131</v>
      </c>
      <c r="H1387" s="62" t="s">
        <v>132</v>
      </c>
      <c r="I1387" s="78" t="s">
        <v>2198</v>
      </c>
      <c r="J1387" s="62" t="s">
        <v>40</v>
      </c>
      <c r="K1387" s="67" t="s">
        <v>2199</v>
      </c>
      <c r="L1387" s="70"/>
      <c r="M1387" s="62"/>
      <c r="N1387" s="62"/>
      <c r="O1387" s="64"/>
      <c r="P1387" s="79"/>
      <c r="Q1387" s="62" t="s">
        <v>43</v>
      </c>
      <c r="R1387" s="62"/>
    </row>
    <row r="1388" ht="13.8" spans="1:18">
      <c r="A1388" s="58">
        <v>1365</v>
      </c>
      <c r="B1388" s="108">
        <v>45827</v>
      </c>
      <c r="C1388" s="64" t="s">
        <v>49</v>
      </c>
      <c r="D1388" s="62" t="s">
        <v>35</v>
      </c>
      <c r="E1388" s="62" t="s">
        <v>804</v>
      </c>
      <c r="F1388" s="105" t="s">
        <v>36</v>
      </c>
      <c r="G1388" s="62" t="s">
        <v>588</v>
      </c>
      <c r="H1388" s="62" t="s">
        <v>56</v>
      </c>
      <c r="I1388" s="78" t="s">
        <v>431</v>
      </c>
      <c r="J1388" s="62" t="s">
        <v>40</v>
      </c>
      <c r="K1388" s="67" t="s">
        <v>2200</v>
      </c>
      <c r="L1388" s="70"/>
      <c r="M1388" s="62"/>
      <c r="N1388" s="62"/>
      <c r="O1388" s="64"/>
      <c r="P1388" s="79"/>
      <c r="Q1388" s="62" t="s">
        <v>43</v>
      </c>
      <c r="R1388" s="62"/>
    </row>
    <row r="1389" ht="27.6" spans="1:18">
      <c r="A1389" s="58">
        <v>1366</v>
      </c>
      <c r="B1389" s="108">
        <v>45829</v>
      </c>
      <c r="C1389" s="64" t="s">
        <v>198</v>
      </c>
      <c r="D1389" s="62" t="s">
        <v>35</v>
      </c>
      <c r="E1389" s="62" t="s">
        <v>804</v>
      </c>
      <c r="F1389" s="105" t="s">
        <v>36</v>
      </c>
      <c r="G1389" s="62" t="s">
        <v>45</v>
      </c>
      <c r="H1389" s="62" t="s">
        <v>128</v>
      </c>
      <c r="I1389" s="78" t="s">
        <v>2201</v>
      </c>
      <c r="J1389" s="62" t="s">
        <v>40</v>
      </c>
      <c r="K1389" s="67" t="s">
        <v>2202</v>
      </c>
      <c r="L1389" s="70"/>
      <c r="M1389" s="62"/>
      <c r="N1389" s="62"/>
      <c r="O1389" s="64"/>
      <c r="P1389" s="79"/>
      <c r="Q1389" s="62" t="s">
        <v>43</v>
      </c>
      <c r="R1389" s="62"/>
    </row>
    <row r="1390" ht="27.6" spans="1:18">
      <c r="A1390" s="58">
        <v>1367</v>
      </c>
      <c r="B1390" s="108">
        <v>45829</v>
      </c>
      <c r="C1390" s="64" t="s">
        <v>1933</v>
      </c>
      <c r="D1390" s="62" t="s">
        <v>35</v>
      </c>
      <c r="E1390" s="62" t="s">
        <v>804</v>
      </c>
      <c r="F1390" s="105" t="s">
        <v>36</v>
      </c>
      <c r="G1390" s="62" t="s">
        <v>1790</v>
      </c>
      <c r="H1390" s="62" t="s">
        <v>94</v>
      </c>
      <c r="I1390" s="78" t="s">
        <v>1948</v>
      </c>
      <c r="J1390" s="62" t="s">
        <v>40</v>
      </c>
      <c r="K1390" s="67" t="s">
        <v>2203</v>
      </c>
      <c r="L1390" s="70"/>
      <c r="M1390" s="62"/>
      <c r="N1390" s="62"/>
      <c r="O1390" s="64"/>
      <c r="P1390" s="79"/>
      <c r="Q1390" s="62" t="s">
        <v>43</v>
      </c>
      <c r="R1390" s="62"/>
    </row>
    <row r="1391" ht="13.8" spans="1:18">
      <c r="A1391" s="58">
        <v>1368</v>
      </c>
      <c r="B1391" s="108">
        <v>45830</v>
      </c>
      <c r="C1391" s="64" t="s">
        <v>49</v>
      </c>
      <c r="D1391" s="62" t="s">
        <v>35</v>
      </c>
      <c r="E1391" s="62" t="s">
        <v>804</v>
      </c>
      <c r="F1391" s="105" t="s">
        <v>36</v>
      </c>
      <c r="G1391" s="62" t="s">
        <v>61</v>
      </c>
      <c r="H1391" s="62" t="s">
        <v>94</v>
      </c>
      <c r="I1391" s="78" t="s">
        <v>1163</v>
      </c>
      <c r="J1391" s="62" t="s">
        <v>40</v>
      </c>
      <c r="K1391" s="67" t="s">
        <v>1164</v>
      </c>
      <c r="L1391" s="70"/>
      <c r="M1391" s="62"/>
      <c r="N1391" s="62"/>
      <c r="O1391" s="64"/>
      <c r="P1391" s="79"/>
      <c r="Q1391" s="62" t="s">
        <v>43</v>
      </c>
      <c r="R1391" s="62"/>
    </row>
    <row r="1392" ht="13.8" spans="1:18">
      <c r="A1392" s="58">
        <v>1369</v>
      </c>
      <c r="B1392" s="108">
        <v>45831</v>
      </c>
      <c r="C1392" s="64" t="s">
        <v>198</v>
      </c>
      <c r="D1392" s="62" t="s">
        <v>35</v>
      </c>
      <c r="E1392" s="62" t="s">
        <v>804</v>
      </c>
      <c r="F1392" s="105" t="s">
        <v>36</v>
      </c>
      <c r="G1392" s="62" t="s">
        <v>82</v>
      </c>
      <c r="H1392" s="62" t="s">
        <v>56</v>
      </c>
      <c r="I1392" s="78" t="s">
        <v>2204</v>
      </c>
      <c r="J1392" s="62" t="s">
        <v>40</v>
      </c>
      <c r="K1392" s="67" t="s">
        <v>2205</v>
      </c>
      <c r="L1392" s="70"/>
      <c r="M1392" s="62"/>
      <c r="N1392" s="62"/>
      <c r="O1392" s="64"/>
      <c r="P1392" s="79"/>
      <c r="Q1392" s="62" t="s">
        <v>43</v>
      </c>
      <c r="R1392" s="62"/>
    </row>
    <row r="1393" ht="27.6" spans="1:18">
      <c r="A1393" s="58">
        <v>1370</v>
      </c>
      <c r="B1393" s="108">
        <v>45825</v>
      </c>
      <c r="C1393" s="64" t="s">
        <v>1933</v>
      </c>
      <c r="D1393" s="62" t="s">
        <v>35</v>
      </c>
      <c r="E1393" s="62" t="s">
        <v>804</v>
      </c>
      <c r="F1393" s="105" t="s">
        <v>36</v>
      </c>
      <c r="G1393" s="62" t="s">
        <v>131</v>
      </c>
      <c r="H1393" s="62" t="s">
        <v>132</v>
      </c>
      <c r="I1393" s="78" t="s">
        <v>2206</v>
      </c>
      <c r="J1393" s="62" t="s">
        <v>40</v>
      </c>
      <c r="K1393" s="67" t="s">
        <v>2207</v>
      </c>
      <c r="L1393" s="70"/>
      <c r="M1393" s="62"/>
      <c r="N1393" s="62"/>
      <c r="O1393" s="64"/>
      <c r="P1393" s="79"/>
      <c r="Q1393" s="62" t="s">
        <v>43</v>
      </c>
      <c r="R1393" s="62"/>
    </row>
    <row r="1394" ht="13.8" spans="1:18">
      <c r="A1394" s="58">
        <v>1371</v>
      </c>
      <c r="B1394" s="108">
        <v>45826</v>
      </c>
      <c r="C1394" s="64" t="s">
        <v>191</v>
      </c>
      <c r="D1394" s="62" t="s">
        <v>35</v>
      </c>
      <c r="E1394" s="62" t="s">
        <v>804</v>
      </c>
      <c r="F1394" s="105" t="s">
        <v>36</v>
      </c>
      <c r="G1394" s="62" t="s">
        <v>131</v>
      </c>
      <c r="H1394" s="62" t="s">
        <v>128</v>
      </c>
      <c r="I1394" s="78" t="s">
        <v>2208</v>
      </c>
      <c r="J1394" s="62" t="s">
        <v>40</v>
      </c>
      <c r="K1394" s="67" t="s">
        <v>2209</v>
      </c>
      <c r="L1394" s="70"/>
      <c r="M1394" s="62"/>
      <c r="N1394" s="62"/>
      <c r="O1394" s="64"/>
      <c r="P1394" s="79"/>
      <c r="Q1394" s="62" t="s">
        <v>43</v>
      </c>
      <c r="R1394" s="62"/>
    </row>
    <row r="1395" ht="13.8" spans="1:18">
      <c r="A1395" s="58">
        <v>1372</v>
      </c>
      <c r="B1395" s="108">
        <v>45827</v>
      </c>
      <c r="C1395" s="64" t="s">
        <v>1903</v>
      </c>
      <c r="D1395" s="62" t="s">
        <v>35</v>
      </c>
      <c r="E1395" s="62" t="s">
        <v>804</v>
      </c>
      <c r="F1395" s="105" t="s">
        <v>36</v>
      </c>
      <c r="G1395" s="62" t="s">
        <v>262</v>
      </c>
      <c r="H1395" s="62" t="s">
        <v>132</v>
      </c>
      <c r="I1395" s="78" t="s">
        <v>2210</v>
      </c>
      <c r="J1395" s="62" t="s">
        <v>40</v>
      </c>
      <c r="K1395" s="67" t="s">
        <v>2211</v>
      </c>
      <c r="L1395" s="70"/>
      <c r="M1395" s="62"/>
      <c r="N1395" s="62"/>
      <c r="O1395" s="64"/>
      <c r="P1395" s="79"/>
      <c r="Q1395" s="62" t="s">
        <v>43</v>
      </c>
      <c r="R1395" s="62"/>
    </row>
    <row r="1396" ht="27.6" spans="1:18">
      <c r="A1396" s="58">
        <v>1373</v>
      </c>
      <c r="B1396" s="108">
        <v>45829</v>
      </c>
      <c r="C1396" s="60" t="s">
        <v>1938</v>
      </c>
      <c r="D1396" s="62" t="s">
        <v>35</v>
      </c>
      <c r="E1396" s="62" t="s">
        <v>804</v>
      </c>
      <c r="F1396" s="105" t="s">
        <v>36</v>
      </c>
      <c r="G1396" s="62" t="s">
        <v>259</v>
      </c>
      <c r="H1396" s="62" t="s">
        <v>132</v>
      </c>
      <c r="I1396" s="78" t="s">
        <v>2212</v>
      </c>
      <c r="J1396" s="62" t="s">
        <v>40</v>
      </c>
      <c r="K1396" s="67" t="s">
        <v>2213</v>
      </c>
      <c r="L1396" s="70"/>
      <c r="M1396" s="62"/>
      <c r="N1396" s="62"/>
      <c r="O1396" s="64"/>
      <c r="P1396" s="79"/>
      <c r="Q1396" s="62" t="s">
        <v>43</v>
      </c>
      <c r="R1396" s="62"/>
    </row>
    <row r="1397" ht="13.8" spans="1:18">
      <c r="A1397" s="58">
        <v>1374</v>
      </c>
      <c r="B1397" s="108">
        <v>45829</v>
      </c>
      <c r="C1397" s="64" t="s">
        <v>1933</v>
      </c>
      <c r="D1397" s="62" t="s">
        <v>35</v>
      </c>
      <c r="E1397" s="62" t="s">
        <v>804</v>
      </c>
      <c r="F1397" s="105" t="s">
        <v>36</v>
      </c>
      <c r="G1397" s="62" t="s">
        <v>259</v>
      </c>
      <c r="H1397" s="62" t="s">
        <v>56</v>
      </c>
      <c r="I1397" s="78" t="s">
        <v>2214</v>
      </c>
      <c r="J1397" s="62" t="s">
        <v>40</v>
      </c>
      <c r="K1397" s="67" t="s">
        <v>2215</v>
      </c>
      <c r="L1397" s="70"/>
      <c r="M1397" s="62"/>
      <c r="N1397" s="62"/>
      <c r="O1397" s="64"/>
      <c r="P1397" s="79"/>
      <c r="Q1397" s="62" t="s">
        <v>43</v>
      </c>
      <c r="R1397" s="62"/>
    </row>
    <row r="1398" ht="13.8" spans="1:18">
      <c r="A1398" s="58">
        <v>1375</v>
      </c>
      <c r="B1398" s="108">
        <v>45830</v>
      </c>
      <c r="C1398" s="64" t="s">
        <v>49</v>
      </c>
      <c r="D1398" s="62" t="s">
        <v>35</v>
      </c>
      <c r="E1398" s="62" t="s">
        <v>804</v>
      </c>
      <c r="F1398" s="105" t="s">
        <v>36</v>
      </c>
      <c r="G1398" s="62" t="s">
        <v>37</v>
      </c>
      <c r="H1398" s="62" t="s">
        <v>46</v>
      </c>
      <c r="I1398" s="78" t="s">
        <v>1026</v>
      </c>
      <c r="J1398" s="62" t="s">
        <v>40</v>
      </c>
      <c r="K1398" s="67" t="s">
        <v>1027</v>
      </c>
      <c r="L1398" s="70"/>
      <c r="M1398" s="62"/>
      <c r="N1398" s="62"/>
      <c r="O1398" s="64"/>
      <c r="P1398" s="79"/>
      <c r="Q1398" s="62" t="s">
        <v>43</v>
      </c>
      <c r="R1398" s="62"/>
    </row>
    <row r="1399" ht="13.8" spans="1:18">
      <c r="A1399" s="58">
        <v>1376</v>
      </c>
      <c r="B1399" s="108">
        <v>45831</v>
      </c>
      <c r="C1399" s="64" t="s">
        <v>198</v>
      </c>
      <c r="D1399" s="62" t="s">
        <v>35</v>
      </c>
      <c r="E1399" s="62" t="s">
        <v>804</v>
      </c>
      <c r="F1399" s="105" t="s">
        <v>36</v>
      </c>
      <c r="G1399" s="62" t="s">
        <v>61</v>
      </c>
      <c r="H1399" s="62" t="s">
        <v>132</v>
      </c>
      <c r="I1399" s="78" t="s">
        <v>2216</v>
      </c>
      <c r="J1399" s="62" t="s">
        <v>40</v>
      </c>
      <c r="K1399" s="67" t="s">
        <v>2217</v>
      </c>
      <c r="L1399" s="70"/>
      <c r="M1399" s="62"/>
      <c r="N1399" s="62"/>
      <c r="O1399" s="64"/>
      <c r="P1399" s="79"/>
      <c r="Q1399" s="62" t="s">
        <v>43</v>
      </c>
      <c r="R1399" s="62"/>
    </row>
    <row r="1400" ht="27.6" spans="1:18">
      <c r="A1400" s="58">
        <v>1377</v>
      </c>
      <c r="B1400" s="108">
        <v>45825</v>
      </c>
      <c r="C1400" s="64" t="s">
        <v>1933</v>
      </c>
      <c r="D1400" s="62" t="s">
        <v>35</v>
      </c>
      <c r="E1400" s="62" t="s">
        <v>804</v>
      </c>
      <c r="F1400" s="105" t="s">
        <v>36</v>
      </c>
      <c r="G1400" s="62" t="s">
        <v>82</v>
      </c>
      <c r="H1400" s="62" t="s">
        <v>94</v>
      </c>
      <c r="I1400" s="78" t="s">
        <v>2218</v>
      </c>
      <c r="J1400" s="62" t="s">
        <v>40</v>
      </c>
      <c r="K1400" s="67" t="s">
        <v>1449</v>
      </c>
      <c r="L1400" s="70"/>
      <c r="M1400" s="62"/>
      <c r="N1400" s="62"/>
      <c r="O1400" s="64"/>
      <c r="P1400" s="79"/>
      <c r="Q1400" s="62" t="s">
        <v>43</v>
      </c>
      <c r="R1400" s="62"/>
    </row>
    <row r="1401" ht="27.6" spans="1:18">
      <c r="A1401" s="58">
        <v>1378</v>
      </c>
      <c r="B1401" s="108">
        <v>45826</v>
      </c>
      <c r="C1401" s="64" t="s">
        <v>453</v>
      </c>
      <c r="D1401" s="62" t="s">
        <v>35</v>
      </c>
      <c r="E1401" s="62" t="s">
        <v>589</v>
      </c>
      <c r="F1401" s="105" t="s">
        <v>36</v>
      </c>
      <c r="G1401" s="62" t="s">
        <v>131</v>
      </c>
      <c r="H1401" s="62" t="s">
        <v>46</v>
      </c>
      <c r="I1401" s="78" t="s">
        <v>2219</v>
      </c>
      <c r="J1401" s="62" t="s">
        <v>91</v>
      </c>
      <c r="K1401" s="67" t="s">
        <v>2220</v>
      </c>
      <c r="L1401" s="70"/>
      <c r="M1401" s="62"/>
      <c r="N1401" s="62"/>
      <c r="O1401" s="64"/>
      <c r="P1401" s="79"/>
      <c r="Q1401" s="62" t="s">
        <v>43</v>
      </c>
      <c r="R1401" s="62"/>
    </row>
    <row r="1402" ht="13.8" spans="1:18">
      <c r="A1402" s="58">
        <v>1379</v>
      </c>
      <c r="B1402" s="108">
        <v>45827</v>
      </c>
      <c r="C1402" s="64" t="s">
        <v>49</v>
      </c>
      <c r="D1402" s="62" t="s">
        <v>35</v>
      </c>
      <c r="E1402" s="62" t="s">
        <v>804</v>
      </c>
      <c r="F1402" s="105" t="s">
        <v>50</v>
      </c>
      <c r="G1402" s="62" t="s">
        <v>588</v>
      </c>
      <c r="H1402" s="62" t="s">
        <v>51</v>
      </c>
      <c r="I1402" s="78" t="s">
        <v>1357</v>
      </c>
      <c r="J1402" s="62" t="s">
        <v>91</v>
      </c>
      <c r="K1402" s="67" t="s">
        <v>570</v>
      </c>
      <c r="L1402" s="70"/>
      <c r="M1402" s="62"/>
      <c r="N1402" s="62"/>
      <c r="O1402" s="64"/>
      <c r="P1402" s="79"/>
      <c r="Q1402" s="62" t="s">
        <v>43</v>
      </c>
      <c r="R1402" s="62"/>
    </row>
    <row r="1403" ht="13.8" spans="1:18">
      <c r="A1403" s="58">
        <v>1380</v>
      </c>
      <c r="B1403" s="108">
        <v>45829</v>
      </c>
      <c r="C1403" s="64" t="s">
        <v>198</v>
      </c>
      <c r="D1403" s="62" t="s">
        <v>35</v>
      </c>
      <c r="E1403" s="62" t="s">
        <v>804</v>
      </c>
      <c r="F1403" s="105" t="s">
        <v>50</v>
      </c>
      <c r="G1403" s="62" t="s">
        <v>45</v>
      </c>
      <c r="H1403" s="62" t="s">
        <v>94</v>
      </c>
      <c r="I1403" s="78" t="s">
        <v>2221</v>
      </c>
      <c r="J1403" s="62" t="s">
        <v>91</v>
      </c>
      <c r="K1403" s="67" t="s">
        <v>2222</v>
      </c>
      <c r="L1403" s="70"/>
      <c r="M1403" s="62"/>
      <c r="N1403" s="62"/>
      <c r="O1403" s="64"/>
      <c r="P1403" s="79"/>
      <c r="Q1403" s="62" t="s">
        <v>43</v>
      </c>
      <c r="R1403" s="62"/>
    </row>
    <row r="1404" ht="13.8" spans="1:18">
      <c r="A1404" s="58">
        <v>1381</v>
      </c>
      <c r="B1404" s="108">
        <v>45830</v>
      </c>
      <c r="C1404" s="64" t="s">
        <v>1933</v>
      </c>
      <c r="D1404" s="62" t="s">
        <v>35</v>
      </c>
      <c r="E1404" s="62" t="s">
        <v>804</v>
      </c>
      <c r="F1404" s="105" t="s">
        <v>50</v>
      </c>
      <c r="G1404" s="62" t="s">
        <v>259</v>
      </c>
      <c r="H1404" s="62" t="s">
        <v>51</v>
      </c>
      <c r="I1404" s="78" t="s">
        <v>2223</v>
      </c>
      <c r="J1404" s="62" t="s">
        <v>91</v>
      </c>
      <c r="K1404" s="67" t="s">
        <v>2224</v>
      </c>
      <c r="L1404" s="70"/>
      <c r="M1404" s="62"/>
      <c r="N1404" s="62"/>
      <c r="O1404" s="64"/>
      <c r="P1404" s="79"/>
      <c r="Q1404" s="62" t="s">
        <v>43</v>
      </c>
      <c r="R1404" s="62"/>
    </row>
    <row r="1405" ht="13.8" spans="1:18">
      <c r="A1405" s="58">
        <v>1382</v>
      </c>
      <c r="B1405" s="108">
        <v>45831</v>
      </c>
      <c r="C1405" s="64" t="s">
        <v>49</v>
      </c>
      <c r="D1405" s="62" t="s">
        <v>35</v>
      </c>
      <c r="E1405" s="62" t="s">
        <v>804</v>
      </c>
      <c r="F1405" s="105" t="s">
        <v>50</v>
      </c>
      <c r="G1405" s="62" t="s">
        <v>61</v>
      </c>
      <c r="H1405" s="62" t="s">
        <v>51</v>
      </c>
      <c r="I1405" s="78" t="s">
        <v>2225</v>
      </c>
      <c r="J1405" s="62" t="s">
        <v>91</v>
      </c>
      <c r="K1405" s="67" t="s">
        <v>2226</v>
      </c>
      <c r="L1405" s="70"/>
      <c r="M1405" s="62"/>
      <c r="N1405" s="62"/>
      <c r="O1405" s="64"/>
      <c r="P1405" s="79"/>
      <c r="Q1405" s="62" t="s">
        <v>43</v>
      </c>
      <c r="R1405" s="62"/>
    </row>
    <row r="1406" ht="13.8" spans="1:18">
      <c r="A1406" s="58">
        <v>1383</v>
      </c>
      <c r="B1406" s="108">
        <v>45825</v>
      </c>
      <c r="C1406" s="64" t="s">
        <v>198</v>
      </c>
      <c r="D1406" s="62" t="s">
        <v>35</v>
      </c>
      <c r="E1406" s="62" t="s">
        <v>804</v>
      </c>
      <c r="F1406" s="105" t="s">
        <v>50</v>
      </c>
      <c r="G1406" s="62" t="s">
        <v>588</v>
      </c>
      <c r="H1406" s="62" t="s">
        <v>51</v>
      </c>
      <c r="I1406" s="78" t="s">
        <v>221</v>
      </c>
      <c r="J1406" s="62" t="s">
        <v>91</v>
      </c>
      <c r="K1406" s="67" t="s">
        <v>570</v>
      </c>
      <c r="L1406" s="70"/>
      <c r="M1406" s="62"/>
      <c r="N1406" s="62"/>
      <c r="O1406" s="64"/>
      <c r="P1406" s="79"/>
      <c r="Q1406" s="62" t="s">
        <v>43</v>
      </c>
      <c r="R1406" s="62"/>
    </row>
    <row r="1407" ht="27.6" spans="1:18">
      <c r="A1407" s="58">
        <v>1384</v>
      </c>
      <c r="B1407" s="108">
        <v>45826</v>
      </c>
      <c r="C1407" s="64" t="s">
        <v>1933</v>
      </c>
      <c r="D1407" s="62" t="s">
        <v>35</v>
      </c>
      <c r="E1407" s="62" t="s">
        <v>804</v>
      </c>
      <c r="F1407" s="105" t="s">
        <v>50</v>
      </c>
      <c r="G1407" s="62" t="s">
        <v>131</v>
      </c>
      <c r="H1407" s="62" t="s">
        <v>51</v>
      </c>
      <c r="I1407" s="78" t="s">
        <v>2227</v>
      </c>
      <c r="J1407" s="62" t="s">
        <v>91</v>
      </c>
      <c r="K1407" s="67" t="s">
        <v>2228</v>
      </c>
      <c r="L1407" s="70"/>
      <c r="M1407" s="62"/>
      <c r="N1407" s="62"/>
      <c r="O1407" s="64"/>
      <c r="P1407" s="79"/>
      <c r="Q1407" s="62" t="s">
        <v>43</v>
      </c>
      <c r="R1407" s="62"/>
    </row>
    <row r="1408" ht="41.4" spans="1:18">
      <c r="A1408" s="58">
        <v>1385</v>
      </c>
      <c r="B1408" s="108">
        <v>45827</v>
      </c>
      <c r="C1408" s="64" t="s">
        <v>191</v>
      </c>
      <c r="D1408" s="62" t="s">
        <v>35</v>
      </c>
      <c r="E1408" s="62" t="s">
        <v>804</v>
      </c>
      <c r="F1408" s="105" t="s">
        <v>50</v>
      </c>
      <c r="G1408" s="62" t="s">
        <v>131</v>
      </c>
      <c r="H1408" s="62" t="s">
        <v>51</v>
      </c>
      <c r="I1408" s="78" t="s">
        <v>2229</v>
      </c>
      <c r="J1408" s="62" t="s">
        <v>91</v>
      </c>
      <c r="K1408" s="67" t="s">
        <v>2230</v>
      </c>
      <c r="L1408" s="70"/>
      <c r="M1408" s="62"/>
      <c r="N1408" s="62"/>
      <c r="O1408" s="64"/>
      <c r="P1408" s="79"/>
      <c r="Q1408" s="62" t="s">
        <v>43</v>
      </c>
      <c r="R1408" s="62"/>
    </row>
    <row r="1409" ht="26.4" spans="1:18">
      <c r="A1409" s="58">
        <v>1386</v>
      </c>
      <c r="B1409" s="108">
        <v>45829</v>
      </c>
      <c r="C1409" s="64" t="s">
        <v>1903</v>
      </c>
      <c r="D1409" s="62" t="s">
        <v>35</v>
      </c>
      <c r="E1409" s="62" t="s">
        <v>804</v>
      </c>
      <c r="F1409" s="105" t="s">
        <v>135</v>
      </c>
      <c r="G1409" s="62" t="s">
        <v>262</v>
      </c>
      <c r="H1409" s="62" t="s">
        <v>94</v>
      </c>
      <c r="I1409" s="78" t="s">
        <v>2231</v>
      </c>
      <c r="J1409" s="62" t="s">
        <v>137</v>
      </c>
      <c r="K1409" s="67" t="s">
        <v>194</v>
      </c>
      <c r="L1409" s="70"/>
      <c r="M1409" s="62"/>
      <c r="N1409" s="62"/>
      <c r="O1409" s="64"/>
      <c r="P1409" s="79"/>
      <c r="Q1409" s="62" t="s">
        <v>8</v>
      </c>
      <c r="R1409" s="62"/>
    </row>
    <row r="1410" ht="13.8" spans="1:18">
      <c r="A1410" s="58">
        <v>1387</v>
      </c>
      <c r="B1410" s="108">
        <v>45829</v>
      </c>
      <c r="C1410" s="60" t="s">
        <v>1938</v>
      </c>
      <c r="D1410" s="62" t="s">
        <v>35</v>
      </c>
      <c r="E1410" s="62" t="s">
        <v>804</v>
      </c>
      <c r="F1410" s="105" t="s">
        <v>192</v>
      </c>
      <c r="G1410" s="62" t="s">
        <v>61</v>
      </c>
      <c r="H1410" s="62" t="s">
        <v>51</v>
      </c>
      <c r="I1410" s="78" t="s">
        <v>2232</v>
      </c>
      <c r="J1410" s="62" t="s">
        <v>137</v>
      </c>
      <c r="K1410" s="67" t="s">
        <v>194</v>
      </c>
      <c r="L1410" s="70"/>
      <c r="M1410" s="62"/>
      <c r="N1410" s="62"/>
      <c r="O1410" s="64"/>
      <c r="P1410" s="79"/>
      <c r="Q1410" s="62" t="s">
        <v>8</v>
      </c>
      <c r="R1410" s="62"/>
    </row>
    <row r="1411" ht="26.4" spans="1:18">
      <c r="A1411" s="58">
        <v>1388</v>
      </c>
      <c r="B1411" s="108">
        <v>45830</v>
      </c>
      <c r="C1411" s="64" t="s">
        <v>1933</v>
      </c>
      <c r="D1411" s="62" t="s">
        <v>35</v>
      </c>
      <c r="E1411" s="62" t="s">
        <v>804</v>
      </c>
      <c r="F1411" s="105" t="s">
        <v>135</v>
      </c>
      <c r="G1411" s="62" t="s">
        <v>259</v>
      </c>
      <c r="H1411" s="62" t="s">
        <v>94</v>
      </c>
      <c r="I1411" s="78" t="s">
        <v>2233</v>
      </c>
      <c r="J1411" s="62" t="s">
        <v>137</v>
      </c>
      <c r="K1411" s="67" t="s">
        <v>194</v>
      </c>
      <c r="L1411" s="70"/>
      <c r="M1411" s="62"/>
      <c r="N1411" s="62"/>
      <c r="O1411" s="64"/>
      <c r="P1411" s="79"/>
      <c r="Q1411" s="62" t="s">
        <v>8</v>
      </c>
      <c r="R1411" s="62"/>
    </row>
    <row r="1412" ht="26.4" spans="1:18">
      <c r="A1412" s="58">
        <v>1389</v>
      </c>
      <c r="B1412" s="108">
        <v>45831</v>
      </c>
      <c r="C1412" s="64" t="s">
        <v>49</v>
      </c>
      <c r="D1412" s="62" t="s">
        <v>35</v>
      </c>
      <c r="E1412" s="62" t="s">
        <v>804</v>
      </c>
      <c r="F1412" s="105" t="s">
        <v>192</v>
      </c>
      <c r="G1412" s="62" t="s">
        <v>37</v>
      </c>
      <c r="H1412" s="62" t="s">
        <v>51</v>
      </c>
      <c r="I1412" s="78" t="s">
        <v>2234</v>
      </c>
      <c r="J1412" s="62" t="s">
        <v>137</v>
      </c>
      <c r="K1412" s="67" t="s">
        <v>194</v>
      </c>
      <c r="L1412" s="70"/>
      <c r="M1412" s="62"/>
      <c r="N1412" s="62"/>
      <c r="O1412" s="64"/>
      <c r="P1412" s="79"/>
      <c r="Q1412" s="62" t="s">
        <v>8</v>
      </c>
      <c r="R1412" s="62"/>
    </row>
    <row r="1413" ht="26.4" spans="1:18">
      <c r="A1413" s="58">
        <v>1390</v>
      </c>
      <c r="B1413" s="108">
        <v>45832</v>
      </c>
      <c r="C1413" s="64" t="s">
        <v>1933</v>
      </c>
      <c r="D1413" s="62" t="s">
        <v>35</v>
      </c>
      <c r="E1413" s="62" t="s">
        <v>804</v>
      </c>
      <c r="F1413" s="105" t="s">
        <v>135</v>
      </c>
      <c r="G1413" s="62" t="s">
        <v>82</v>
      </c>
      <c r="H1413" s="62" t="s">
        <v>94</v>
      </c>
      <c r="I1413" s="78" t="s">
        <v>2231</v>
      </c>
      <c r="J1413" s="62" t="s">
        <v>137</v>
      </c>
      <c r="K1413" s="67" t="s">
        <v>194</v>
      </c>
      <c r="L1413" s="70"/>
      <c r="M1413" s="62"/>
      <c r="N1413" s="62"/>
      <c r="O1413" s="64"/>
      <c r="P1413" s="79"/>
      <c r="Q1413" s="62" t="s">
        <v>8</v>
      </c>
      <c r="R1413" s="62"/>
    </row>
    <row r="1414" ht="26.4" spans="1:18">
      <c r="A1414" s="58">
        <v>1391</v>
      </c>
      <c r="B1414" s="108">
        <v>45833</v>
      </c>
      <c r="C1414" s="60" t="s">
        <v>1938</v>
      </c>
      <c r="D1414" s="62" t="s">
        <v>35</v>
      </c>
      <c r="E1414" s="62" t="s">
        <v>804</v>
      </c>
      <c r="F1414" s="105" t="s">
        <v>192</v>
      </c>
      <c r="G1414" s="62" t="s">
        <v>131</v>
      </c>
      <c r="H1414" s="62" t="s">
        <v>51</v>
      </c>
      <c r="I1414" s="78" t="s">
        <v>2234</v>
      </c>
      <c r="J1414" s="62" t="s">
        <v>137</v>
      </c>
      <c r="K1414" s="67" t="s">
        <v>194</v>
      </c>
      <c r="L1414" s="70"/>
      <c r="M1414" s="62"/>
      <c r="N1414" s="62"/>
      <c r="O1414" s="64"/>
      <c r="P1414" s="59" t="s">
        <v>42</v>
      </c>
      <c r="Q1414" s="73" t="s">
        <v>8</v>
      </c>
      <c r="R1414" s="62"/>
    </row>
    <row r="1415" ht="13.8" spans="1:18">
      <c r="A1415" s="58">
        <v>1392</v>
      </c>
      <c r="B1415" s="108">
        <v>45834</v>
      </c>
      <c r="C1415" s="64" t="s">
        <v>49</v>
      </c>
      <c r="D1415" s="62" t="s">
        <v>35</v>
      </c>
      <c r="E1415" s="62" t="s">
        <v>804</v>
      </c>
      <c r="F1415" s="105" t="s">
        <v>50</v>
      </c>
      <c r="G1415" s="62" t="s">
        <v>588</v>
      </c>
      <c r="H1415" s="62" t="s">
        <v>66</v>
      </c>
      <c r="I1415" s="78" t="s">
        <v>1312</v>
      </c>
      <c r="J1415" s="62" t="s">
        <v>40</v>
      </c>
      <c r="K1415" s="67" t="s">
        <v>1375</v>
      </c>
      <c r="L1415" s="70"/>
      <c r="M1415" s="62"/>
      <c r="N1415" s="62"/>
      <c r="O1415" s="64"/>
      <c r="P1415" s="79"/>
      <c r="Q1415" s="62" t="s">
        <v>43</v>
      </c>
      <c r="R1415" s="62"/>
    </row>
    <row r="1416" ht="13.8" spans="1:18">
      <c r="A1416" s="58">
        <v>1393</v>
      </c>
      <c r="B1416" s="108">
        <v>45834</v>
      </c>
      <c r="C1416" s="64" t="s">
        <v>198</v>
      </c>
      <c r="D1416" s="62" t="s">
        <v>35</v>
      </c>
      <c r="E1416" s="62" t="s">
        <v>804</v>
      </c>
      <c r="F1416" s="105" t="s">
        <v>36</v>
      </c>
      <c r="G1416" s="62" t="s">
        <v>45</v>
      </c>
      <c r="H1416" s="62" t="s">
        <v>38</v>
      </c>
      <c r="I1416" s="78" t="s">
        <v>1907</v>
      </c>
      <c r="J1416" s="62" t="s">
        <v>40</v>
      </c>
      <c r="K1416" s="67" t="s">
        <v>1884</v>
      </c>
      <c r="L1416" s="70"/>
      <c r="M1416" s="62"/>
      <c r="N1416" s="62"/>
      <c r="O1416" s="64"/>
      <c r="P1416" s="79"/>
      <c r="Q1416" s="62" t="s">
        <v>43</v>
      </c>
      <c r="R1416" s="62"/>
    </row>
    <row r="1417" ht="13.8" spans="1:18">
      <c r="A1417" s="58">
        <v>1394</v>
      </c>
      <c r="B1417" s="108">
        <v>45836</v>
      </c>
      <c r="C1417" s="64" t="s">
        <v>1933</v>
      </c>
      <c r="D1417" s="62" t="s">
        <v>35</v>
      </c>
      <c r="E1417" s="62" t="s">
        <v>804</v>
      </c>
      <c r="F1417" s="105" t="s">
        <v>36</v>
      </c>
      <c r="G1417" s="62" t="s">
        <v>259</v>
      </c>
      <c r="H1417" s="62" t="s">
        <v>94</v>
      </c>
      <c r="I1417" s="78" t="s">
        <v>184</v>
      </c>
      <c r="J1417" s="62" t="s">
        <v>40</v>
      </c>
      <c r="K1417" s="67" t="s">
        <v>1909</v>
      </c>
      <c r="L1417" s="70"/>
      <c r="M1417" s="62"/>
      <c r="N1417" s="62"/>
      <c r="O1417" s="64"/>
      <c r="P1417" s="79"/>
      <c r="Q1417" s="62" t="s">
        <v>43</v>
      </c>
      <c r="R1417" s="62"/>
    </row>
    <row r="1418" ht="13.8" spans="1:18">
      <c r="A1418" s="58">
        <v>1395</v>
      </c>
      <c r="B1418" s="108">
        <v>45837</v>
      </c>
      <c r="C1418" s="64" t="s">
        <v>49</v>
      </c>
      <c r="D1418" s="62" t="s">
        <v>35</v>
      </c>
      <c r="E1418" s="62" t="s">
        <v>804</v>
      </c>
      <c r="F1418" s="105" t="s">
        <v>36</v>
      </c>
      <c r="G1418" s="62" t="s">
        <v>61</v>
      </c>
      <c r="H1418" s="62" t="s">
        <v>38</v>
      </c>
      <c r="I1418" s="78" t="s">
        <v>1910</v>
      </c>
      <c r="J1418" s="62" t="s">
        <v>91</v>
      </c>
      <c r="K1418" s="67" t="s">
        <v>1911</v>
      </c>
      <c r="L1418" s="70"/>
      <c r="M1418" s="62"/>
      <c r="N1418" s="62"/>
      <c r="O1418" s="64"/>
      <c r="P1418" s="79"/>
      <c r="Q1418" s="62" t="s">
        <v>43</v>
      </c>
      <c r="R1418" s="62"/>
    </row>
    <row r="1419" ht="13.8" spans="1:18">
      <c r="A1419" s="58">
        <v>1396</v>
      </c>
      <c r="B1419" s="108">
        <v>45838</v>
      </c>
      <c r="C1419" s="64" t="s">
        <v>198</v>
      </c>
      <c r="D1419" s="62" t="s">
        <v>35</v>
      </c>
      <c r="E1419" s="62" t="s">
        <v>804</v>
      </c>
      <c r="F1419" s="105" t="s">
        <v>36</v>
      </c>
      <c r="G1419" s="62" t="s">
        <v>588</v>
      </c>
      <c r="H1419" s="62" t="s">
        <v>56</v>
      </c>
      <c r="I1419" s="78" t="s">
        <v>431</v>
      </c>
      <c r="J1419" s="62" t="s">
        <v>40</v>
      </c>
      <c r="K1419" s="67" t="s">
        <v>430</v>
      </c>
      <c r="L1419" s="70"/>
      <c r="M1419" s="62"/>
      <c r="N1419" s="62"/>
      <c r="O1419" s="64"/>
      <c r="P1419" s="79"/>
      <c r="Q1419" s="62" t="s">
        <v>43</v>
      </c>
      <c r="R1419" s="62"/>
    </row>
    <row r="1420" ht="13.8" spans="1:18">
      <c r="A1420" s="58">
        <v>1397</v>
      </c>
      <c r="B1420" s="108">
        <v>45832</v>
      </c>
      <c r="C1420" s="64" t="s">
        <v>1933</v>
      </c>
      <c r="D1420" s="62" t="s">
        <v>35</v>
      </c>
      <c r="E1420" s="62" t="s">
        <v>804</v>
      </c>
      <c r="F1420" s="105" t="s">
        <v>36</v>
      </c>
      <c r="G1420" s="62" t="s">
        <v>131</v>
      </c>
      <c r="H1420" s="62" t="s">
        <v>94</v>
      </c>
      <c r="I1420" s="78" t="s">
        <v>1913</v>
      </c>
      <c r="J1420" s="62" t="s">
        <v>40</v>
      </c>
      <c r="K1420" s="67" t="s">
        <v>426</v>
      </c>
      <c r="L1420" s="70"/>
      <c r="M1420" s="62"/>
      <c r="N1420" s="62"/>
      <c r="O1420" s="64"/>
      <c r="P1420" s="79"/>
      <c r="Q1420" s="62" t="s">
        <v>43</v>
      </c>
      <c r="R1420" s="62"/>
    </row>
    <row r="1421" ht="13.8" spans="1:18">
      <c r="A1421" s="58">
        <v>1398</v>
      </c>
      <c r="B1421" s="108">
        <v>45833</v>
      </c>
      <c r="C1421" s="64" t="s">
        <v>191</v>
      </c>
      <c r="D1421" s="62" t="s">
        <v>35</v>
      </c>
      <c r="E1421" s="62" t="s">
        <v>804</v>
      </c>
      <c r="F1421" s="105" t="s">
        <v>36</v>
      </c>
      <c r="G1421" s="62" t="s">
        <v>131</v>
      </c>
      <c r="H1421" s="62" t="s">
        <v>56</v>
      </c>
      <c r="I1421" s="78" t="s">
        <v>1914</v>
      </c>
      <c r="J1421" s="62" t="s">
        <v>40</v>
      </c>
      <c r="K1421" s="67" t="s">
        <v>1915</v>
      </c>
      <c r="L1421" s="70"/>
      <c r="M1421" s="62"/>
      <c r="N1421" s="62"/>
      <c r="O1421" s="64"/>
      <c r="P1421" s="79"/>
      <c r="Q1421" s="62" t="s">
        <v>43</v>
      </c>
      <c r="R1421" s="62"/>
    </row>
    <row r="1422" ht="13.8" spans="1:18">
      <c r="A1422" s="58">
        <v>1399</v>
      </c>
      <c r="B1422" s="108">
        <v>45834</v>
      </c>
      <c r="C1422" s="64" t="s">
        <v>1903</v>
      </c>
      <c r="D1422" s="62" t="s">
        <v>35</v>
      </c>
      <c r="E1422" s="62" t="s">
        <v>804</v>
      </c>
      <c r="F1422" s="105" t="s">
        <v>36</v>
      </c>
      <c r="G1422" s="62" t="s">
        <v>262</v>
      </c>
      <c r="H1422" s="62" t="s">
        <v>132</v>
      </c>
      <c r="I1422" s="78" t="s">
        <v>1916</v>
      </c>
      <c r="J1422" s="62" t="s">
        <v>91</v>
      </c>
      <c r="K1422" s="67" t="s">
        <v>1917</v>
      </c>
      <c r="L1422" s="70"/>
      <c r="M1422" s="62"/>
      <c r="N1422" s="62"/>
      <c r="O1422" s="64"/>
      <c r="P1422" s="79"/>
      <c r="Q1422" s="62" t="s">
        <v>43</v>
      </c>
      <c r="R1422" s="62"/>
    </row>
    <row r="1423" ht="13.8" spans="1:18">
      <c r="A1423" s="58">
        <v>1400</v>
      </c>
      <c r="B1423" s="108">
        <v>45834</v>
      </c>
      <c r="C1423" s="60" t="s">
        <v>1938</v>
      </c>
      <c r="D1423" s="62" t="s">
        <v>35</v>
      </c>
      <c r="E1423" s="62" t="s">
        <v>804</v>
      </c>
      <c r="F1423" s="105" t="s">
        <v>36</v>
      </c>
      <c r="G1423" s="62" t="s">
        <v>61</v>
      </c>
      <c r="H1423" s="62" t="s">
        <v>94</v>
      </c>
      <c r="I1423" s="78" t="s">
        <v>1918</v>
      </c>
      <c r="J1423" s="62" t="s">
        <v>40</v>
      </c>
      <c r="K1423" s="67" t="s">
        <v>1919</v>
      </c>
      <c r="L1423" s="70"/>
      <c r="M1423" s="62"/>
      <c r="N1423" s="62"/>
      <c r="O1423" s="64"/>
      <c r="P1423" s="79"/>
      <c r="Q1423" s="62" t="s">
        <v>43</v>
      </c>
      <c r="R1423" s="62"/>
    </row>
    <row r="1424" ht="13.8" spans="1:18">
      <c r="A1424" s="58">
        <v>1401</v>
      </c>
      <c r="B1424" s="108">
        <v>45836</v>
      </c>
      <c r="C1424" s="64" t="s">
        <v>1933</v>
      </c>
      <c r="D1424" s="62" t="s">
        <v>35</v>
      </c>
      <c r="E1424" s="62" t="s">
        <v>804</v>
      </c>
      <c r="F1424" s="105" t="s">
        <v>36</v>
      </c>
      <c r="G1424" s="62" t="s">
        <v>259</v>
      </c>
      <c r="H1424" s="62" t="s">
        <v>46</v>
      </c>
      <c r="I1424" s="78" t="s">
        <v>1920</v>
      </c>
      <c r="J1424" s="62" t="s">
        <v>91</v>
      </c>
      <c r="K1424" s="67" t="s">
        <v>1921</v>
      </c>
      <c r="L1424" s="70"/>
      <c r="M1424" s="62"/>
      <c r="N1424" s="62"/>
      <c r="O1424" s="64"/>
      <c r="P1424" s="79"/>
      <c r="Q1424" s="62" t="s">
        <v>43</v>
      </c>
      <c r="R1424" s="62"/>
    </row>
    <row r="1425" ht="13.8" spans="1:18">
      <c r="A1425" s="58">
        <v>1402</v>
      </c>
      <c r="B1425" s="108">
        <v>45837</v>
      </c>
      <c r="C1425" s="81" t="s">
        <v>49</v>
      </c>
      <c r="D1425" s="65" t="s">
        <v>35</v>
      </c>
      <c r="E1425" s="65" t="s">
        <v>804</v>
      </c>
      <c r="F1425" s="107" t="s">
        <v>36</v>
      </c>
      <c r="G1425" s="65" t="s">
        <v>37</v>
      </c>
      <c r="H1425" s="65" t="s">
        <v>56</v>
      </c>
      <c r="I1425" s="80" t="s">
        <v>1923</v>
      </c>
      <c r="J1425" s="65" t="s">
        <v>40</v>
      </c>
      <c r="K1425" s="91" t="s">
        <v>1924</v>
      </c>
      <c r="L1425" s="87"/>
      <c r="M1425" s="65"/>
      <c r="N1425" s="65"/>
      <c r="O1425" s="81"/>
      <c r="P1425" s="82"/>
      <c r="Q1425" s="65" t="s">
        <v>43</v>
      </c>
      <c r="R1425" s="65"/>
    </row>
    <row r="1426" ht="27.6" spans="1:18">
      <c r="A1426" s="58">
        <v>1403</v>
      </c>
      <c r="B1426" s="108">
        <v>45831</v>
      </c>
      <c r="C1426" s="81" t="s">
        <v>632</v>
      </c>
      <c r="D1426" s="61" t="s">
        <v>72</v>
      </c>
      <c r="E1426" s="65" t="s">
        <v>804</v>
      </c>
      <c r="F1426" s="107" t="s">
        <v>36</v>
      </c>
      <c r="G1426" s="65" t="s">
        <v>45</v>
      </c>
      <c r="H1426" s="65" t="s">
        <v>56</v>
      </c>
      <c r="I1426" s="111" t="s">
        <v>2235</v>
      </c>
      <c r="J1426" s="65" t="s">
        <v>53</v>
      </c>
      <c r="K1426" s="91" t="s">
        <v>2236</v>
      </c>
      <c r="L1426" s="87"/>
      <c r="M1426" s="65"/>
      <c r="N1426" s="65"/>
      <c r="O1426" s="81"/>
      <c r="P1426" s="82"/>
      <c r="Q1426" s="65" t="s">
        <v>43</v>
      </c>
      <c r="R1426" s="65"/>
    </row>
    <row r="1427" ht="27.6" spans="1:18">
      <c r="A1427" s="58">
        <v>1404</v>
      </c>
      <c r="B1427" s="108">
        <v>45830</v>
      </c>
      <c r="C1427" s="81" t="s">
        <v>632</v>
      </c>
      <c r="D1427" s="61" t="s">
        <v>72</v>
      </c>
      <c r="E1427" s="65" t="s">
        <v>804</v>
      </c>
      <c r="F1427" s="107" t="s">
        <v>36</v>
      </c>
      <c r="G1427" s="65" t="s">
        <v>82</v>
      </c>
      <c r="H1427" s="65" t="s">
        <v>46</v>
      </c>
      <c r="I1427" s="111" t="s">
        <v>2237</v>
      </c>
      <c r="J1427" s="65" t="s">
        <v>53</v>
      </c>
      <c r="K1427" s="91" t="s">
        <v>2238</v>
      </c>
      <c r="L1427" s="87"/>
      <c r="M1427" s="65"/>
      <c r="N1427" s="65"/>
      <c r="O1427" s="81"/>
      <c r="P1427" s="82"/>
      <c r="Q1427" s="65" t="s">
        <v>43</v>
      </c>
      <c r="R1427" s="65"/>
    </row>
    <row r="1428" ht="14.4" spans="1:18">
      <c r="A1428" s="58">
        <v>1405</v>
      </c>
      <c r="B1428" s="108">
        <v>45830</v>
      </c>
      <c r="C1428" s="81" t="s">
        <v>632</v>
      </c>
      <c r="D1428" s="61" t="s">
        <v>72</v>
      </c>
      <c r="E1428" s="65" t="s">
        <v>804</v>
      </c>
      <c r="F1428" s="107" t="s">
        <v>36</v>
      </c>
      <c r="G1428" s="65" t="s">
        <v>82</v>
      </c>
      <c r="H1428" s="65" t="s">
        <v>56</v>
      </c>
      <c r="I1428" s="111" t="s">
        <v>2239</v>
      </c>
      <c r="J1428" s="65" t="s">
        <v>53</v>
      </c>
      <c r="K1428" s="91" t="s">
        <v>2240</v>
      </c>
      <c r="L1428" s="87"/>
      <c r="M1428" s="65"/>
      <c r="N1428" s="65"/>
      <c r="O1428" s="81"/>
      <c r="P1428" s="82"/>
      <c r="Q1428" s="65" t="s">
        <v>43</v>
      </c>
      <c r="R1428" s="65"/>
    </row>
    <row r="1429" ht="41.4" spans="1:18">
      <c r="A1429" s="58">
        <v>1406</v>
      </c>
      <c r="B1429" s="108">
        <v>45839</v>
      </c>
      <c r="C1429" s="81" t="s">
        <v>640</v>
      </c>
      <c r="D1429" s="61" t="s">
        <v>72</v>
      </c>
      <c r="E1429" s="65" t="s">
        <v>804</v>
      </c>
      <c r="F1429" s="107" t="s">
        <v>36</v>
      </c>
      <c r="G1429" s="65" t="s">
        <v>37</v>
      </c>
      <c r="H1429" s="65" t="s">
        <v>132</v>
      </c>
      <c r="I1429" s="111" t="s">
        <v>2241</v>
      </c>
      <c r="J1429" s="65" t="s">
        <v>53</v>
      </c>
      <c r="K1429" s="91" t="s">
        <v>2242</v>
      </c>
      <c r="L1429" s="87" t="s">
        <v>2243</v>
      </c>
      <c r="M1429" s="65"/>
      <c r="N1429" s="65"/>
      <c r="O1429" s="81"/>
      <c r="P1429" s="82"/>
      <c r="Q1429" s="65" t="s">
        <v>43</v>
      </c>
      <c r="R1429" s="65"/>
    </row>
    <row r="1430" ht="27.6" spans="1:18">
      <c r="A1430" s="58">
        <v>1407</v>
      </c>
      <c r="B1430" s="108">
        <v>45840</v>
      </c>
      <c r="C1430" s="81" t="s">
        <v>640</v>
      </c>
      <c r="D1430" s="61" t="s">
        <v>72</v>
      </c>
      <c r="E1430" s="65" t="s">
        <v>804</v>
      </c>
      <c r="F1430" s="107" t="s">
        <v>36</v>
      </c>
      <c r="G1430" s="65" t="s">
        <v>65</v>
      </c>
      <c r="H1430" s="65" t="s">
        <v>56</v>
      </c>
      <c r="I1430" s="80" t="s">
        <v>2244</v>
      </c>
      <c r="J1430" s="65" t="s">
        <v>53</v>
      </c>
      <c r="K1430" s="91" t="s">
        <v>2245</v>
      </c>
      <c r="L1430" s="87"/>
      <c r="M1430" s="65"/>
      <c r="N1430" s="65"/>
      <c r="O1430" s="81"/>
      <c r="P1430" s="82"/>
      <c r="Q1430" s="65" t="s">
        <v>43</v>
      </c>
      <c r="R1430" s="65"/>
    </row>
    <row r="1431" ht="41.4" spans="1:18">
      <c r="A1431" s="58">
        <v>1408</v>
      </c>
      <c r="B1431" s="108">
        <v>45841</v>
      </c>
      <c r="C1431" s="81" t="s">
        <v>640</v>
      </c>
      <c r="D1431" s="61" t="s">
        <v>72</v>
      </c>
      <c r="E1431" s="65" t="s">
        <v>804</v>
      </c>
      <c r="F1431" s="107" t="s">
        <v>50</v>
      </c>
      <c r="G1431" s="65" t="s">
        <v>55</v>
      </c>
      <c r="H1431" s="65" t="s">
        <v>46</v>
      </c>
      <c r="I1431" s="80" t="s">
        <v>2246</v>
      </c>
      <c r="J1431" s="65" t="s">
        <v>53</v>
      </c>
      <c r="K1431" s="91" t="s">
        <v>2247</v>
      </c>
      <c r="L1431" s="87"/>
      <c r="M1431" s="65"/>
      <c r="N1431" s="65"/>
      <c r="O1431" s="81"/>
      <c r="P1431" s="82"/>
      <c r="Q1431" s="65" t="s">
        <v>43</v>
      </c>
      <c r="R1431" s="65"/>
    </row>
    <row r="1432" ht="41.4" spans="1:18">
      <c r="A1432" s="58">
        <v>1409</v>
      </c>
      <c r="B1432" s="108">
        <v>45842</v>
      </c>
      <c r="C1432" s="81" t="s">
        <v>640</v>
      </c>
      <c r="D1432" s="61" t="s">
        <v>72</v>
      </c>
      <c r="E1432" s="65" t="s">
        <v>804</v>
      </c>
      <c r="F1432" s="107" t="s">
        <v>36</v>
      </c>
      <c r="G1432" s="65" t="s">
        <v>37</v>
      </c>
      <c r="H1432" s="65" t="s">
        <v>56</v>
      </c>
      <c r="I1432" s="80" t="s">
        <v>2248</v>
      </c>
      <c r="J1432" s="65" t="s">
        <v>53</v>
      </c>
      <c r="K1432" s="91" t="s">
        <v>2249</v>
      </c>
      <c r="L1432" s="87"/>
      <c r="M1432" s="65"/>
      <c r="N1432" s="65"/>
      <c r="O1432" s="81"/>
      <c r="P1432" s="82"/>
      <c r="Q1432" s="65" t="s">
        <v>43</v>
      </c>
      <c r="R1432" s="65"/>
    </row>
    <row r="1433" ht="27.6" spans="1:18">
      <c r="A1433" s="58">
        <v>1410</v>
      </c>
      <c r="B1433" s="108">
        <v>45839</v>
      </c>
      <c r="C1433" s="81" t="s">
        <v>640</v>
      </c>
      <c r="D1433" s="61" t="s">
        <v>72</v>
      </c>
      <c r="E1433" s="65" t="s">
        <v>804</v>
      </c>
      <c r="F1433" s="107" t="s">
        <v>192</v>
      </c>
      <c r="G1433" s="65" t="s">
        <v>37</v>
      </c>
      <c r="H1433" s="65" t="s">
        <v>144</v>
      </c>
      <c r="I1433" s="80" t="s">
        <v>2250</v>
      </c>
      <c r="J1433" s="65" t="s">
        <v>137</v>
      </c>
      <c r="K1433" s="91" t="s">
        <v>2251</v>
      </c>
      <c r="L1433" s="87"/>
      <c r="M1433" s="65"/>
      <c r="N1433" s="65"/>
      <c r="O1433" s="81"/>
      <c r="P1433" s="82"/>
      <c r="Q1433" s="65" t="s">
        <v>8</v>
      </c>
      <c r="R1433" s="65"/>
    </row>
    <row r="1434" ht="27.6" spans="1:18">
      <c r="A1434" s="58">
        <v>1411</v>
      </c>
      <c r="B1434" s="108">
        <v>45839</v>
      </c>
      <c r="C1434" s="81" t="s">
        <v>640</v>
      </c>
      <c r="D1434" s="61" t="s">
        <v>72</v>
      </c>
      <c r="E1434" s="65" t="s">
        <v>804</v>
      </c>
      <c r="F1434" s="107" t="s">
        <v>36</v>
      </c>
      <c r="G1434" s="65" t="s">
        <v>37</v>
      </c>
      <c r="H1434" s="65" t="s">
        <v>1008</v>
      </c>
      <c r="I1434" s="80" t="s">
        <v>2252</v>
      </c>
      <c r="J1434" s="65" t="s">
        <v>53</v>
      </c>
      <c r="K1434" s="91" t="s">
        <v>2253</v>
      </c>
      <c r="L1434" s="87"/>
      <c r="M1434" s="65"/>
      <c r="N1434" s="65"/>
      <c r="O1434" s="81"/>
      <c r="P1434" s="82"/>
      <c r="Q1434" s="65" t="s">
        <v>43</v>
      </c>
      <c r="R1434" s="65"/>
    </row>
    <row r="1435" ht="27.6" spans="1:18">
      <c r="A1435" s="58">
        <v>1412</v>
      </c>
      <c r="B1435" s="108">
        <v>45839</v>
      </c>
      <c r="C1435" s="81" t="s">
        <v>640</v>
      </c>
      <c r="D1435" s="61" t="s">
        <v>72</v>
      </c>
      <c r="E1435" s="65" t="s">
        <v>804</v>
      </c>
      <c r="F1435" s="107" t="s">
        <v>192</v>
      </c>
      <c r="G1435" s="65" t="s">
        <v>55</v>
      </c>
      <c r="H1435" s="65" t="s">
        <v>51</v>
      </c>
      <c r="I1435" s="80" t="s">
        <v>2254</v>
      </c>
      <c r="J1435" s="65" t="s">
        <v>137</v>
      </c>
      <c r="K1435" s="91" t="s">
        <v>2255</v>
      </c>
      <c r="L1435" s="87"/>
      <c r="M1435" s="65"/>
      <c r="N1435" s="65"/>
      <c r="O1435" s="81"/>
      <c r="P1435" s="82"/>
      <c r="Q1435" s="65" t="s">
        <v>8</v>
      </c>
      <c r="R1435" s="65"/>
    </row>
    <row r="1436" ht="13.8" spans="1:18">
      <c r="A1436" s="58">
        <v>1413</v>
      </c>
      <c r="B1436" s="108">
        <v>45840</v>
      </c>
      <c r="C1436" s="81" t="s">
        <v>2051</v>
      </c>
      <c r="D1436" s="61" t="s">
        <v>72</v>
      </c>
      <c r="E1436" s="65" t="s">
        <v>804</v>
      </c>
      <c r="F1436" s="107" t="s">
        <v>36</v>
      </c>
      <c r="G1436" s="65" t="s">
        <v>37</v>
      </c>
      <c r="H1436" s="65" t="s">
        <v>94</v>
      </c>
      <c r="I1436" s="80" t="s">
        <v>2256</v>
      </c>
      <c r="J1436" s="65" t="s">
        <v>88</v>
      </c>
      <c r="K1436" s="91" t="s">
        <v>2257</v>
      </c>
      <c r="L1436" s="87"/>
      <c r="M1436" s="65"/>
      <c r="N1436" s="65"/>
      <c r="O1436" s="81"/>
      <c r="P1436" s="82"/>
      <c r="Q1436" s="65" t="s">
        <v>43</v>
      </c>
      <c r="R1436" s="65"/>
    </row>
    <row r="1437" ht="27.6" spans="1:18">
      <c r="A1437" s="58">
        <v>1414</v>
      </c>
      <c r="B1437" s="108">
        <v>45839</v>
      </c>
      <c r="C1437" s="81" t="s">
        <v>2051</v>
      </c>
      <c r="D1437" s="61" t="s">
        <v>72</v>
      </c>
      <c r="E1437" s="65" t="s">
        <v>804</v>
      </c>
      <c r="F1437" s="107" t="s">
        <v>36</v>
      </c>
      <c r="G1437" s="65" t="s">
        <v>79</v>
      </c>
      <c r="H1437" s="65" t="s">
        <v>56</v>
      </c>
      <c r="I1437" s="80" t="s">
        <v>2258</v>
      </c>
      <c r="J1437" s="65" t="s">
        <v>88</v>
      </c>
      <c r="K1437" s="91" t="s">
        <v>2259</v>
      </c>
      <c r="L1437" s="87"/>
      <c r="M1437" s="65"/>
      <c r="N1437" s="65"/>
      <c r="O1437" s="81"/>
      <c r="P1437" s="82"/>
      <c r="Q1437" s="65" t="s">
        <v>43</v>
      </c>
      <c r="R1437" s="65"/>
    </row>
    <row r="1438" ht="27.6" spans="1:18">
      <c r="A1438" s="58">
        <v>1415</v>
      </c>
      <c r="B1438" s="108">
        <v>45840</v>
      </c>
      <c r="C1438" s="81" t="s">
        <v>632</v>
      </c>
      <c r="D1438" s="61" t="s">
        <v>72</v>
      </c>
      <c r="E1438" s="65" t="s">
        <v>804</v>
      </c>
      <c r="F1438" s="107" t="s">
        <v>36</v>
      </c>
      <c r="G1438" s="65" t="s">
        <v>82</v>
      </c>
      <c r="H1438" s="65" t="s">
        <v>38</v>
      </c>
      <c r="I1438" s="80" t="s">
        <v>2260</v>
      </c>
      <c r="J1438" s="65" t="s">
        <v>88</v>
      </c>
      <c r="K1438" s="91" t="s">
        <v>2261</v>
      </c>
      <c r="L1438" s="87" t="s">
        <v>2262</v>
      </c>
      <c r="M1438" s="65"/>
      <c r="N1438" s="65"/>
      <c r="O1438" s="81"/>
      <c r="P1438" s="82"/>
      <c r="Q1438" s="65" t="s">
        <v>43</v>
      </c>
      <c r="R1438" s="65"/>
    </row>
    <row r="1439" ht="27.6" spans="1:18">
      <c r="A1439" s="58">
        <v>1416</v>
      </c>
      <c r="B1439" s="108">
        <v>45839</v>
      </c>
      <c r="C1439" s="81" t="s">
        <v>2051</v>
      </c>
      <c r="D1439" s="61" t="s">
        <v>72</v>
      </c>
      <c r="E1439" s="65" t="s">
        <v>804</v>
      </c>
      <c r="F1439" s="107" t="s">
        <v>36</v>
      </c>
      <c r="G1439" s="65" t="s">
        <v>55</v>
      </c>
      <c r="H1439" s="65" t="s">
        <v>51</v>
      </c>
      <c r="I1439" s="80" t="s">
        <v>2263</v>
      </c>
      <c r="J1439" s="65" t="s">
        <v>53</v>
      </c>
      <c r="K1439" s="91" t="s">
        <v>2264</v>
      </c>
      <c r="L1439" s="87"/>
      <c r="M1439" s="65"/>
      <c r="N1439" s="65"/>
      <c r="O1439" s="81"/>
      <c r="P1439" s="82"/>
      <c r="Q1439" s="65" t="s">
        <v>43</v>
      </c>
      <c r="R1439" s="65"/>
    </row>
    <row r="1440" ht="41.4" spans="1:18">
      <c r="A1440" s="58">
        <v>1417</v>
      </c>
      <c r="B1440" s="108">
        <v>45841</v>
      </c>
      <c r="C1440" s="81" t="s">
        <v>632</v>
      </c>
      <c r="D1440" s="61" t="s">
        <v>72</v>
      </c>
      <c r="E1440" s="65" t="s">
        <v>804</v>
      </c>
      <c r="F1440" s="107" t="s">
        <v>36</v>
      </c>
      <c r="G1440" s="65" t="s">
        <v>45</v>
      </c>
      <c r="H1440" s="65" t="s">
        <v>38</v>
      </c>
      <c r="I1440" s="80" t="s">
        <v>2265</v>
      </c>
      <c r="J1440" s="65" t="s">
        <v>53</v>
      </c>
      <c r="K1440" s="91" t="s">
        <v>2266</v>
      </c>
      <c r="L1440" s="87"/>
      <c r="M1440" s="65"/>
      <c r="N1440" s="65"/>
      <c r="O1440" s="81"/>
      <c r="P1440" s="82"/>
      <c r="Q1440" s="65" t="s">
        <v>43</v>
      </c>
      <c r="R1440" s="65"/>
    </row>
    <row r="1441" ht="13.8" spans="1:18">
      <c r="A1441" s="58">
        <v>1418</v>
      </c>
      <c r="B1441" s="108">
        <v>45841</v>
      </c>
      <c r="C1441" s="81" t="s">
        <v>659</v>
      </c>
      <c r="D1441" s="61" t="s">
        <v>72</v>
      </c>
      <c r="E1441" s="65" t="s">
        <v>804</v>
      </c>
      <c r="F1441" s="107" t="s">
        <v>36</v>
      </c>
      <c r="G1441" s="65" t="s">
        <v>79</v>
      </c>
      <c r="H1441" s="65" t="s">
        <v>46</v>
      </c>
      <c r="I1441" s="80" t="s">
        <v>2267</v>
      </c>
      <c r="J1441" s="65" t="s">
        <v>88</v>
      </c>
      <c r="K1441" s="91" t="s">
        <v>2268</v>
      </c>
      <c r="L1441" s="87"/>
      <c r="M1441" s="65"/>
      <c r="N1441" s="65"/>
      <c r="O1441" s="81"/>
      <c r="P1441" s="82"/>
      <c r="Q1441" s="65" t="s">
        <v>43</v>
      </c>
      <c r="R1441" s="65"/>
    </row>
    <row r="1442" ht="41.4" spans="1:18">
      <c r="A1442" s="58">
        <v>1419</v>
      </c>
      <c r="B1442" s="108">
        <v>45840</v>
      </c>
      <c r="C1442" s="81" t="s">
        <v>659</v>
      </c>
      <c r="D1442" s="61" t="s">
        <v>72</v>
      </c>
      <c r="E1442" s="65" t="s">
        <v>804</v>
      </c>
      <c r="F1442" s="107" t="s">
        <v>36</v>
      </c>
      <c r="G1442" s="65" t="s">
        <v>1850</v>
      </c>
      <c r="H1442" s="65" t="s">
        <v>1008</v>
      </c>
      <c r="I1442" s="80" t="s">
        <v>2269</v>
      </c>
      <c r="J1442" s="65" t="s">
        <v>88</v>
      </c>
      <c r="K1442" s="91" t="s">
        <v>2270</v>
      </c>
      <c r="L1442" s="87"/>
      <c r="M1442" s="65"/>
      <c r="N1442" s="65"/>
      <c r="O1442" s="81"/>
      <c r="P1442" s="82"/>
      <c r="Q1442" s="65" t="s">
        <v>43</v>
      </c>
      <c r="R1442" s="65"/>
    </row>
    <row r="1443" ht="27.6" spans="1:18">
      <c r="A1443" s="58">
        <v>1420</v>
      </c>
      <c r="B1443" s="108">
        <v>45841</v>
      </c>
      <c r="C1443" s="81" t="s">
        <v>659</v>
      </c>
      <c r="D1443" s="61" t="s">
        <v>72</v>
      </c>
      <c r="E1443" s="65" t="s">
        <v>804</v>
      </c>
      <c r="F1443" s="107" t="s">
        <v>36</v>
      </c>
      <c r="G1443" s="65" t="s">
        <v>82</v>
      </c>
      <c r="H1443" s="65" t="s">
        <v>38</v>
      </c>
      <c r="I1443" s="80" t="s">
        <v>2271</v>
      </c>
      <c r="J1443" s="65" t="s">
        <v>88</v>
      </c>
      <c r="K1443" s="91" t="s">
        <v>2272</v>
      </c>
      <c r="L1443" s="87"/>
      <c r="M1443" s="65"/>
      <c r="N1443" s="65"/>
      <c r="O1443" s="81"/>
      <c r="P1443" s="82"/>
      <c r="Q1443" s="65" t="s">
        <v>43</v>
      </c>
      <c r="R1443" s="65"/>
    </row>
    <row r="1444" ht="41.4" spans="1:18">
      <c r="A1444" s="58">
        <v>1421</v>
      </c>
      <c r="B1444" s="108">
        <v>45835</v>
      </c>
      <c r="C1444" s="81" t="s">
        <v>620</v>
      </c>
      <c r="D1444" s="61" t="s">
        <v>60</v>
      </c>
      <c r="E1444" s="62" t="s">
        <v>621</v>
      </c>
      <c r="F1444" s="107" t="s">
        <v>36</v>
      </c>
      <c r="G1444" s="65" t="s">
        <v>79</v>
      </c>
      <c r="H1444" s="65" t="s">
        <v>51</v>
      </c>
      <c r="I1444" s="80" t="s">
        <v>2273</v>
      </c>
      <c r="J1444" s="65" t="s">
        <v>88</v>
      </c>
      <c r="K1444" s="91" t="s">
        <v>2274</v>
      </c>
      <c r="L1444" s="87" t="s">
        <v>2275</v>
      </c>
      <c r="M1444" s="65"/>
      <c r="N1444" s="65"/>
      <c r="O1444" s="81"/>
      <c r="P1444" s="82"/>
      <c r="Q1444" s="65" t="s">
        <v>43</v>
      </c>
      <c r="R1444" s="65"/>
    </row>
    <row r="1445" ht="27.6" spans="1:18">
      <c r="A1445" s="58">
        <v>1422</v>
      </c>
      <c r="B1445" s="108">
        <v>45839</v>
      </c>
      <c r="C1445" s="81" t="s">
        <v>620</v>
      </c>
      <c r="D1445" s="61" t="s">
        <v>60</v>
      </c>
      <c r="E1445" s="62" t="s">
        <v>621</v>
      </c>
      <c r="F1445" s="107" t="s">
        <v>50</v>
      </c>
      <c r="G1445" s="65" t="s">
        <v>79</v>
      </c>
      <c r="H1445" s="65" t="s">
        <v>51</v>
      </c>
      <c r="I1445" s="80" t="s">
        <v>2276</v>
      </c>
      <c r="J1445" s="65" t="s">
        <v>88</v>
      </c>
      <c r="K1445" s="91" t="s">
        <v>2277</v>
      </c>
      <c r="L1445" s="87"/>
      <c r="M1445" s="65"/>
      <c r="N1445" s="65"/>
      <c r="O1445" s="81"/>
      <c r="P1445" s="82"/>
      <c r="Q1445" s="65" t="s">
        <v>43</v>
      </c>
      <c r="R1445" s="65"/>
    </row>
    <row r="1446" ht="41.4" spans="1:18">
      <c r="A1446" s="58">
        <v>1423</v>
      </c>
      <c r="B1446" s="108">
        <v>45839</v>
      </c>
      <c r="C1446" s="81" t="s">
        <v>1663</v>
      </c>
      <c r="D1446" s="61" t="s">
        <v>60</v>
      </c>
      <c r="E1446" s="62" t="s">
        <v>163</v>
      </c>
      <c r="F1446" s="107" t="s">
        <v>36</v>
      </c>
      <c r="G1446" s="65" t="s">
        <v>37</v>
      </c>
      <c r="H1446" s="65" t="s">
        <v>132</v>
      </c>
      <c r="I1446" s="80" t="s">
        <v>2278</v>
      </c>
      <c r="J1446" s="65" t="s">
        <v>88</v>
      </c>
      <c r="K1446" s="91" t="s">
        <v>2279</v>
      </c>
      <c r="L1446" s="87" t="s">
        <v>2280</v>
      </c>
      <c r="M1446" s="65"/>
      <c r="N1446" s="65"/>
      <c r="O1446" s="81"/>
      <c r="P1446" s="82"/>
      <c r="Q1446" s="65" t="s">
        <v>43</v>
      </c>
      <c r="R1446" s="65"/>
    </row>
    <row r="1447" ht="27.6" spans="1:18">
      <c r="A1447" s="58">
        <v>1424</v>
      </c>
      <c r="B1447" s="108">
        <v>45836</v>
      </c>
      <c r="C1447" s="81" t="s">
        <v>1663</v>
      </c>
      <c r="D1447" s="61" t="s">
        <v>60</v>
      </c>
      <c r="E1447" s="62" t="s">
        <v>163</v>
      </c>
      <c r="F1447" s="107" t="s">
        <v>36</v>
      </c>
      <c r="G1447" s="65" t="s">
        <v>79</v>
      </c>
      <c r="H1447" s="65" t="s">
        <v>66</v>
      </c>
      <c r="I1447" s="80" t="s">
        <v>2281</v>
      </c>
      <c r="J1447" s="65" t="s">
        <v>53</v>
      </c>
      <c r="K1447" s="91" t="s">
        <v>2282</v>
      </c>
      <c r="L1447" s="87" t="s">
        <v>2283</v>
      </c>
      <c r="M1447" s="65"/>
      <c r="N1447" s="65"/>
      <c r="O1447" s="81"/>
      <c r="P1447" s="82"/>
      <c r="Q1447" s="65" t="s">
        <v>43</v>
      </c>
      <c r="R1447" s="65"/>
    </row>
    <row r="1448" ht="13.8" spans="1:18">
      <c r="A1448" s="58">
        <v>1425</v>
      </c>
      <c r="B1448" s="108">
        <v>45843</v>
      </c>
      <c r="C1448" s="81" t="s">
        <v>620</v>
      </c>
      <c r="D1448" s="61" t="s">
        <v>60</v>
      </c>
      <c r="E1448" s="62" t="s">
        <v>621</v>
      </c>
      <c r="F1448" s="107" t="s">
        <v>50</v>
      </c>
      <c r="G1448" s="65" t="s">
        <v>79</v>
      </c>
      <c r="H1448" s="65" t="s">
        <v>622</v>
      </c>
      <c r="I1448" s="80" t="s">
        <v>2284</v>
      </c>
      <c r="J1448" s="65" t="s">
        <v>53</v>
      </c>
      <c r="K1448" s="91" t="s">
        <v>2285</v>
      </c>
      <c r="L1448" s="87" t="s">
        <v>2102</v>
      </c>
      <c r="M1448" s="65"/>
      <c r="N1448" s="65"/>
      <c r="O1448" s="81"/>
      <c r="P1448" s="82"/>
      <c r="Q1448" s="65" t="s">
        <v>43</v>
      </c>
      <c r="R1448" s="65"/>
    </row>
    <row r="1449" ht="13.8" spans="1:18">
      <c r="A1449" s="58">
        <v>1426</v>
      </c>
      <c r="B1449" s="108">
        <v>45845</v>
      </c>
      <c r="C1449" s="81" t="s">
        <v>620</v>
      </c>
      <c r="D1449" s="61" t="s">
        <v>60</v>
      </c>
      <c r="E1449" s="62" t="s">
        <v>621</v>
      </c>
      <c r="F1449" s="107" t="s">
        <v>36</v>
      </c>
      <c r="G1449" s="65" t="s">
        <v>79</v>
      </c>
      <c r="H1449" s="65" t="s">
        <v>56</v>
      </c>
      <c r="I1449" s="80" t="s">
        <v>2286</v>
      </c>
      <c r="J1449" s="65" t="s">
        <v>88</v>
      </c>
      <c r="K1449" s="91" t="s">
        <v>2287</v>
      </c>
      <c r="L1449" s="87" t="s">
        <v>2288</v>
      </c>
      <c r="M1449" s="65"/>
      <c r="N1449" s="65"/>
      <c r="O1449" s="81"/>
      <c r="P1449" s="82"/>
      <c r="Q1449" s="65" t="s">
        <v>43</v>
      </c>
      <c r="R1449" s="65"/>
    </row>
    <row r="1450" ht="41.4" spans="1:18">
      <c r="A1450" s="58">
        <v>1427</v>
      </c>
      <c r="B1450" s="108">
        <v>45847</v>
      </c>
      <c r="C1450" s="81" t="s">
        <v>85</v>
      </c>
      <c r="D1450" s="61" t="s">
        <v>60</v>
      </c>
      <c r="E1450" s="65" t="s">
        <v>86</v>
      </c>
      <c r="F1450" s="107" t="s">
        <v>135</v>
      </c>
      <c r="G1450" s="65" t="s">
        <v>45</v>
      </c>
      <c r="H1450" s="65" t="s">
        <v>56</v>
      </c>
      <c r="I1450" s="80" t="s">
        <v>2289</v>
      </c>
      <c r="J1450" s="65" t="s">
        <v>137</v>
      </c>
      <c r="K1450" s="91" t="s">
        <v>1719</v>
      </c>
      <c r="L1450" s="87"/>
      <c r="M1450" s="65"/>
      <c r="N1450" s="65"/>
      <c r="O1450" s="81"/>
      <c r="P1450" s="82"/>
      <c r="Q1450" s="65" t="s">
        <v>8</v>
      </c>
      <c r="R1450" s="65"/>
    </row>
    <row r="1451" ht="27.6" spans="1:18">
      <c r="A1451" s="58">
        <v>1428</v>
      </c>
      <c r="B1451" s="108">
        <v>45847</v>
      </c>
      <c r="C1451" s="81" t="s">
        <v>85</v>
      </c>
      <c r="D1451" s="61" t="s">
        <v>60</v>
      </c>
      <c r="E1451" s="65" t="s">
        <v>86</v>
      </c>
      <c r="F1451" s="107" t="s">
        <v>36</v>
      </c>
      <c r="G1451" s="65" t="s">
        <v>37</v>
      </c>
      <c r="H1451" s="65" t="s">
        <v>1008</v>
      </c>
      <c r="I1451" s="80" t="s">
        <v>2290</v>
      </c>
      <c r="J1451" s="65" t="s">
        <v>53</v>
      </c>
      <c r="K1451" s="91" t="s">
        <v>2291</v>
      </c>
      <c r="L1451" s="87" t="s">
        <v>2141</v>
      </c>
      <c r="M1451" s="65"/>
      <c r="N1451" s="65"/>
      <c r="O1451" s="81"/>
      <c r="P1451" s="82"/>
      <c r="Q1451" s="65" t="s">
        <v>43</v>
      </c>
      <c r="R1451" s="65"/>
    </row>
    <row r="1452" ht="39.6" spans="1:18">
      <c r="A1452" s="58">
        <v>1429</v>
      </c>
      <c r="B1452" s="108">
        <v>45847</v>
      </c>
      <c r="C1452" s="81" t="s">
        <v>85</v>
      </c>
      <c r="D1452" s="61" t="s">
        <v>60</v>
      </c>
      <c r="E1452" s="65" t="s">
        <v>86</v>
      </c>
      <c r="F1452" s="107" t="s">
        <v>36</v>
      </c>
      <c r="G1452" s="65" t="s">
        <v>37</v>
      </c>
      <c r="H1452" s="65" t="s">
        <v>1008</v>
      </c>
      <c r="I1452" s="80" t="s">
        <v>2292</v>
      </c>
      <c r="J1452" s="65" t="s">
        <v>53</v>
      </c>
      <c r="K1452" s="91" t="s">
        <v>2293</v>
      </c>
      <c r="L1452" s="87" t="s">
        <v>2294</v>
      </c>
      <c r="M1452" s="65"/>
      <c r="N1452" s="65"/>
      <c r="O1452" s="81"/>
      <c r="P1452" s="82"/>
      <c r="Q1452" s="65" t="s">
        <v>43</v>
      </c>
      <c r="R1452" s="65"/>
    </row>
    <row r="1453" ht="27.6" spans="1:18">
      <c r="A1453" s="58">
        <v>1430</v>
      </c>
      <c r="B1453" s="108">
        <v>45847</v>
      </c>
      <c r="C1453" s="81" t="s">
        <v>85</v>
      </c>
      <c r="D1453" s="61" t="s">
        <v>60</v>
      </c>
      <c r="E1453" s="65" t="s">
        <v>86</v>
      </c>
      <c r="F1453" s="107" t="s">
        <v>36</v>
      </c>
      <c r="G1453" s="65" t="s">
        <v>93</v>
      </c>
      <c r="H1453" s="65" t="s">
        <v>128</v>
      </c>
      <c r="I1453" s="80" t="s">
        <v>2295</v>
      </c>
      <c r="J1453" s="65" t="s">
        <v>88</v>
      </c>
      <c r="K1453" s="91" t="s">
        <v>2296</v>
      </c>
      <c r="L1453" s="87" t="s">
        <v>2297</v>
      </c>
      <c r="M1453" s="65"/>
      <c r="N1453" s="65"/>
      <c r="O1453" s="81"/>
      <c r="P1453" s="82"/>
      <c r="Q1453" s="65" t="s">
        <v>43</v>
      </c>
      <c r="R1453" s="65"/>
    </row>
    <row r="1454" ht="41.4" spans="1:18">
      <c r="A1454" s="58">
        <v>1431</v>
      </c>
      <c r="B1454" s="108">
        <v>45844</v>
      </c>
      <c r="C1454" s="81" t="s">
        <v>640</v>
      </c>
      <c r="D1454" s="61" t="s">
        <v>72</v>
      </c>
      <c r="E1454" s="65" t="s">
        <v>804</v>
      </c>
      <c r="F1454" s="107" t="s">
        <v>36</v>
      </c>
      <c r="G1454" s="65" t="s">
        <v>65</v>
      </c>
      <c r="H1454" s="65" t="s">
        <v>56</v>
      </c>
      <c r="I1454" s="80" t="s">
        <v>2298</v>
      </c>
      <c r="J1454" s="65" t="s">
        <v>88</v>
      </c>
      <c r="K1454" s="91" t="s">
        <v>2299</v>
      </c>
      <c r="L1454" s="87"/>
      <c r="M1454" s="65"/>
      <c r="N1454" s="65"/>
      <c r="O1454" s="81"/>
      <c r="P1454" s="82"/>
      <c r="Q1454" s="65" t="s">
        <v>43</v>
      </c>
      <c r="R1454" s="65"/>
    </row>
    <row r="1455" ht="41.4" spans="1:18">
      <c r="A1455" s="58">
        <v>1432</v>
      </c>
      <c r="B1455" s="108">
        <v>45839</v>
      </c>
      <c r="C1455" s="81" t="s">
        <v>640</v>
      </c>
      <c r="D1455" s="61" t="s">
        <v>72</v>
      </c>
      <c r="E1455" s="65" t="s">
        <v>73</v>
      </c>
      <c r="F1455" s="65" t="s">
        <v>36</v>
      </c>
      <c r="G1455" s="65" t="s">
        <v>82</v>
      </c>
      <c r="H1455" s="65" t="s">
        <v>56</v>
      </c>
      <c r="I1455" s="80" t="s">
        <v>922</v>
      </c>
      <c r="J1455" s="65" t="s">
        <v>53</v>
      </c>
      <c r="K1455" s="91" t="s">
        <v>923</v>
      </c>
      <c r="L1455" s="87"/>
      <c r="M1455" s="65"/>
      <c r="N1455" s="65"/>
      <c r="O1455" s="81"/>
      <c r="P1455" s="82"/>
      <c r="Q1455" s="65" t="s">
        <v>43</v>
      </c>
      <c r="R1455" s="65"/>
    </row>
    <row r="1456" ht="55.2" spans="1:18">
      <c r="A1456" s="58">
        <v>1433</v>
      </c>
      <c r="B1456" s="108">
        <v>45844</v>
      </c>
      <c r="C1456" s="81" t="s">
        <v>640</v>
      </c>
      <c r="D1456" s="61" t="s">
        <v>72</v>
      </c>
      <c r="E1456" s="65" t="s">
        <v>804</v>
      </c>
      <c r="F1456" s="107" t="s">
        <v>36</v>
      </c>
      <c r="G1456" s="65" t="s">
        <v>45</v>
      </c>
      <c r="H1456" s="65" t="s">
        <v>66</v>
      </c>
      <c r="I1456" s="80" t="s">
        <v>2300</v>
      </c>
      <c r="J1456" s="65" t="s">
        <v>88</v>
      </c>
      <c r="K1456" s="91" t="s">
        <v>2301</v>
      </c>
      <c r="L1456" s="87"/>
      <c r="M1456" s="65"/>
      <c r="N1456" s="65"/>
      <c r="O1456" s="81"/>
      <c r="P1456" s="82"/>
      <c r="Q1456" s="65" t="s">
        <v>43</v>
      </c>
      <c r="R1456" s="65"/>
    </row>
    <row r="1457" ht="13.8" spans="1:18">
      <c r="A1457" s="58">
        <v>1434</v>
      </c>
      <c r="B1457" s="108">
        <v>45847</v>
      </c>
      <c r="C1457" s="81" t="s">
        <v>640</v>
      </c>
      <c r="D1457" s="61" t="s">
        <v>72</v>
      </c>
      <c r="E1457" s="65" t="s">
        <v>804</v>
      </c>
      <c r="F1457" s="107" t="s">
        <v>135</v>
      </c>
      <c r="G1457" s="65" t="s">
        <v>37</v>
      </c>
      <c r="H1457" s="65" t="s">
        <v>128</v>
      </c>
      <c r="I1457" s="80" t="s">
        <v>2302</v>
      </c>
      <c r="J1457" s="65" t="s">
        <v>137</v>
      </c>
      <c r="K1457" s="91" t="s">
        <v>2303</v>
      </c>
      <c r="L1457" s="87"/>
      <c r="M1457" s="65"/>
      <c r="N1457" s="65"/>
      <c r="O1457" s="81"/>
      <c r="P1457" s="82"/>
      <c r="Q1457" s="65" t="s">
        <v>8</v>
      </c>
      <c r="R1457" s="65"/>
    </row>
    <row r="1458" ht="41.4" spans="1:18">
      <c r="A1458" s="58">
        <v>1435</v>
      </c>
      <c r="B1458" s="108">
        <v>45847</v>
      </c>
      <c r="C1458" s="81" t="s">
        <v>640</v>
      </c>
      <c r="D1458" s="61" t="s">
        <v>72</v>
      </c>
      <c r="E1458" s="65" t="s">
        <v>804</v>
      </c>
      <c r="F1458" s="107" t="s">
        <v>36</v>
      </c>
      <c r="G1458" s="65" t="s">
        <v>82</v>
      </c>
      <c r="H1458" s="65" t="s">
        <v>66</v>
      </c>
      <c r="I1458" s="80" t="s">
        <v>2304</v>
      </c>
      <c r="J1458" s="65" t="s">
        <v>88</v>
      </c>
      <c r="K1458" s="91" t="s">
        <v>2305</v>
      </c>
      <c r="L1458" s="87"/>
      <c r="M1458" s="65"/>
      <c r="N1458" s="65"/>
      <c r="O1458" s="81"/>
      <c r="P1458" s="82"/>
      <c r="Q1458" s="65" t="s">
        <v>43</v>
      </c>
      <c r="R1458" s="65"/>
    </row>
    <row r="1459" ht="27.6" spans="1:18">
      <c r="A1459" s="58">
        <v>1436</v>
      </c>
      <c r="B1459" s="108">
        <v>45848</v>
      </c>
      <c r="C1459" s="81" t="s">
        <v>640</v>
      </c>
      <c r="D1459" s="61" t="s">
        <v>72</v>
      </c>
      <c r="E1459" s="65" t="s">
        <v>804</v>
      </c>
      <c r="F1459" s="107" t="s">
        <v>50</v>
      </c>
      <c r="G1459" s="65" t="s">
        <v>93</v>
      </c>
      <c r="H1459" s="65" t="s">
        <v>51</v>
      </c>
      <c r="I1459" s="80" t="s">
        <v>2306</v>
      </c>
      <c r="J1459" s="65" t="s">
        <v>53</v>
      </c>
      <c r="K1459" s="91" t="s">
        <v>2307</v>
      </c>
      <c r="L1459" s="87"/>
      <c r="M1459" s="65"/>
      <c r="N1459" s="65"/>
      <c r="O1459" s="81"/>
      <c r="P1459" s="82"/>
      <c r="Q1459" s="65" t="s">
        <v>43</v>
      </c>
      <c r="R1459" s="65"/>
    </row>
    <row r="1460" ht="13.8" spans="1:18">
      <c r="A1460" s="58">
        <v>1437</v>
      </c>
      <c r="B1460" s="108">
        <v>45848</v>
      </c>
      <c r="C1460" s="81" t="s">
        <v>659</v>
      </c>
      <c r="D1460" s="61" t="s">
        <v>72</v>
      </c>
      <c r="E1460" s="65" t="s">
        <v>804</v>
      </c>
      <c r="F1460" s="107" t="s">
        <v>50</v>
      </c>
      <c r="G1460" s="65" t="s">
        <v>45</v>
      </c>
      <c r="H1460" s="65" t="s">
        <v>51</v>
      </c>
      <c r="I1460" s="80" t="s">
        <v>2308</v>
      </c>
      <c r="J1460" s="65" t="s">
        <v>53</v>
      </c>
      <c r="K1460" s="91" t="s">
        <v>2309</v>
      </c>
      <c r="L1460" s="87"/>
      <c r="M1460" s="65"/>
      <c r="N1460" s="65"/>
      <c r="O1460" s="81"/>
      <c r="P1460" s="82"/>
      <c r="Q1460" s="65" t="s">
        <v>43</v>
      </c>
      <c r="R1460" s="65"/>
    </row>
    <row r="1461" ht="41.4" spans="1:18">
      <c r="A1461" s="58">
        <v>1438</v>
      </c>
      <c r="B1461" s="108">
        <v>45843</v>
      </c>
      <c r="C1461" s="81" t="s">
        <v>641</v>
      </c>
      <c r="D1461" s="61" t="s">
        <v>72</v>
      </c>
      <c r="E1461" s="65" t="s">
        <v>804</v>
      </c>
      <c r="F1461" s="107" t="s">
        <v>36</v>
      </c>
      <c r="G1461" s="65" t="s">
        <v>37</v>
      </c>
      <c r="H1461" s="65" t="s">
        <v>46</v>
      </c>
      <c r="I1461" s="80" t="s">
        <v>2310</v>
      </c>
      <c r="J1461" s="65" t="s">
        <v>53</v>
      </c>
      <c r="K1461" s="91" t="s">
        <v>2311</v>
      </c>
      <c r="L1461" s="87"/>
      <c r="M1461" s="65"/>
      <c r="N1461" s="65"/>
      <c r="O1461" s="81"/>
      <c r="P1461" s="82"/>
      <c r="Q1461" s="65" t="s">
        <v>43</v>
      </c>
      <c r="R1461" s="65"/>
    </row>
    <row r="1462" ht="13.8" spans="1:18">
      <c r="A1462" s="58">
        <v>1439</v>
      </c>
      <c r="B1462" s="108">
        <v>45846</v>
      </c>
      <c r="C1462" s="81" t="s">
        <v>2051</v>
      </c>
      <c r="D1462" s="61" t="s">
        <v>72</v>
      </c>
      <c r="E1462" s="65" t="s">
        <v>804</v>
      </c>
      <c r="F1462" s="107" t="s">
        <v>36</v>
      </c>
      <c r="G1462" s="65" t="s">
        <v>65</v>
      </c>
      <c r="H1462" s="65" t="s">
        <v>51</v>
      </c>
      <c r="I1462" s="80" t="s">
        <v>2312</v>
      </c>
      <c r="J1462" s="65" t="s">
        <v>53</v>
      </c>
      <c r="K1462" s="91" t="s">
        <v>2313</v>
      </c>
      <c r="L1462" s="87"/>
      <c r="M1462" s="65"/>
      <c r="N1462" s="65"/>
      <c r="O1462" s="81"/>
      <c r="P1462" s="82"/>
      <c r="Q1462" s="65" t="s">
        <v>43</v>
      </c>
      <c r="R1462" s="65"/>
    </row>
    <row r="1463" ht="27.6" spans="1:18">
      <c r="A1463" s="58">
        <v>1440</v>
      </c>
      <c r="B1463" s="108">
        <v>45844</v>
      </c>
      <c r="C1463" s="81" t="s">
        <v>641</v>
      </c>
      <c r="D1463" s="61" t="s">
        <v>72</v>
      </c>
      <c r="E1463" s="65" t="s">
        <v>804</v>
      </c>
      <c r="F1463" s="107" t="s">
        <v>36</v>
      </c>
      <c r="G1463" s="65" t="s">
        <v>55</v>
      </c>
      <c r="H1463" s="65" t="s">
        <v>38</v>
      </c>
      <c r="I1463" s="80" t="s">
        <v>2314</v>
      </c>
      <c r="J1463" s="65" t="s">
        <v>53</v>
      </c>
      <c r="K1463" s="91" t="s">
        <v>2315</v>
      </c>
      <c r="L1463" s="87"/>
      <c r="M1463" s="65"/>
      <c r="N1463" s="65"/>
      <c r="O1463" s="81"/>
      <c r="P1463" s="82"/>
      <c r="Q1463" s="65" t="s">
        <v>43</v>
      </c>
      <c r="R1463" s="65"/>
    </row>
    <row r="1464" ht="27.6" spans="1:18">
      <c r="A1464" s="58">
        <v>1441</v>
      </c>
      <c r="B1464" s="108">
        <v>45847</v>
      </c>
      <c r="C1464" s="81" t="s">
        <v>2051</v>
      </c>
      <c r="D1464" s="61" t="s">
        <v>72</v>
      </c>
      <c r="E1464" s="65" t="s">
        <v>804</v>
      </c>
      <c r="F1464" s="107" t="s">
        <v>36</v>
      </c>
      <c r="G1464" s="65" t="s">
        <v>82</v>
      </c>
      <c r="H1464" s="65" t="s">
        <v>66</v>
      </c>
      <c r="I1464" s="80" t="s">
        <v>2316</v>
      </c>
      <c r="J1464" s="65" t="s">
        <v>53</v>
      </c>
      <c r="K1464" s="91" t="s">
        <v>2317</v>
      </c>
      <c r="L1464" s="87"/>
      <c r="M1464" s="65"/>
      <c r="N1464" s="65"/>
      <c r="O1464" s="81"/>
      <c r="P1464" s="82"/>
      <c r="Q1464" s="65" t="s">
        <v>43</v>
      </c>
      <c r="R1464" s="65"/>
    </row>
    <row r="1465" ht="27.6" spans="1:18">
      <c r="A1465" s="58">
        <v>1442</v>
      </c>
      <c r="B1465" s="108">
        <v>45849</v>
      </c>
      <c r="C1465" s="81" t="s">
        <v>632</v>
      </c>
      <c r="D1465" s="61" t="s">
        <v>72</v>
      </c>
      <c r="E1465" s="65" t="s">
        <v>804</v>
      </c>
      <c r="F1465" s="107" t="s">
        <v>36</v>
      </c>
      <c r="G1465" s="65" t="s">
        <v>588</v>
      </c>
      <c r="H1465" s="65" t="s">
        <v>66</v>
      </c>
      <c r="I1465" s="80" t="s">
        <v>2318</v>
      </c>
      <c r="J1465" s="65" t="s">
        <v>53</v>
      </c>
      <c r="K1465" s="91" t="s">
        <v>2319</v>
      </c>
      <c r="L1465" s="87"/>
      <c r="M1465" s="65"/>
      <c r="N1465" s="65"/>
      <c r="O1465" s="81"/>
      <c r="P1465" s="82"/>
      <c r="Q1465" s="65" t="s">
        <v>43</v>
      </c>
      <c r="R1465" s="65"/>
    </row>
    <row r="1466" ht="27.6" spans="1:18">
      <c r="A1466" s="58">
        <v>1443</v>
      </c>
      <c r="B1466" s="108">
        <v>45847</v>
      </c>
      <c r="C1466" s="81" t="s">
        <v>641</v>
      </c>
      <c r="D1466" s="61" t="s">
        <v>72</v>
      </c>
      <c r="E1466" s="65" t="s">
        <v>804</v>
      </c>
      <c r="F1466" s="107" t="s">
        <v>36</v>
      </c>
      <c r="G1466" s="65" t="s">
        <v>55</v>
      </c>
      <c r="H1466" s="65" t="s">
        <v>66</v>
      </c>
      <c r="I1466" s="80" t="s">
        <v>2320</v>
      </c>
      <c r="J1466" s="65" t="s">
        <v>53</v>
      </c>
      <c r="K1466" s="91" t="s">
        <v>2321</v>
      </c>
      <c r="L1466" s="87"/>
      <c r="M1466" s="65"/>
      <c r="N1466" s="65"/>
      <c r="O1466" s="81"/>
      <c r="P1466" s="82"/>
      <c r="Q1466" s="65" t="s">
        <v>43</v>
      </c>
      <c r="R1466" s="65"/>
    </row>
    <row r="1467" ht="13.8" spans="1:18">
      <c r="A1467" s="58">
        <v>1444</v>
      </c>
      <c r="B1467" s="108">
        <v>45847</v>
      </c>
      <c r="C1467" s="81" t="s">
        <v>2051</v>
      </c>
      <c r="D1467" s="61" t="s">
        <v>72</v>
      </c>
      <c r="E1467" s="65" t="s">
        <v>804</v>
      </c>
      <c r="F1467" s="107" t="s">
        <v>36</v>
      </c>
      <c r="G1467" s="65" t="s">
        <v>79</v>
      </c>
      <c r="H1467" s="65" t="s">
        <v>56</v>
      </c>
      <c r="I1467" s="80" t="s">
        <v>2322</v>
      </c>
      <c r="J1467" s="65" t="s">
        <v>53</v>
      </c>
      <c r="K1467" s="91" t="s">
        <v>2323</v>
      </c>
      <c r="L1467" s="87"/>
      <c r="M1467" s="65"/>
      <c r="N1467" s="65"/>
      <c r="O1467" s="81"/>
      <c r="P1467" s="82"/>
      <c r="Q1467" s="65" t="s">
        <v>43</v>
      </c>
      <c r="R1467" s="65"/>
    </row>
    <row r="1468" ht="27.6" spans="1:18">
      <c r="A1468" s="58">
        <v>1445</v>
      </c>
      <c r="B1468" s="108">
        <v>45846</v>
      </c>
      <c r="C1468" s="81" t="s">
        <v>641</v>
      </c>
      <c r="D1468" s="61" t="s">
        <v>72</v>
      </c>
      <c r="E1468" s="65" t="s">
        <v>804</v>
      </c>
      <c r="F1468" s="107" t="s">
        <v>36</v>
      </c>
      <c r="G1468" s="65" t="s">
        <v>55</v>
      </c>
      <c r="H1468" s="65" t="s">
        <v>94</v>
      </c>
      <c r="I1468" s="80" t="s">
        <v>2324</v>
      </c>
      <c r="J1468" s="65" t="s">
        <v>53</v>
      </c>
      <c r="K1468" s="91" t="s">
        <v>2325</v>
      </c>
      <c r="L1468" s="87" t="s">
        <v>2326</v>
      </c>
      <c r="M1468" s="65"/>
      <c r="N1468" s="65"/>
      <c r="O1468" s="81"/>
      <c r="P1468" s="82"/>
      <c r="Q1468" s="65" t="s">
        <v>43</v>
      </c>
      <c r="R1468" s="65"/>
    </row>
    <row r="1469" ht="13.8" spans="1:18">
      <c r="A1469" s="58">
        <v>1446</v>
      </c>
      <c r="B1469" s="108">
        <v>45846</v>
      </c>
      <c r="C1469" s="81" t="s">
        <v>659</v>
      </c>
      <c r="D1469" s="61" t="s">
        <v>72</v>
      </c>
      <c r="E1469" s="65" t="s">
        <v>804</v>
      </c>
      <c r="F1469" s="107" t="s">
        <v>36</v>
      </c>
      <c r="G1469" s="65" t="s">
        <v>1850</v>
      </c>
      <c r="H1469" s="65" t="s">
        <v>150</v>
      </c>
      <c r="I1469" s="80" t="s">
        <v>2327</v>
      </c>
      <c r="J1469" s="65" t="s">
        <v>53</v>
      </c>
      <c r="K1469" s="91" t="s">
        <v>2328</v>
      </c>
      <c r="L1469" s="87"/>
      <c r="M1469" s="65"/>
      <c r="N1469" s="65"/>
      <c r="O1469" s="81"/>
      <c r="P1469" s="82"/>
      <c r="Q1469" s="65" t="s">
        <v>43</v>
      </c>
      <c r="R1469" s="65"/>
    </row>
    <row r="1470" ht="26.4" spans="1:18">
      <c r="A1470" s="58">
        <v>1447</v>
      </c>
      <c r="B1470" s="108">
        <v>45847</v>
      </c>
      <c r="C1470" s="81" t="s">
        <v>659</v>
      </c>
      <c r="D1470" s="61" t="s">
        <v>72</v>
      </c>
      <c r="E1470" s="65" t="s">
        <v>804</v>
      </c>
      <c r="F1470" s="107" t="s">
        <v>36</v>
      </c>
      <c r="G1470" s="65" t="s">
        <v>79</v>
      </c>
      <c r="H1470" s="65" t="s">
        <v>46</v>
      </c>
      <c r="I1470" s="80" t="s">
        <v>2329</v>
      </c>
      <c r="J1470" s="65" t="s">
        <v>53</v>
      </c>
      <c r="K1470" s="91" t="s">
        <v>2330</v>
      </c>
      <c r="L1470" s="87"/>
      <c r="M1470" s="65"/>
      <c r="N1470" s="65"/>
      <c r="O1470" s="81"/>
      <c r="P1470" s="82"/>
      <c r="Q1470" s="65" t="s">
        <v>43</v>
      </c>
      <c r="R1470" s="65"/>
    </row>
    <row r="1471" ht="41.4" spans="1:18">
      <c r="A1471" s="58">
        <v>1448</v>
      </c>
      <c r="B1471" s="108">
        <v>45852</v>
      </c>
      <c r="C1471" s="81" t="s">
        <v>85</v>
      </c>
      <c r="D1471" s="61" t="s">
        <v>60</v>
      </c>
      <c r="E1471" s="65" t="s">
        <v>86</v>
      </c>
      <c r="F1471" s="107" t="s">
        <v>135</v>
      </c>
      <c r="G1471" s="65" t="s">
        <v>37</v>
      </c>
      <c r="H1471" s="65" t="s">
        <v>56</v>
      </c>
      <c r="I1471" s="80" t="s">
        <v>2331</v>
      </c>
      <c r="J1471" s="65" t="s">
        <v>137</v>
      </c>
      <c r="K1471" s="91" t="s">
        <v>1719</v>
      </c>
      <c r="L1471" s="87"/>
      <c r="M1471" s="65"/>
      <c r="N1471" s="65"/>
      <c r="O1471" s="81"/>
      <c r="P1471" s="82"/>
      <c r="Q1471" s="65" t="s">
        <v>8</v>
      </c>
      <c r="R1471" s="65"/>
    </row>
    <row r="1472" ht="41.4" spans="1:18">
      <c r="A1472" s="58">
        <v>1449</v>
      </c>
      <c r="B1472" s="108">
        <v>45852</v>
      </c>
      <c r="C1472" s="81" t="s">
        <v>85</v>
      </c>
      <c r="D1472" s="61" t="s">
        <v>60</v>
      </c>
      <c r="E1472" s="65" t="s">
        <v>86</v>
      </c>
      <c r="F1472" s="107" t="s">
        <v>36</v>
      </c>
      <c r="G1472" s="65" t="s">
        <v>61</v>
      </c>
      <c r="H1472" s="65" t="s">
        <v>56</v>
      </c>
      <c r="I1472" s="80" t="s">
        <v>2110</v>
      </c>
      <c r="J1472" s="65" t="s">
        <v>53</v>
      </c>
      <c r="K1472" s="91" t="s">
        <v>2111</v>
      </c>
      <c r="L1472" s="87" t="s">
        <v>2112</v>
      </c>
      <c r="M1472" s="65"/>
      <c r="N1472" s="65"/>
      <c r="O1472" s="81"/>
      <c r="P1472" s="82"/>
      <c r="Q1472" s="65" t="s">
        <v>43</v>
      </c>
      <c r="R1472" s="65"/>
    </row>
    <row r="1473" ht="82.8" spans="1:18">
      <c r="A1473" s="58">
        <v>1450</v>
      </c>
      <c r="B1473" s="108">
        <v>45851</v>
      </c>
      <c r="C1473" s="81" t="s">
        <v>85</v>
      </c>
      <c r="D1473" s="61" t="s">
        <v>60</v>
      </c>
      <c r="E1473" s="65" t="s">
        <v>86</v>
      </c>
      <c r="F1473" s="107" t="s">
        <v>36</v>
      </c>
      <c r="G1473" s="65" t="s">
        <v>65</v>
      </c>
      <c r="H1473" s="65" t="s">
        <v>132</v>
      </c>
      <c r="I1473" s="80" t="s">
        <v>2332</v>
      </c>
      <c r="J1473" s="65" t="s">
        <v>53</v>
      </c>
      <c r="K1473" s="91" t="s">
        <v>2333</v>
      </c>
      <c r="L1473" s="87" t="s">
        <v>2334</v>
      </c>
      <c r="M1473" s="65"/>
      <c r="N1473" s="65"/>
      <c r="O1473" s="81"/>
      <c r="P1473" s="82"/>
      <c r="Q1473" s="65" t="s">
        <v>43</v>
      </c>
      <c r="R1473" s="65"/>
    </row>
    <row r="1474" ht="27.6" spans="1:18">
      <c r="A1474" s="58">
        <v>1451</v>
      </c>
      <c r="B1474" s="108">
        <v>45852</v>
      </c>
      <c r="C1474" s="81" t="s">
        <v>85</v>
      </c>
      <c r="D1474" s="61" t="s">
        <v>60</v>
      </c>
      <c r="E1474" s="65" t="s">
        <v>86</v>
      </c>
      <c r="F1474" s="107" t="s">
        <v>36</v>
      </c>
      <c r="G1474" s="65" t="s">
        <v>37</v>
      </c>
      <c r="H1474" s="65" t="s">
        <v>128</v>
      </c>
      <c r="I1474" s="80" t="s">
        <v>2335</v>
      </c>
      <c r="J1474" s="65" t="s">
        <v>53</v>
      </c>
      <c r="K1474" s="91" t="s">
        <v>2336</v>
      </c>
      <c r="L1474" s="87" t="s">
        <v>2297</v>
      </c>
      <c r="M1474" s="65"/>
      <c r="N1474" s="65"/>
      <c r="O1474" s="81"/>
      <c r="P1474" s="82"/>
      <c r="Q1474" s="65" t="s">
        <v>43</v>
      </c>
      <c r="R1474" s="65"/>
    </row>
    <row r="1475" ht="27.6" spans="1:18">
      <c r="A1475" s="58">
        <v>1452</v>
      </c>
      <c r="B1475" s="108">
        <v>45854</v>
      </c>
      <c r="C1475" s="81" t="s">
        <v>659</v>
      </c>
      <c r="D1475" s="61" t="s">
        <v>72</v>
      </c>
      <c r="E1475" s="65" t="s">
        <v>804</v>
      </c>
      <c r="F1475" s="107" t="s">
        <v>192</v>
      </c>
      <c r="G1475" s="65" t="s">
        <v>79</v>
      </c>
      <c r="H1475" s="65" t="s">
        <v>56</v>
      </c>
      <c r="I1475" s="80" t="s">
        <v>2337</v>
      </c>
      <c r="J1475" s="65" t="s">
        <v>137</v>
      </c>
      <c r="K1475" s="91" t="s">
        <v>2338</v>
      </c>
      <c r="L1475" s="87"/>
      <c r="M1475" s="65"/>
      <c r="N1475" s="65"/>
      <c r="O1475" s="81"/>
      <c r="P1475" s="82"/>
      <c r="Q1475" s="65" t="s">
        <v>8</v>
      </c>
      <c r="R1475" s="65"/>
    </row>
    <row r="1476" ht="27.6" spans="1:18">
      <c r="A1476" s="58">
        <v>1453</v>
      </c>
      <c r="B1476" s="108">
        <v>45855</v>
      </c>
      <c r="C1476" s="81" t="s">
        <v>2051</v>
      </c>
      <c r="D1476" s="61" t="s">
        <v>72</v>
      </c>
      <c r="E1476" s="65" t="s">
        <v>804</v>
      </c>
      <c r="F1476" s="107" t="s">
        <v>135</v>
      </c>
      <c r="G1476" s="65" t="s">
        <v>588</v>
      </c>
      <c r="H1476" s="65" t="s">
        <v>56</v>
      </c>
      <c r="I1476" s="80" t="s">
        <v>2339</v>
      </c>
      <c r="J1476" s="65" t="s">
        <v>137</v>
      </c>
      <c r="K1476" s="91" t="s">
        <v>2340</v>
      </c>
      <c r="L1476" s="87"/>
      <c r="M1476" s="65"/>
      <c r="N1476" s="65"/>
      <c r="O1476" s="81"/>
      <c r="P1476" s="82"/>
      <c r="Q1476" s="65" t="s">
        <v>8</v>
      </c>
      <c r="R1476" s="65"/>
    </row>
    <row r="1477" ht="26.4" spans="1:18">
      <c r="A1477" s="58">
        <v>1454</v>
      </c>
      <c r="B1477" s="108">
        <v>45854</v>
      </c>
      <c r="C1477" s="81" t="s">
        <v>641</v>
      </c>
      <c r="D1477" s="61" t="s">
        <v>72</v>
      </c>
      <c r="E1477" s="65" t="s">
        <v>804</v>
      </c>
      <c r="F1477" s="107" t="s">
        <v>135</v>
      </c>
      <c r="G1477" s="65" t="s">
        <v>37</v>
      </c>
      <c r="H1477" s="65" t="s">
        <v>66</v>
      </c>
      <c r="I1477" s="80" t="s">
        <v>2341</v>
      </c>
      <c r="J1477" s="65" t="s">
        <v>137</v>
      </c>
      <c r="K1477" s="91" t="s">
        <v>2342</v>
      </c>
      <c r="L1477" s="87"/>
      <c r="M1477" s="65"/>
      <c r="N1477" s="65"/>
      <c r="O1477" s="81"/>
      <c r="P1477" s="82"/>
      <c r="Q1477" s="65" t="s">
        <v>8</v>
      </c>
      <c r="R1477" s="65"/>
    </row>
    <row r="1478" ht="41.4" spans="1:18">
      <c r="A1478" s="58">
        <v>1455</v>
      </c>
      <c r="B1478" s="108">
        <v>45850</v>
      </c>
      <c r="C1478" s="81" t="s">
        <v>640</v>
      </c>
      <c r="D1478" s="61" t="s">
        <v>72</v>
      </c>
      <c r="E1478" s="65" t="s">
        <v>804</v>
      </c>
      <c r="F1478" s="107" t="s">
        <v>36</v>
      </c>
      <c r="G1478" s="65" t="s">
        <v>45</v>
      </c>
      <c r="H1478" s="65" t="s">
        <v>56</v>
      </c>
      <c r="I1478" s="80" t="s">
        <v>2343</v>
      </c>
      <c r="J1478" s="65" t="s">
        <v>53</v>
      </c>
      <c r="K1478" s="91" t="s">
        <v>2344</v>
      </c>
      <c r="L1478" s="87"/>
      <c r="M1478" s="65"/>
      <c r="N1478" s="65"/>
      <c r="O1478" s="81"/>
      <c r="P1478" s="82"/>
      <c r="Q1478" s="65" t="s">
        <v>43</v>
      </c>
      <c r="R1478" s="65"/>
    </row>
    <row r="1479" ht="27.6" spans="1:18">
      <c r="A1479" s="58">
        <v>1456</v>
      </c>
      <c r="B1479" s="108">
        <v>45851</v>
      </c>
      <c r="C1479" s="81" t="s">
        <v>640</v>
      </c>
      <c r="D1479" s="61" t="s">
        <v>72</v>
      </c>
      <c r="E1479" s="65" t="s">
        <v>804</v>
      </c>
      <c r="F1479" s="107" t="s">
        <v>50</v>
      </c>
      <c r="G1479" s="65" t="s">
        <v>82</v>
      </c>
      <c r="H1479" s="65" t="s">
        <v>51</v>
      </c>
      <c r="I1479" s="80" t="s">
        <v>2345</v>
      </c>
      <c r="J1479" s="65" t="s">
        <v>53</v>
      </c>
      <c r="K1479" s="91" t="s">
        <v>2346</v>
      </c>
      <c r="L1479" s="87"/>
      <c r="M1479" s="65"/>
      <c r="N1479" s="65"/>
      <c r="O1479" s="81"/>
      <c r="P1479" s="82"/>
      <c r="Q1479" s="65" t="s">
        <v>43</v>
      </c>
      <c r="R1479" s="65"/>
    </row>
    <row r="1480" ht="27.6" spans="1:18">
      <c r="A1480" s="58">
        <v>1457</v>
      </c>
      <c r="B1480" s="108">
        <v>45852</v>
      </c>
      <c r="C1480" s="81" t="s">
        <v>640</v>
      </c>
      <c r="D1480" s="61" t="s">
        <v>72</v>
      </c>
      <c r="E1480" s="65" t="s">
        <v>804</v>
      </c>
      <c r="F1480" s="107" t="s">
        <v>36</v>
      </c>
      <c r="G1480" s="65" t="s">
        <v>82</v>
      </c>
      <c r="H1480" s="65" t="s">
        <v>132</v>
      </c>
      <c r="I1480" s="80" t="s">
        <v>2347</v>
      </c>
      <c r="J1480" s="65" t="s">
        <v>53</v>
      </c>
      <c r="K1480" s="91" t="s">
        <v>2348</v>
      </c>
      <c r="L1480" s="87" t="s">
        <v>2349</v>
      </c>
      <c r="M1480" s="65"/>
      <c r="N1480" s="65"/>
      <c r="O1480" s="81"/>
      <c r="P1480" s="82"/>
      <c r="Q1480" s="65" t="s">
        <v>43</v>
      </c>
      <c r="R1480" s="65"/>
    </row>
    <row r="1481" ht="27.6" spans="1:18">
      <c r="A1481" s="58">
        <v>1458</v>
      </c>
      <c r="B1481" s="108">
        <v>45853</v>
      </c>
      <c r="C1481" s="81" t="s">
        <v>640</v>
      </c>
      <c r="D1481" s="61" t="s">
        <v>72</v>
      </c>
      <c r="E1481" s="65" t="s">
        <v>804</v>
      </c>
      <c r="F1481" s="107" t="s">
        <v>36</v>
      </c>
      <c r="G1481" s="65" t="s">
        <v>45</v>
      </c>
      <c r="H1481" s="65" t="s">
        <v>56</v>
      </c>
      <c r="I1481" s="80" t="s">
        <v>2350</v>
      </c>
      <c r="J1481" s="65" t="s">
        <v>53</v>
      </c>
      <c r="K1481" s="91" t="s">
        <v>2351</v>
      </c>
      <c r="L1481" s="87" t="s">
        <v>2352</v>
      </c>
      <c r="M1481" s="65"/>
      <c r="N1481" s="65"/>
      <c r="O1481" s="81"/>
      <c r="P1481" s="82"/>
      <c r="Q1481" s="65" t="s">
        <v>43</v>
      </c>
      <c r="R1481" s="65"/>
    </row>
    <row r="1482" ht="41.4" spans="1:18">
      <c r="A1482" s="58">
        <v>1459</v>
      </c>
      <c r="B1482" s="108">
        <v>45854</v>
      </c>
      <c r="C1482" s="81" t="s">
        <v>640</v>
      </c>
      <c r="D1482" s="61" t="s">
        <v>72</v>
      </c>
      <c r="E1482" s="65" t="s">
        <v>804</v>
      </c>
      <c r="F1482" s="107" t="s">
        <v>192</v>
      </c>
      <c r="G1482" s="65" t="s">
        <v>45</v>
      </c>
      <c r="H1482" s="65" t="s">
        <v>144</v>
      </c>
      <c r="I1482" s="80" t="s">
        <v>2353</v>
      </c>
      <c r="J1482" s="65" t="s">
        <v>137</v>
      </c>
      <c r="K1482" s="91" t="s">
        <v>2354</v>
      </c>
      <c r="L1482" s="87"/>
      <c r="M1482" s="65"/>
      <c r="N1482" s="65"/>
      <c r="O1482" s="81"/>
      <c r="P1482" s="82"/>
      <c r="Q1482" s="65" t="s">
        <v>8</v>
      </c>
      <c r="R1482" s="65"/>
    </row>
    <row r="1483" ht="27.6" spans="1:18">
      <c r="A1483" s="58">
        <v>1460</v>
      </c>
      <c r="B1483" s="108">
        <v>45855</v>
      </c>
      <c r="C1483" s="81" t="s">
        <v>640</v>
      </c>
      <c r="D1483" s="61" t="s">
        <v>72</v>
      </c>
      <c r="E1483" s="65" t="s">
        <v>804</v>
      </c>
      <c r="F1483" s="107" t="s">
        <v>36</v>
      </c>
      <c r="G1483" s="65" t="s">
        <v>65</v>
      </c>
      <c r="H1483" s="65" t="s">
        <v>128</v>
      </c>
      <c r="I1483" s="80" t="s">
        <v>2355</v>
      </c>
      <c r="J1483" s="65" t="s">
        <v>53</v>
      </c>
      <c r="K1483" s="91" t="s">
        <v>2356</v>
      </c>
      <c r="L1483" s="87"/>
      <c r="M1483" s="65"/>
      <c r="N1483" s="65"/>
      <c r="O1483" s="81"/>
      <c r="P1483" s="82"/>
      <c r="Q1483" s="65" t="s">
        <v>43</v>
      </c>
      <c r="R1483" s="65"/>
    </row>
    <row r="1484" ht="41.4" spans="1:18">
      <c r="A1484" s="58">
        <v>1461</v>
      </c>
      <c r="B1484" s="108">
        <v>45853</v>
      </c>
      <c r="C1484" s="81" t="s">
        <v>641</v>
      </c>
      <c r="D1484" s="61" t="s">
        <v>72</v>
      </c>
      <c r="E1484" s="65" t="s">
        <v>804</v>
      </c>
      <c r="F1484" s="107" t="s">
        <v>50</v>
      </c>
      <c r="G1484" s="65" t="s">
        <v>55</v>
      </c>
      <c r="H1484" s="65" t="s">
        <v>132</v>
      </c>
      <c r="I1484" s="80" t="s">
        <v>2357</v>
      </c>
      <c r="J1484" s="65" t="s">
        <v>53</v>
      </c>
      <c r="K1484" s="91" t="s">
        <v>2358</v>
      </c>
      <c r="L1484" s="87"/>
      <c r="M1484" s="65"/>
      <c r="N1484" s="65"/>
      <c r="O1484" s="81"/>
      <c r="P1484" s="82"/>
      <c r="Q1484" s="65" t="s">
        <v>43</v>
      </c>
      <c r="R1484" s="65"/>
    </row>
    <row r="1485" ht="27.6" spans="1:18">
      <c r="A1485" s="58">
        <v>1462</v>
      </c>
      <c r="B1485" s="108">
        <v>45853</v>
      </c>
      <c r="C1485" s="81" t="s">
        <v>641</v>
      </c>
      <c r="D1485" s="61" t="s">
        <v>72</v>
      </c>
      <c r="E1485" s="65" t="s">
        <v>804</v>
      </c>
      <c r="F1485" s="107" t="s">
        <v>50</v>
      </c>
      <c r="G1485" s="65" t="s">
        <v>55</v>
      </c>
      <c r="H1485" s="65" t="s">
        <v>51</v>
      </c>
      <c r="I1485" s="80" t="s">
        <v>2359</v>
      </c>
      <c r="J1485" s="65" t="s">
        <v>53</v>
      </c>
      <c r="K1485" s="91" t="s">
        <v>2360</v>
      </c>
      <c r="L1485" s="87"/>
      <c r="M1485" s="65"/>
      <c r="N1485" s="65"/>
      <c r="O1485" s="81"/>
      <c r="P1485" s="82"/>
      <c r="Q1485" s="65" t="s">
        <v>43</v>
      </c>
      <c r="R1485" s="65"/>
    </row>
    <row r="1486" ht="26.4" spans="1:18">
      <c r="A1486" s="58">
        <v>1463</v>
      </c>
      <c r="B1486" s="108">
        <v>45851</v>
      </c>
      <c r="C1486" s="81" t="s">
        <v>659</v>
      </c>
      <c r="D1486" s="61" t="s">
        <v>72</v>
      </c>
      <c r="E1486" s="65" t="s">
        <v>804</v>
      </c>
      <c r="F1486" s="107" t="s">
        <v>50</v>
      </c>
      <c r="G1486" s="65" t="s">
        <v>61</v>
      </c>
      <c r="H1486" s="65" t="s">
        <v>94</v>
      </c>
      <c r="I1486" s="80" t="s">
        <v>2361</v>
      </c>
      <c r="J1486" s="65" t="s">
        <v>53</v>
      </c>
      <c r="K1486" s="91" t="s">
        <v>2362</v>
      </c>
      <c r="L1486" s="87"/>
      <c r="M1486" s="65"/>
      <c r="N1486" s="65"/>
      <c r="O1486" s="81"/>
      <c r="P1486" s="82"/>
      <c r="Q1486" s="65" t="s">
        <v>43</v>
      </c>
      <c r="R1486" s="65"/>
    </row>
    <row r="1487" ht="13.8" spans="1:18">
      <c r="A1487" s="58">
        <v>1464</v>
      </c>
      <c r="B1487" s="108">
        <v>45855</v>
      </c>
      <c r="C1487" s="81" t="s">
        <v>659</v>
      </c>
      <c r="D1487" s="61" t="s">
        <v>72</v>
      </c>
      <c r="E1487" s="65" t="s">
        <v>804</v>
      </c>
      <c r="F1487" s="107" t="s">
        <v>50</v>
      </c>
      <c r="G1487" s="65" t="s">
        <v>1850</v>
      </c>
      <c r="H1487" s="65" t="s">
        <v>622</v>
      </c>
      <c r="I1487" s="80" t="s">
        <v>2363</v>
      </c>
      <c r="J1487" s="65" t="s">
        <v>53</v>
      </c>
      <c r="K1487" s="91" t="s">
        <v>2364</v>
      </c>
      <c r="L1487" s="87"/>
      <c r="M1487" s="65"/>
      <c r="N1487" s="65"/>
      <c r="O1487" s="81"/>
      <c r="P1487" s="82"/>
      <c r="Q1487" s="65" t="s">
        <v>43</v>
      </c>
      <c r="R1487" s="65"/>
    </row>
    <row r="1488" ht="41.4" spans="1:18">
      <c r="A1488" s="58">
        <v>1465</v>
      </c>
      <c r="B1488" s="108">
        <v>45853</v>
      </c>
      <c r="C1488" s="81" t="s">
        <v>641</v>
      </c>
      <c r="D1488" s="61" t="s">
        <v>72</v>
      </c>
      <c r="E1488" s="65" t="s">
        <v>804</v>
      </c>
      <c r="F1488" s="107" t="s">
        <v>36</v>
      </c>
      <c r="G1488" s="65" t="s">
        <v>899</v>
      </c>
      <c r="H1488" s="65" t="s">
        <v>94</v>
      </c>
      <c r="I1488" s="80" t="s">
        <v>2365</v>
      </c>
      <c r="J1488" s="65" t="s">
        <v>53</v>
      </c>
      <c r="K1488" s="91" t="s">
        <v>2366</v>
      </c>
      <c r="L1488" s="87"/>
      <c r="M1488" s="65"/>
      <c r="N1488" s="65"/>
      <c r="O1488" s="81"/>
      <c r="P1488" s="82"/>
      <c r="Q1488" s="65" t="s">
        <v>43</v>
      </c>
      <c r="R1488" s="65"/>
    </row>
    <row r="1489" ht="41.4" spans="1:18">
      <c r="A1489" s="58">
        <v>1466</v>
      </c>
      <c r="B1489" s="108">
        <v>45854</v>
      </c>
      <c r="C1489" s="81" t="s">
        <v>2051</v>
      </c>
      <c r="D1489" s="61" t="s">
        <v>72</v>
      </c>
      <c r="E1489" s="65" t="s">
        <v>804</v>
      </c>
      <c r="F1489" s="107" t="s">
        <v>36</v>
      </c>
      <c r="G1489" s="65" t="s">
        <v>79</v>
      </c>
      <c r="H1489" s="65" t="s">
        <v>94</v>
      </c>
      <c r="I1489" s="80" t="s">
        <v>2367</v>
      </c>
      <c r="J1489" s="65" t="s">
        <v>53</v>
      </c>
      <c r="K1489" s="91" t="s">
        <v>2368</v>
      </c>
      <c r="L1489" s="87"/>
      <c r="M1489" s="65"/>
      <c r="N1489" s="65"/>
      <c r="O1489" s="81"/>
      <c r="P1489" s="82"/>
      <c r="Q1489" s="65" t="s">
        <v>43</v>
      </c>
      <c r="R1489" s="65"/>
    </row>
    <row r="1490" ht="41.4" spans="1:18">
      <c r="A1490" s="58">
        <v>1467</v>
      </c>
      <c r="B1490" s="108">
        <v>45853</v>
      </c>
      <c r="C1490" s="81" t="s">
        <v>641</v>
      </c>
      <c r="D1490" s="61" t="s">
        <v>72</v>
      </c>
      <c r="E1490" s="65" t="s">
        <v>804</v>
      </c>
      <c r="F1490" s="107" t="s">
        <v>36</v>
      </c>
      <c r="G1490" s="65" t="s">
        <v>55</v>
      </c>
      <c r="H1490" s="65" t="s">
        <v>128</v>
      </c>
      <c r="I1490" s="80" t="s">
        <v>2369</v>
      </c>
      <c r="J1490" s="65" t="s">
        <v>53</v>
      </c>
      <c r="K1490" s="91" t="s">
        <v>2370</v>
      </c>
      <c r="L1490" s="87"/>
      <c r="M1490" s="65"/>
      <c r="N1490" s="65"/>
      <c r="O1490" s="81"/>
      <c r="P1490" s="82"/>
      <c r="Q1490" s="65" t="s">
        <v>43</v>
      </c>
      <c r="R1490" s="65"/>
    </row>
    <row r="1491" ht="27.6" spans="1:18">
      <c r="A1491" s="58">
        <v>1468</v>
      </c>
      <c r="B1491" s="108">
        <v>45855</v>
      </c>
      <c r="C1491" s="81" t="s">
        <v>2051</v>
      </c>
      <c r="D1491" s="61" t="s">
        <v>72</v>
      </c>
      <c r="E1491" s="65" t="s">
        <v>804</v>
      </c>
      <c r="F1491" s="107" t="s">
        <v>36</v>
      </c>
      <c r="G1491" s="65" t="s">
        <v>131</v>
      </c>
      <c r="H1491" s="65" t="s">
        <v>128</v>
      </c>
      <c r="I1491" s="80" t="s">
        <v>2371</v>
      </c>
      <c r="J1491" s="65" t="s">
        <v>53</v>
      </c>
      <c r="K1491" s="91" t="s">
        <v>2372</v>
      </c>
      <c r="L1491" s="87"/>
      <c r="M1491" s="65"/>
      <c r="N1491" s="65"/>
      <c r="O1491" s="81"/>
      <c r="P1491" s="82"/>
      <c r="Q1491" s="65" t="s">
        <v>43</v>
      </c>
      <c r="R1491" s="65"/>
    </row>
    <row r="1492" ht="13.8" spans="1:18">
      <c r="A1492" s="58">
        <v>1469</v>
      </c>
      <c r="B1492" s="108">
        <v>45850</v>
      </c>
      <c r="C1492" s="81" t="s">
        <v>659</v>
      </c>
      <c r="D1492" s="61" t="s">
        <v>72</v>
      </c>
      <c r="E1492" s="65" t="s">
        <v>804</v>
      </c>
      <c r="F1492" s="107" t="s">
        <v>36</v>
      </c>
      <c r="G1492" s="65" t="s">
        <v>79</v>
      </c>
      <c r="H1492" s="65" t="s">
        <v>56</v>
      </c>
      <c r="I1492" s="80" t="s">
        <v>2373</v>
      </c>
      <c r="J1492" s="65" t="s">
        <v>53</v>
      </c>
      <c r="K1492" s="91" t="s">
        <v>2374</v>
      </c>
      <c r="L1492" s="87"/>
      <c r="M1492" s="65"/>
      <c r="N1492" s="65"/>
      <c r="O1492" s="81"/>
      <c r="P1492" s="82"/>
      <c r="Q1492" s="65" t="s">
        <v>43</v>
      </c>
      <c r="R1492" s="65"/>
    </row>
    <row r="1493" ht="13.8" spans="1:18">
      <c r="A1493" s="58">
        <v>1470</v>
      </c>
      <c r="B1493" s="108">
        <v>45852</v>
      </c>
      <c r="C1493" s="81" t="s">
        <v>659</v>
      </c>
      <c r="D1493" s="61" t="s">
        <v>72</v>
      </c>
      <c r="E1493" s="65" t="s">
        <v>804</v>
      </c>
      <c r="F1493" s="107" t="s">
        <v>36</v>
      </c>
      <c r="G1493" s="65" t="s">
        <v>79</v>
      </c>
      <c r="H1493" s="65" t="s">
        <v>38</v>
      </c>
      <c r="I1493" s="80" t="s">
        <v>2375</v>
      </c>
      <c r="J1493" s="65" t="s">
        <v>53</v>
      </c>
      <c r="K1493" s="91" t="s">
        <v>2376</v>
      </c>
      <c r="L1493" s="87"/>
      <c r="M1493" s="65"/>
      <c r="N1493" s="65"/>
      <c r="O1493" s="81"/>
      <c r="P1493" s="82"/>
      <c r="Q1493" s="65" t="s">
        <v>43</v>
      </c>
      <c r="R1493" s="65"/>
    </row>
    <row r="1494" ht="13.8" spans="1:18">
      <c r="A1494" s="58">
        <v>1471</v>
      </c>
      <c r="B1494" s="108">
        <v>45853</v>
      </c>
      <c r="C1494" s="81" t="s">
        <v>659</v>
      </c>
      <c r="D1494" s="61" t="s">
        <v>72</v>
      </c>
      <c r="E1494" s="65" t="s">
        <v>804</v>
      </c>
      <c r="F1494" s="107" t="s">
        <v>36</v>
      </c>
      <c r="G1494" s="65" t="s">
        <v>79</v>
      </c>
      <c r="H1494" s="65" t="s">
        <v>66</v>
      </c>
      <c r="I1494" s="80" t="s">
        <v>2377</v>
      </c>
      <c r="J1494" s="65" t="s">
        <v>88</v>
      </c>
      <c r="K1494" s="91" t="s">
        <v>2378</v>
      </c>
      <c r="L1494" s="87"/>
      <c r="M1494" s="65"/>
      <c r="N1494" s="65"/>
      <c r="O1494" s="81"/>
      <c r="P1494" s="82"/>
      <c r="Q1494" s="65" t="s">
        <v>43</v>
      </c>
      <c r="R1494" s="65"/>
    </row>
    <row r="1495" ht="41.4" spans="1:18">
      <c r="A1495" s="58">
        <v>1472</v>
      </c>
      <c r="B1495" s="108">
        <v>45858</v>
      </c>
      <c r="C1495" s="81" t="s">
        <v>85</v>
      </c>
      <c r="D1495" s="61" t="s">
        <v>60</v>
      </c>
      <c r="E1495" s="65" t="s">
        <v>86</v>
      </c>
      <c r="F1495" s="107" t="s">
        <v>36</v>
      </c>
      <c r="G1495" s="65" t="s">
        <v>79</v>
      </c>
      <c r="H1495" s="65" t="s">
        <v>56</v>
      </c>
      <c r="I1495" s="80" t="s">
        <v>2379</v>
      </c>
      <c r="J1495" s="65" t="s">
        <v>88</v>
      </c>
      <c r="K1495" s="91" t="s">
        <v>2380</v>
      </c>
      <c r="L1495" s="87" t="s">
        <v>2109</v>
      </c>
      <c r="M1495" s="65"/>
      <c r="N1495" s="65"/>
      <c r="O1495" s="81"/>
      <c r="P1495" s="82"/>
      <c r="Q1495" s="65" t="s">
        <v>43</v>
      </c>
      <c r="R1495" s="65"/>
    </row>
    <row r="1496" ht="41.4" spans="1:18">
      <c r="A1496" s="58">
        <v>1473</v>
      </c>
      <c r="B1496" s="108">
        <v>45861</v>
      </c>
      <c r="C1496" s="81" t="s">
        <v>85</v>
      </c>
      <c r="D1496" s="61" t="s">
        <v>60</v>
      </c>
      <c r="E1496" s="65" t="s">
        <v>86</v>
      </c>
      <c r="F1496" s="107" t="s">
        <v>135</v>
      </c>
      <c r="G1496" s="65" t="s">
        <v>65</v>
      </c>
      <c r="H1496" s="65" t="s">
        <v>56</v>
      </c>
      <c r="I1496" s="80" t="s">
        <v>2381</v>
      </c>
      <c r="J1496" s="65" t="s">
        <v>137</v>
      </c>
      <c r="K1496" s="91" t="s">
        <v>1719</v>
      </c>
      <c r="L1496" s="87"/>
      <c r="M1496" s="65"/>
      <c r="N1496" s="65"/>
      <c r="O1496" s="81"/>
      <c r="P1496" s="82"/>
      <c r="Q1496" s="65" t="s">
        <v>8</v>
      </c>
      <c r="R1496" s="65"/>
    </row>
    <row r="1497" ht="41.4" spans="1:18">
      <c r="A1497" s="58">
        <v>1474</v>
      </c>
      <c r="B1497" s="108">
        <v>45861</v>
      </c>
      <c r="C1497" s="81" t="s">
        <v>85</v>
      </c>
      <c r="D1497" s="61" t="s">
        <v>60</v>
      </c>
      <c r="E1497" s="65" t="s">
        <v>86</v>
      </c>
      <c r="F1497" s="107" t="s">
        <v>36</v>
      </c>
      <c r="G1497" s="65" t="s">
        <v>37</v>
      </c>
      <c r="H1497" s="65" t="s">
        <v>51</v>
      </c>
      <c r="I1497" s="80" t="s">
        <v>2382</v>
      </c>
      <c r="J1497" s="65" t="s">
        <v>88</v>
      </c>
      <c r="K1497" s="91" t="s">
        <v>2383</v>
      </c>
      <c r="L1497" s="87" t="s">
        <v>2384</v>
      </c>
      <c r="M1497" s="65"/>
      <c r="N1497" s="65"/>
      <c r="O1497" s="81"/>
      <c r="P1497" s="82"/>
      <c r="Q1497" s="65" t="s">
        <v>43</v>
      </c>
      <c r="R1497" s="65"/>
    </row>
    <row r="1498" ht="41.4" spans="1:18">
      <c r="A1498" s="58">
        <v>1475</v>
      </c>
      <c r="B1498" s="108">
        <v>45858</v>
      </c>
      <c r="C1498" s="81" t="s">
        <v>85</v>
      </c>
      <c r="D1498" s="61" t="s">
        <v>60</v>
      </c>
      <c r="E1498" s="65" t="s">
        <v>86</v>
      </c>
      <c r="F1498" s="107" t="s">
        <v>36</v>
      </c>
      <c r="G1498" s="65" t="s">
        <v>65</v>
      </c>
      <c r="H1498" s="65" t="s">
        <v>56</v>
      </c>
      <c r="I1498" s="80" t="s">
        <v>2385</v>
      </c>
      <c r="J1498" s="65" t="s">
        <v>88</v>
      </c>
      <c r="K1498" s="91" t="s">
        <v>860</v>
      </c>
      <c r="L1498" s="87" t="s">
        <v>2386</v>
      </c>
      <c r="M1498" s="65"/>
      <c r="N1498" s="65"/>
      <c r="O1498" s="81"/>
      <c r="P1498" s="82"/>
      <c r="Q1498" s="65" t="s">
        <v>43</v>
      </c>
      <c r="R1498" s="65"/>
    </row>
    <row r="1499" ht="27.6" spans="1:18">
      <c r="A1499" s="58">
        <v>1476</v>
      </c>
      <c r="B1499" s="108">
        <v>45857</v>
      </c>
      <c r="C1499" s="81" t="s">
        <v>620</v>
      </c>
      <c r="D1499" s="61" t="s">
        <v>60</v>
      </c>
      <c r="E1499" s="62" t="s">
        <v>621</v>
      </c>
      <c r="F1499" s="107" t="s">
        <v>50</v>
      </c>
      <c r="G1499" s="65" t="s">
        <v>79</v>
      </c>
      <c r="H1499" s="65" t="s">
        <v>51</v>
      </c>
      <c r="I1499" s="80" t="s">
        <v>2387</v>
      </c>
      <c r="J1499" s="65" t="s">
        <v>88</v>
      </c>
      <c r="K1499" s="91" t="s">
        <v>2388</v>
      </c>
      <c r="L1499" s="87" t="s">
        <v>2275</v>
      </c>
      <c r="M1499" s="65"/>
      <c r="N1499" s="65"/>
      <c r="O1499" s="81"/>
      <c r="P1499" s="82"/>
      <c r="Q1499" s="65" t="s">
        <v>43</v>
      </c>
      <c r="R1499" s="65"/>
    </row>
    <row r="1500" ht="13.8" spans="1:18">
      <c r="A1500" s="58">
        <v>1477</v>
      </c>
      <c r="B1500" s="108">
        <v>45858</v>
      </c>
      <c r="C1500" s="81" t="s">
        <v>620</v>
      </c>
      <c r="D1500" s="61" t="s">
        <v>60</v>
      </c>
      <c r="E1500" s="62" t="s">
        <v>621</v>
      </c>
      <c r="F1500" s="107" t="s">
        <v>50</v>
      </c>
      <c r="G1500" s="65" t="s">
        <v>79</v>
      </c>
      <c r="H1500" s="65" t="s">
        <v>51</v>
      </c>
      <c r="I1500" s="80" t="s">
        <v>2389</v>
      </c>
      <c r="J1500" s="65" t="s">
        <v>88</v>
      </c>
      <c r="K1500" s="91" t="s">
        <v>2390</v>
      </c>
      <c r="L1500" s="87" t="s">
        <v>2288</v>
      </c>
      <c r="M1500" s="65"/>
      <c r="N1500" s="65"/>
      <c r="O1500" s="81"/>
      <c r="P1500" s="82"/>
      <c r="Q1500" s="65" t="s">
        <v>43</v>
      </c>
      <c r="R1500" s="65"/>
    </row>
    <row r="1501" ht="41.4" spans="1:18">
      <c r="A1501" s="58">
        <v>1478</v>
      </c>
      <c r="B1501" s="108">
        <v>45858</v>
      </c>
      <c r="C1501" s="81" t="s">
        <v>121</v>
      </c>
      <c r="D1501" s="61" t="s">
        <v>60</v>
      </c>
      <c r="E1501" s="65" t="s">
        <v>804</v>
      </c>
      <c r="F1501" s="107" t="s">
        <v>135</v>
      </c>
      <c r="G1501" s="65" t="s">
        <v>588</v>
      </c>
      <c r="H1501" s="65" t="s">
        <v>38</v>
      </c>
      <c r="I1501" s="80" t="s">
        <v>2391</v>
      </c>
      <c r="J1501" s="65" t="s">
        <v>137</v>
      </c>
      <c r="K1501" s="91" t="s">
        <v>2392</v>
      </c>
      <c r="L1501" s="87" t="s">
        <v>2393</v>
      </c>
      <c r="M1501" s="65"/>
      <c r="N1501" s="65"/>
      <c r="O1501" s="81"/>
      <c r="P1501" s="82"/>
      <c r="Q1501" s="65" t="s">
        <v>8</v>
      </c>
      <c r="R1501" s="65"/>
    </row>
    <row r="1502" ht="26.4" spans="1:18">
      <c r="A1502" s="58">
        <v>1479</v>
      </c>
      <c r="B1502" s="108">
        <v>45859</v>
      </c>
      <c r="C1502" s="81" t="s">
        <v>121</v>
      </c>
      <c r="D1502" s="61" t="s">
        <v>60</v>
      </c>
      <c r="E1502" s="65" t="s">
        <v>804</v>
      </c>
      <c r="F1502" s="107" t="s">
        <v>192</v>
      </c>
      <c r="G1502" s="65" t="s">
        <v>1850</v>
      </c>
      <c r="H1502" s="65" t="s">
        <v>94</v>
      </c>
      <c r="I1502" s="80" t="s">
        <v>2394</v>
      </c>
      <c r="J1502" s="65" t="s">
        <v>137</v>
      </c>
      <c r="K1502" s="91" t="s">
        <v>2395</v>
      </c>
      <c r="L1502" s="87"/>
      <c r="M1502" s="65"/>
      <c r="N1502" s="65"/>
      <c r="O1502" s="81"/>
      <c r="P1502" s="82"/>
      <c r="Q1502" s="65" t="s">
        <v>8</v>
      </c>
      <c r="R1502" s="65"/>
    </row>
    <row r="1503" ht="55.2" spans="1:18">
      <c r="A1503" s="58">
        <v>1480</v>
      </c>
      <c r="B1503" s="108">
        <v>45859</v>
      </c>
      <c r="C1503" s="81" t="s">
        <v>121</v>
      </c>
      <c r="D1503" s="61" t="s">
        <v>60</v>
      </c>
      <c r="E1503" s="65" t="s">
        <v>804</v>
      </c>
      <c r="F1503" s="107" t="s">
        <v>50</v>
      </c>
      <c r="G1503" s="65" t="s">
        <v>93</v>
      </c>
      <c r="H1503" s="65" t="s">
        <v>51</v>
      </c>
      <c r="I1503" s="80" t="s">
        <v>2396</v>
      </c>
      <c r="J1503" s="65" t="s">
        <v>88</v>
      </c>
      <c r="K1503" s="91" t="s">
        <v>2397</v>
      </c>
      <c r="L1503" s="87" t="s">
        <v>2398</v>
      </c>
      <c r="M1503" s="65"/>
      <c r="N1503" s="65"/>
      <c r="O1503" s="81"/>
      <c r="P1503" s="82"/>
      <c r="Q1503" s="65" t="s">
        <v>43</v>
      </c>
      <c r="R1503" s="65"/>
    </row>
    <row r="1504" ht="27.6" spans="1:18">
      <c r="A1504" s="58">
        <v>1481</v>
      </c>
      <c r="B1504" s="108">
        <v>45859</v>
      </c>
      <c r="C1504" s="81" t="s">
        <v>121</v>
      </c>
      <c r="D1504" s="61" t="s">
        <v>60</v>
      </c>
      <c r="E1504" s="65" t="s">
        <v>804</v>
      </c>
      <c r="F1504" s="107" t="s">
        <v>36</v>
      </c>
      <c r="G1504" s="65" t="s">
        <v>1850</v>
      </c>
      <c r="H1504" s="65" t="s">
        <v>56</v>
      </c>
      <c r="I1504" s="80" t="s">
        <v>2399</v>
      </c>
      <c r="J1504" s="65" t="s">
        <v>88</v>
      </c>
      <c r="K1504" s="91" t="s">
        <v>2400</v>
      </c>
      <c r="L1504" s="87" t="s">
        <v>2401</v>
      </c>
      <c r="M1504" s="65"/>
      <c r="N1504" s="65"/>
      <c r="O1504" s="81"/>
      <c r="P1504" s="82"/>
      <c r="Q1504" s="65" t="s">
        <v>43</v>
      </c>
      <c r="R1504" s="65"/>
    </row>
    <row r="1505" ht="26.4" spans="1:18">
      <c r="A1505" s="58">
        <v>1482</v>
      </c>
      <c r="B1505" s="108">
        <v>45861</v>
      </c>
      <c r="C1505" s="60" t="s">
        <v>100</v>
      </c>
      <c r="D1505" s="61" t="s">
        <v>60</v>
      </c>
      <c r="E1505" s="65" t="s">
        <v>101</v>
      </c>
      <c r="F1505" s="107" t="s">
        <v>192</v>
      </c>
      <c r="G1505" s="65" t="s">
        <v>65</v>
      </c>
      <c r="H1505" s="65" t="s">
        <v>132</v>
      </c>
      <c r="I1505" s="80" t="s">
        <v>2402</v>
      </c>
      <c r="J1505" s="65" t="s">
        <v>137</v>
      </c>
      <c r="K1505" s="91"/>
      <c r="L1505" s="87"/>
      <c r="M1505" s="65"/>
      <c r="N1505" s="65"/>
      <c r="O1505" s="81"/>
      <c r="P1505" s="82"/>
      <c r="Q1505" s="65" t="s">
        <v>8</v>
      </c>
      <c r="R1505" s="65"/>
    </row>
    <row r="1506" ht="52.8" spans="1:18">
      <c r="A1506" s="58">
        <v>1483</v>
      </c>
      <c r="B1506" s="108">
        <v>45861</v>
      </c>
      <c r="C1506" s="60" t="s">
        <v>100</v>
      </c>
      <c r="D1506" s="61" t="s">
        <v>60</v>
      </c>
      <c r="E1506" s="65" t="s">
        <v>101</v>
      </c>
      <c r="F1506" s="107" t="s">
        <v>135</v>
      </c>
      <c r="G1506" s="65" t="s">
        <v>82</v>
      </c>
      <c r="H1506" s="65" t="s">
        <v>132</v>
      </c>
      <c r="I1506" s="80" t="s">
        <v>2403</v>
      </c>
      <c r="J1506" s="65" t="s">
        <v>137</v>
      </c>
      <c r="K1506" s="91"/>
      <c r="L1506" s="87"/>
      <c r="M1506" s="65"/>
      <c r="N1506" s="65"/>
      <c r="O1506" s="81"/>
      <c r="P1506" s="82"/>
      <c r="Q1506" s="65" t="s">
        <v>8</v>
      </c>
      <c r="R1506" s="65"/>
    </row>
    <row r="1507" ht="26.4" spans="1:18">
      <c r="A1507" s="58">
        <v>1484</v>
      </c>
      <c r="B1507" s="108">
        <v>45862</v>
      </c>
      <c r="C1507" s="81" t="s">
        <v>659</v>
      </c>
      <c r="D1507" s="61" t="s">
        <v>72</v>
      </c>
      <c r="E1507" s="65" t="s">
        <v>804</v>
      </c>
      <c r="F1507" s="107" t="s">
        <v>192</v>
      </c>
      <c r="G1507" s="65" t="s">
        <v>79</v>
      </c>
      <c r="H1507" s="65" t="s">
        <v>271</v>
      </c>
      <c r="I1507" s="80" t="s">
        <v>2404</v>
      </c>
      <c r="J1507" s="65" t="s">
        <v>137</v>
      </c>
      <c r="K1507" s="91" t="s">
        <v>2405</v>
      </c>
      <c r="L1507" s="87"/>
      <c r="M1507" s="65"/>
      <c r="N1507" s="65"/>
      <c r="O1507" s="81"/>
      <c r="P1507" s="82"/>
      <c r="Q1507" s="65" t="s">
        <v>8</v>
      </c>
      <c r="R1507" s="65"/>
    </row>
    <row r="1508" ht="26.4" spans="1:18">
      <c r="A1508" s="58">
        <v>1485</v>
      </c>
      <c r="B1508" s="108">
        <v>45862</v>
      </c>
      <c r="C1508" s="81" t="s">
        <v>659</v>
      </c>
      <c r="D1508" s="61" t="s">
        <v>72</v>
      </c>
      <c r="E1508" s="65" t="s">
        <v>804</v>
      </c>
      <c r="F1508" s="107" t="s">
        <v>192</v>
      </c>
      <c r="G1508" s="65" t="s">
        <v>45</v>
      </c>
      <c r="H1508" s="65" t="s">
        <v>94</v>
      </c>
      <c r="I1508" s="80" t="s">
        <v>2406</v>
      </c>
      <c r="J1508" s="65" t="s">
        <v>137</v>
      </c>
      <c r="K1508" s="91" t="s">
        <v>2407</v>
      </c>
      <c r="L1508" s="87"/>
      <c r="M1508" s="65"/>
      <c r="N1508" s="65"/>
      <c r="O1508" s="81"/>
      <c r="P1508" s="82"/>
      <c r="Q1508" s="65" t="s">
        <v>8</v>
      </c>
      <c r="R1508" s="65"/>
    </row>
    <row r="1509" ht="41.4" spans="1:18">
      <c r="A1509" s="58">
        <v>1486</v>
      </c>
      <c r="B1509" s="108">
        <v>45861</v>
      </c>
      <c r="C1509" s="81" t="s">
        <v>641</v>
      </c>
      <c r="D1509" s="61" t="s">
        <v>72</v>
      </c>
      <c r="E1509" s="65" t="s">
        <v>804</v>
      </c>
      <c r="F1509" s="107" t="s">
        <v>50</v>
      </c>
      <c r="G1509" s="65" t="s">
        <v>55</v>
      </c>
      <c r="H1509" s="65" t="s">
        <v>51</v>
      </c>
      <c r="I1509" s="80" t="s">
        <v>2408</v>
      </c>
      <c r="J1509" s="65" t="s">
        <v>53</v>
      </c>
      <c r="K1509" s="91" t="s">
        <v>2409</v>
      </c>
      <c r="L1509" s="87"/>
      <c r="M1509" s="65"/>
      <c r="N1509" s="65"/>
      <c r="O1509" s="81"/>
      <c r="P1509" s="82"/>
      <c r="Q1509" s="65" t="s">
        <v>43</v>
      </c>
      <c r="R1509" s="65"/>
    </row>
    <row r="1510" ht="27.6" spans="1:18">
      <c r="A1510" s="58">
        <v>1487</v>
      </c>
      <c r="B1510" s="108">
        <v>45862</v>
      </c>
      <c r="C1510" s="81" t="s">
        <v>641</v>
      </c>
      <c r="D1510" s="61" t="s">
        <v>72</v>
      </c>
      <c r="E1510" s="65" t="s">
        <v>804</v>
      </c>
      <c r="F1510" s="107" t="s">
        <v>50</v>
      </c>
      <c r="G1510" s="65" t="s">
        <v>65</v>
      </c>
      <c r="H1510" s="65" t="s">
        <v>132</v>
      </c>
      <c r="I1510" s="80" t="s">
        <v>2410</v>
      </c>
      <c r="J1510" s="65" t="s">
        <v>53</v>
      </c>
      <c r="K1510" s="91" t="s">
        <v>2411</v>
      </c>
      <c r="L1510" s="87"/>
      <c r="M1510" s="65"/>
      <c r="N1510" s="65"/>
      <c r="O1510" s="81"/>
      <c r="P1510" s="82"/>
      <c r="Q1510" s="65" t="s">
        <v>43</v>
      </c>
      <c r="R1510" s="65"/>
    </row>
    <row r="1511" ht="26.4" spans="1:18">
      <c r="A1511" s="58">
        <v>1488</v>
      </c>
      <c r="B1511" s="108">
        <v>45861</v>
      </c>
      <c r="C1511" s="81" t="s">
        <v>659</v>
      </c>
      <c r="D1511" s="61" t="s">
        <v>72</v>
      </c>
      <c r="E1511" s="65" t="s">
        <v>804</v>
      </c>
      <c r="F1511" s="107" t="s">
        <v>50</v>
      </c>
      <c r="G1511" s="65" t="s">
        <v>82</v>
      </c>
      <c r="H1511" s="65" t="s">
        <v>622</v>
      </c>
      <c r="I1511" s="80" t="s">
        <v>2412</v>
      </c>
      <c r="J1511" s="65" t="s">
        <v>88</v>
      </c>
      <c r="K1511" s="91" t="s">
        <v>2413</v>
      </c>
      <c r="L1511" s="87"/>
      <c r="M1511" s="65"/>
      <c r="N1511" s="65"/>
      <c r="O1511" s="81"/>
      <c r="P1511" s="82"/>
      <c r="Q1511" s="65" t="s">
        <v>43</v>
      </c>
      <c r="R1511" s="65"/>
    </row>
    <row r="1512" ht="13.8" spans="1:18">
      <c r="A1512" s="58">
        <v>1489</v>
      </c>
      <c r="B1512" s="108">
        <v>45861</v>
      </c>
      <c r="C1512" s="81" t="s">
        <v>659</v>
      </c>
      <c r="D1512" s="61" t="s">
        <v>72</v>
      </c>
      <c r="E1512" s="65" t="s">
        <v>804</v>
      </c>
      <c r="F1512" s="107" t="s">
        <v>50</v>
      </c>
      <c r="G1512" s="65" t="s">
        <v>79</v>
      </c>
      <c r="H1512" s="65" t="s">
        <v>51</v>
      </c>
      <c r="I1512" s="80" t="s">
        <v>2414</v>
      </c>
      <c r="J1512" s="65" t="s">
        <v>53</v>
      </c>
      <c r="K1512" s="91" t="s">
        <v>2415</v>
      </c>
      <c r="L1512" s="87"/>
      <c r="M1512" s="65"/>
      <c r="N1512" s="65"/>
      <c r="O1512" s="81"/>
      <c r="P1512" s="82"/>
      <c r="Q1512" s="65" t="s">
        <v>43</v>
      </c>
      <c r="R1512" s="65"/>
    </row>
    <row r="1513" ht="52.8" spans="1:18">
      <c r="A1513" s="58">
        <v>1490</v>
      </c>
      <c r="B1513" s="108">
        <v>45860</v>
      </c>
      <c r="C1513" s="81" t="s">
        <v>641</v>
      </c>
      <c r="D1513" s="61" t="s">
        <v>72</v>
      </c>
      <c r="E1513" s="65" t="s">
        <v>804</v>
      </c>
      <c r="F1513" s="107" t="s">
        <v>36</v>
      </c>
      <c r="G1513" s="65" t="s">
        <v>37</v>
      </c>
      <c r="H1513" s="65" t="s">
        <v>56</v>
      </c>
      <c r="I1513" s="86" t="s">
        <v>2416</v>
      </c>
      <c r="J1513" s="65" t="s">
        <v>53</v>
      </c>
      <c r="K1513" s="91" t="s">
        <v>2417</v>
      </c>
      <c r="L1513" s="87"/>
      <c r="M1513" s="65"/>
      <c r="N1513" s="65"/>
      <c r="O1513" s="81"/>
      <c r="P1513" s="82"/>
      <c r="Q1513" s="65" t="s">
        <v>43</v>
      </c>
      <c r="R1513" s="65"/>
    </row>
    <row r="1514" ht="41.4" spans="1:18">
      <c r="A1514" s="58">
        <v>1491</v>
      </c>
      <c r="B1514" s="108">
        <v>45861</v>
      </c>
      <c r="C1514" s="81" t="s">
        <v>641</v>
      </c>
      <c r="D1514" s="61" t="s">
        <v>72</v>
      </c>
      <c r="E1514" s="65" t="s">
        <v>804</v>
      </c>
      <c r="F1514" s="107" t="s">
        <v>36</v>
      </c>
      <c r="G1514" s="65" t="s">
        <v>37</v>
      </c>
      <c r="H1514" s="65" t="s">
        <v>38</v>
      </c>
      <c r="I1514" s="86" t="s">
        <v>2418</v>
      </c>
      <c r="J1514" s="65" t="s">
        <v>53</v>
      </c>
      <c r="K1514" s="91" t="s">
        <v>2419</v>
      </c>
      <c r="L1514" s="87"/>
      <c r="M1514" s="65"/>
      <c r="N1514" s="65"/>
      <c r="O1514" s="81"/>
      <c r="P1514" s="82"/>
      <c r="Q1514" s="65" t="s">
        <v>43</v>
      </c>
      <c r="R1514" s="65"/>
    </row>
    <row r="1515" ht="69" spans="1:18">
      <c r="A1515" s="58">
        <v>1492</v>
      </c>
      <c r="B1515" s="108">
        <v>45859</v>
      </c>
      <c r="C1515" s="81" t="s">
        <v>641</v>
      </c>
      <c r="D1515" s="61" t="s">
        <v>72</v>
      </c>
      <c r="E1515" s="65" t="s">
        <v>804</v>
      </c>
      <c r="F1515" s="107" t="s">
        <v>36</v>
      </c>
      <c r="G1515" s="65" t="s">
        <v>37</v>
      </c>
      <c r="H1515" s="65" t="s">
        <v>1008</v>
      </c>
      <c r="I1515" s="86" t="s">
        <v>2420</v>
      </c>
      <c r="J1515" s="65" t="s">
        <v>53</v>
      </c>
      <c r="K1515" s="91" t="s">
        <v>2421</v>
      </c>
      <c r="L1515" s="87"/>
      <c r="M1515" s="65"/>
      <c r="N1515" s="65"/>
      <c r="O1515" s="81"/>
      <c r="P1515" s="82"/>
      <c r="Q1515" s="65" t="s">
        <v>43</v>
      </c>
      <c r="R1515" s="65"/>
    </row>
    <row r="1516" ht="69" spans="1:18">
      <c r="A1516" s="58">
        <v>1493</v>
      </c>
      <c r="B1516" s="108">
        <v>45860</v>
      </c>
      <c r="C1516" s="81" t="s">
        <v>641</v>
      </c>
      <c r="D1516" s="61" t="s">
        <v>72</v>
      </c>
      <c r="E1516" s="65" t="s">
        <v>804</v>
      </c>
      <c r="F1516" s="107" t="s">
        <v>36</v>
      </c>
      <c r="G1516" s="65" t="s">
        <v>55</v>
      </c>
      <c r="H1516" s="65" t="s">
        <v>1008</v>
      </c>
      <c r="I1516" s="86" t="s">
        <v>2422</v>
      </c>
      <c r="J1516" s="65" t="s">
        <v>53</v>
      </c>
      <c r="K1516" s="91" t="s">
        <v>2423</v>
      </c>
      <c r="L1516" s="87"/>
      <c r="M1516" s="65"/>
      <c r="N1516" s="65"/>
      <c r="O1516" s="81"/>
      <c r="P1516" s="82"/>
      <c r="Q1516" s="65" t="s">
        <v>43</v>
      </c>
      <c r="R1516" s="65"/>
    </row>
    <row r="1517" ht="13.8" spans="1:18">
      <c r="A1517" s="58">
        <v>1494</v>
      </c>
      <c r="B1517" s="108">
        <v>45857</v>
      </c>
      <c r="C1517" s="81" t="s">
        <v>659</v>
      </c>
      <c r="D1517" s="61" t="s">
        <v>72</v>
      </c>
      <c r="E1517" s="65" t="s">
        <v>804</v>
      </c>
      <c r="F1517" s="107" t="s">
        <v>36</v>
      </c>
      <c r="G1517" s="65" t="s">
        <v>82</v>
      </c>
      <c r="H1517" s="65" t="s">
        <v>94</v>
      </c>
      <c r="I1517" s="86" t="s">
        <v>2424</v>
      </c>
      <c r="J1517" s="65" t="s">
        <v>53</v>
      </c>
      <c r="K1517" s="91" t="s">
        <v>2425</v>
      </c>
      <c r="L1517" s="87"/>
      <c r="M1517" s="65"/>
      <c r="N1517" s="65"/>
      <c r="O1517" s="81"/>
      <c r="P1517" s="82"/>
      <c r="Q1517" s="65" t="s">
        <v>43</v>
      </c>
      <c r="R1517" s="65"/>
    </row>
    <row r="1518" ht="13.8" spans="1:18">
      <c r="A1518" s="58">
        <v>1495</v>
      </c>
      <c r="B1518" s="108">
        <v>45857</v>
      </c>
      <c r="C1518" s="81" t="s">
        <v>659</v>
      </c>
      <c r="D1518" s="61" t="s">
        <v>72</v>
      </c>
      <c r="E1518" s="65" t="s">
        <v>804</v>
      </c>
      <c r="F1518" s="107" t="s">
        <v>36</v>
      </c>
      <c r="G1518" s="65" t="s">
        <v>45</v>
      </c>
      <c r="H1518" s="65" t="s">
        <v>94</v>
      </c>
      <c r="I1518" s="86" t="s">
        <v>2424</v>
      </c>
      <c r="J1518" s="65" t="s">
        <v>53</v>
      </c>
      <c r="K1518" s="91" t="s">
        <v>2425</v>
      </c>
      <c r="L1518" s="87"/>
      <c r="M1518" s="65"/>
      <c r="N1518" s="65"/>
      <c r="O1518" s="81"/>
      <c r="P1518" s="82"/>
      <c r="Q1518" s="65" t="s">
        <v>43</v>
      </c>
      <c r="R1518" s="65"/>
    </row>
    <row r="1519" ht="13.8" spans="1:18">
      <c r="A1519" s="58">
        <v>1496</v>
      </c>
      <c r="B1519" s="108">
        <v>45858</v>
      </c>
      <c r="C1519" s="81" t="s">
        <v>659</v>
      </c>
      <c r="D1519" s="61" t="s">
        <v>72</v>
      </c>
      <c r="E1519" s="65" t="s">
        <v>804</v>
      </c>
      <c r="F1519" s="107" t="s">
        <v>36</v>
      </c>
      <c r="G1519" s="65" t="s">
        <v>1850</v>
      </c>
      <c r="H1519" s="65" t="s">
        <v>56</v>
      </c>
      <c r="I1519" s="86" t="s">
        <v>2426</v>
      </c>
      <c r="J1519" s="65" t="s">
        <v>53</v>
      </c>
      <c r="K1519" s="91" t="s">
        <v>2425</v>
      </c>
      <c r="L1519" s="87"/>
      <c r="M1519" s="65"/>
      <c r="N1519" s="65"/>
      <c r="O1519" s="81"/>
      <c r="P1519" s="82"/>
      <c r="Q1519" s="65" t="s">
        <v>43</v>
      </c>
      <c r="R1519" s="65"/>
    </row>
    <row r="1520" ht="26.4" spans="1:18">
      <c r="A1520" s="58">
        <v>1497</v>
      </c>
      <c r="B1520" s="108">
        <v>45858</v>
      </c>
      <c r="C1520" s="81" t="s">
        <v>659</v>
      </c>
      <c r="D1520" s="61" t="s">
        <v>72</v>
      </c>
      <c r="E1520" s="65" t="s">
        <v>804</v>
      </c>
      <c r="F1520" s="107" t="s">
        <v>36</v>
      </c>
      <c r="G1520" s="65" t="s">
        <v>45</v>
      </c>
      <c r="H1520" s="65" t="s">
        <v>1008</v>
      </c>
      <c r="I1520" s="86" t="s">
        <v>2427</v>
      </c>
      <c r="J1520" s="65" t="s">
        <v>53</v>
      </c>
      <c r="K1520" s="91" t="s">
        <v>2428</v>
      </c>
      <c r="L1520" s="87"/>
      <c r="M1520" s="65"/>
      <c r="N1520" s="65"/>
      <c r="O1520" s="81"/>
      <c r="P1520" s="82"/>
      <c r="Q1520" s="65" t="s">
        <v>43</v>
      </c>
      <c r="R1520" s="65"/>
    </row>
    <row r="1521" ht="13.8" spans="1:18">
      <c r="A1521" s="58">
        <v>1498</v>
      </c>
      <c r="B1521" s="108">
        <v>45859</v>
      </c>
      <c r="C1521" s="81" t="s">
        <v>659</v>
      </c>
      <c r="D1521" s="61" t="s">
        <v>72</v>
      </c>
      <c r="E1521" s="65" t="s">
        <v>804</v>
      </c>
      <c r="F1521" s="107" t="s">
        <v>36</v>
      </c>
      <c r="G1521" s="65" t="s">
        <v>45</v>
      </c>
      <c r="H1521" s="65" t="s">
        <v>56</v>
      </c>
      <c r="I1521" s="86" t="s">
        <v>2429</v>
      </c>
      <c r="J1521" s="65" t="s">
        <v>53</v>
      </c>
      <c r="K1521" s="91" t="s">
        <v>2430</v>
      </c>
      <c r="L1521" s="87"/>
      <c r="M1521" s="65"/>
      <c r="N1521" s="65"/>
      <c r="O1521" s="81"/>
      <c r="P1521" s="82"/>
      <c r="Q1521" s="65" t="s">
        <v>43</v>
      </c>
      <c r="R1521" s="65"/>
    </row>
    <row r="1522" ht="26.4" spans="1:18">
      <c r="A1522" s="58">
        <v>1499</v>
      </c>
      <c r="B1522" s="108">
        <v>45859</v>
      </c>
      <c r="C1522" s="81" t="s">
        <v>659</v>
      </c>
      <c r="D1522" s="61" t="s">
        <v>72</v>
      </c>
      <c r="E1522" s="65" t="s">
        <v>804</v>
      </c>
      <c r="F1522" s="107" t="s">
        <v>36</v>
      </c>
      <c r="G1522" s="65" t="s">
        <v>82</v>
      </c>
      <c r="H1522" s="65" t="s">
        <v>38</v>
      </c>
      <c r="I1522" s="86" t="s">
        <v>2431</v>
      </c>
      <c r="J1522" s="65" t="s">
        <v>53</v>
      </c>
      <c r="K1522" s="91" t="s">
        <v>2432</v>
      </c>
      <c r="L1522" s="87"/>
      <c r="M1522" s="65"/>
      <c r="N1522" s="65"/>
      <c r="O1522" s="81"/>
      <c r="P1522" s="82"/>
      <c r="Q1522" s="65" t="s">
        <v>43</v>
      </c>
      <c r="R1522" s="65"/>
    </row>
    <row r="1523" ht="13.8" spans="1:18">
      <c r="A1523" s="58">
        <v>1500</v>
      </c>
      <c r="B1523" s="108">
        <v>45860</v>
      </c>
      <c r="C1523" s="81" t="s">
        <v>659</v>
      </c>
      <c r="D1523" s="61" t="s">
        <v>72</v>
      </c>
      <c r="E1523" s="65" t="s">
        <v>804</v>
      </c>
      <c r="F1523" s="107" t="s">
        <v>36</v>
      </c>
      <c r="G1523" s="65" t="s">
        <v>82</v>
      </c>
      <c r="H1523" s="65" t="s">
        <v>128</v>
      </c>
      <c r="I1523" s="86" t="s">
        <v>2433</v>
      </c>
      <c r="J1523" s="65" t="s">
        <v>53</v>
      </c>
      <c r="K1523" s="91" t="s">
        <v>2434</v>
      </c>
      <c r="L1523" s="87"/>
      <c r="M1523" s="65"/>
      <c r="N1523" s="65"/>
      <c r="O1523" s="81"/>
      <c r="P1523" s="82"/>
      <c r="Q1523" s="65" t="s">
        <v>43</v>
      </c>
      <c r="R1523" s="65"/>
    </row>
    <row r="1524" ht="13.8" spans="1:18">
      <c r="A1524" s="58">
        <v>1501</v>
      </c>
      <c r="B1524" s="108">
        <v>45860</v>
      </c>
      <c r="C1524" s="81" t="s">
        <v>659</v>
      </c>
      <c r="D1524" s="61" t="s">
        <v>72</v>
      </c>
      <c r="E1524" s="65" t="s">
        <v>804</v>
      </c>
      <c r="F1524" s="107" t="s">
        <v>36</v>
      </c>
      <c r="G1524" s="65" t="s">
        <v>45</v>
      </c>
      <c r="H1524" s="65" t="s">
        <v>38</v>
      </c>
      <c r="I1524" s="86" t="s">
        <v>2435</v>
      </c>
      <c r="J1524" s="65" t="s">
        <v>53</v>
      </c>
      <c r="K1524" s="91" t="s">
        <v>2436</v>
      </c>
      <c r="L1524" s="87"/>
      <c r="M1524" s="65"/>
      <c r="N1524" s="65"/>
      <c r="O1524" s="81"/>
      <c r="P1524" s="82"/>
      <c r="Q1524" s="65" t="s">
        <v>43</v>
      </c>
      <c r="R1524" s="65"/>
    </row>
    <row r="1525" ht="13.8" spans="1:18">
      <c r="A1525" s="58">
        <v>1502</v>
      </c>
      <c r="B1525" s="108">
        <v>45862</v>
      </c>
      <c r="C1525" s="81" t="s">
        <v>659</v>
      </c>
      <c r="D1525" s="61" t="s">
        <v>72</v>
      </c>
      <c r="E1525" s="65" t="s">
        <v>804</v>
      </c>
      <c r="F1525" s="107" t="s">
        <v>36</v>
      </c>
      <c r="G1525" s="65" t="s">
        <v>61</v>
      </c>
      <c r="H1525" s="65" t="s">
        <v>66</v>
      </c>
      <c r="I1525" s="86" t="s">
        <v>2437</v>
      </c>
      <c r="J1525" s="65" t="s">
        <v>53</v>
      </c>
      <c r="K1525" s="91" t="s">
        <v>2438</v>
      </c>
      <c r="L1525" s="87"/>
      <c r="M1525" s="65"/>
      <c r="N1525" s="65"/>
      <c r="O1525" s="81"/>
      <c r="P1525" s="82"/>
      <c r="Q1525" s="65" t="s">
        <v>43</v>
      </c>
      <c r="R1525" s="65"/>
    </row>
    <row r="1526" ht="27.6" spans="1:18">
      <c r="A1526" s="58">
        <v>1503</v>
      </c>
      <c r="B1526" s="108">
        <v>45840</v>
      </c>
      <c r="C1526" s="64" t="s">
        <v>1903</v>
      </c>
      <c r="D1526" s="62" t="s">
        <v>35</v>
      </c>
      <c r="E1526" s="62" t="s">
        <v>804</v>
      </c>
      <c r="F1526" s="105" t="s">
        <v>36</v>
      </c>
      <c r="G1526" s="62" t="s">
        <v>45</v>
      </c>
      <c r="H1526" s="62" t="s">
        <v>132</v>
      </c>
      <c r="I1526" s="78" t="s">
        <v>2439</v>
      </c>
      <c r="J1526" s="62" t="s">
        <v>40</v>
      </c>
      <c r="K1526" s="67" t="s">
        <v>2440</v>
      </c>
      <c r="L1526" s="70"/>
      <c r="M1526" s="62"/>
      <c r="N1526" s="62"/>
      <c r="O1526" s="64"/>
      <c r="P1526" s="79"/>
      <c r="Q1526" s="65" t="s">
        <v>43</v>
      </c>
      <c r="R1526" s="62"/>
    </row>
    <row r="1527" ht="13.8" spans="1:18">
      <c r="A1527" s="58">
        <v>1504</v>
      </c>
      <c r="B1527" s="108">
        <v>45841</v>
      </c>
      <c r="C1527" s="60" t="s">
        <v>1938</v>
      </c>
      <c r="D1527" s="62" t="s">
        <v>35</v>
      </c>
      <c r="E1527" s="62" t="s">
        <v>804</v>
      </c>
      <c r="F1527" s="105" t="s">
        <v>36</v>
      </c>
      <c r="G1527" s="62" t="s">
        <v>131</v>
      </c>
      <c r="H1527" s="62" t="s">
        <v>56</v>
      </c>
      <c r="I1527" s="78" t="s">
        <v>2441</v>
      </c>
      <c r="J1527" s="62" t="s">
        <v>40</v>
      </c>
      <c r="K1527" s="67" t="s">
        <v>2442</v>
      </c>
      <c r="L1527" s="70"/>
      <c r="M1527" s="62"/>
      <c r="N1527" s="62"/>
      <c r="O1527" s="64"/>
      <c r="P1527" s="79"/>
      <c r="Q1527" s="65" t="s">
        <v>43</v>
      </c>
      <c r="R1527" s="62"/>
    </row>
    <row r="1528" ht="13.8" spans="1:18">
      <c r="A1528" s="58">
        <v>1505</v>
      </c>
      <c r="B1528" s="108">
        <v>45841</v>
      </c>
      <c r="C1528" s="64" t="s">
        <v>1933</v>
      </c>
      <c r="D1528" s="62" t="s">
        <v>35</v>
      </c>
      <c r="E1528" s="62" t="s">
        <v>804</v>
      </c>
      <c r="F1528" s="105" t="s">
        <v>36</v>
      </c>
      <c r="G1528" s="62" t="s">
        <v>1617</v>
      </c>
      <c r="H1528" s="62" t="s">
        <v>38</v>
      </c>
      <c r="I1528" s="78" t="s">
        <v>2443</v>
      </c>
      <c r="J1528" s="62" t="s">
        <v>40</v>
      </c>
      <c r="K1528" s="67" t="s">
        <v>2444</v>
      </c>
      <c r="L1528" s="70"/>
      <c r="M1528" s="62"/>
      <c r="N1528" s="62"/>
      <c r="O1528" s="64"/>
      <c r="P1528" s="79"/>
      <c r="Q1528" s="65" t="s">
        <v>43</v>
      </c>
      <c r="R1528" s="62"/>
    </row>
    <row r="1529" ht="13.8" spans="1:18">
      <c r="A1529" s="58">
        <v>1506</v>
      </c>
      <c r="B1529" s="108">
        <v>45843</v>
      </c>
      <c r="C1529" s="64" t="s">
        <v>49</v>
      </c>
      <c r="D1529" s="62" t="s">
        <v>35</v>
      </c>
      <c r="E1529" s="62" t="s">
        <v>804</v>
      </c>
      <c r="F1529" s="105" t="s">
        <v>36</v>
      </c>
      <c r="G1529" s="62" t="s">
        <v>82</v>
      </c>
      <c r="H1529" s="62" t="s">
        <v>56</v>
      </c>
      <c r="I1529" s="78" t="s">
        <v>2445</v>
      </c>
      <c r="J1529" s="62" t="s">
        <v>40</v>
      </c>
      <c r="K1529" s="67" t="s">
        <v>2446</v>
      </c>
      <c r="L1529" s="70"/>
      <c r="M1529" s="62"/>
      <c r="N1529" s="62"/>
      <c r="O1529" s="64"/>
      <c r="P1529" s="79"/>
      <c r="Q1529" s="65" t="s">
        <v>43</v>
      </c>
      <c r="R1529" s="62"/>
    </row>
    <row r="1530" ht="13.8" spans="1:18">
      <c r="A1530" s="58">
        <v>1507</v>
      </c>
      <c r="B1530" s="108">
        <v>45844</v>
      </c>
      <c r="C1530" s="64" t="s">
        <v>1933</v>
      </c>
      <c r="D1530" s="62" t="s">
        <v>35</v>
      </c>
      <c r="E1530" s="62" t="s">
        <v>804</v>
      </c>
      <c r="F1530" s="105" t="s">
        <v>36</v>
      </c>
      <c r="G1530" s="62" t="s">
        <v>45</v>
      </c>
      <c r="H1530" s="62" t="s">
        <v>38</v>
      </c>
      <c r="I1530" s="78" t="s">
        <v>2447</v>
      </c>
      <c r="J1530" s="62" t="s">
        <v>40</v>
      </c>
      <c r="K1530" s="67" t="s">
        <v>2448</v>
      </c>
      <c r="L1530" s="70"/>
      <c r="M1530" s="62"/>
      <c r="N1530" s="62"/>
      <c r="O1530" s="64"/>
      <c r="P1530" s="79"/>
      <c r="Q1530" s="65" t="s">
        <v>43</v>
      </c>
      <c r="R1530" s="62"/>
    </row>
    <row r="1531" ht="13.8" spans="1:18">
      <c r="A1531" s="58">
        <v>1508</v>
      </c>
      <c r="B1531" s="108">
        <v>45845</v>
      </c>
      <c r="C1531" s="60" t="s">
        <v>1938</v>
      </c>
      <c r="D1531" s="62" t="s">
        <v>35</v>
      </c>
      <c r="E1531" s="62" t="s">
        <v>804</v>
      </c>
      <c r="F1531" s="105" t="s">
        <v>36</v>
      </c>
      <c r="G1531" s="62" t="s">
        <v>131</v>
      </c>
      <c r="H1531" s="62" t="s">
        <v>38</v>
      </c>
      <c r="I1531" s="78" t="s">
        <v>1918</v>
      </c>
      <c r="J1531" s="62" t="s">
        <v>40</v>
      </c>
      <c r="K1531" s="67" t="s">
        <v>1919</v>
      </c>
      <c r="L1531" s="70"/>
      <c r="M1531" s="62"/>
      <c r="N1531" s="62"/>
      <c r="O1531" s="64"/>
      <c r="P1531" s="79"/>
      <c r="Q1531" s="65" t="s">
        <v>43</v>
      </c>
      <c r="R1531" s="62"/>
    </row>
    <row r="1532" ht="13.8" spans="1:18">
      <c r="A1532" s="58">
        <v>1509</v>
      </c>
      <c r="B1532" s="108">
        <v>45845</v>
      </c>
      <c r="C1532" s="64" t="s">
        <v>49</v>
      </c>
      <c r="D1532" s="62" t="s">
        <v>35</v>
      </c>
      <c r="E1532" s="62" t="s">
        <v>804</v>
      </c>
      <c r="F1532" s="105" t="s">
        <v>36</v>
      </c>
      <c r="G1532" s="62" t="s">
        <v>61</v>
      </c>
      <c r="H1532" s="62" t="s">
        <v>97</v>
      </c>
      <c r="I1532" s="78" t="s">
        <v>1893</v>
      </c>
      <c r="J1532" s="62" t="s">
        <v>40</v>
      </c>
      <c r="K1532" s="67" t="s">
        <v>1894</v>
      </c>
      <c r="L1532" s="70"/>
      <c r="M1532" s="62"/>
      <c r="N1532" s="62"/>
      <c r="O1532" s="64"/>
      <c r="P1532" s="79"/>
      <c r="Q1532" s="65" t="s">
        <v>43</v>
      </c>
      <c r="R1532" s="62"/>
    </row>
    <row r="1533" ht="13.8" spans="1:18">
      <c r="A1533" s="58">
        <v>1510</v>
      </c>
      <c r="B1533" s="108">
        <v>45843</v>
      </c>
      <c r="C1533" s="64" t="s">
        <v>198</v>
      </c>
      <c r="D1533" s="62" t="s">
        <v>35</v>
      </c>
      <c r="E1533" s="62" t="s">
        <v>804</v>
      </c>
      <c r="F1533" s="105" t="s">
        <v>36</v>
      </c>
      <c r="G1533" s="62" t="s">
        <v>131</v>
      </c>
      <c r="H1533" s="62" t="s">
        <v>46</v>
      </c>
      <c r="I1533" s="78" t="s">
        <v>1895</v>
      </c>
      <c r="J1533" s="62" t="s">
        <v>40</v>
      </c>
      <c r="K1533" s="67" t="s">
        <v>1896</v>
      </c>
      <c r="L1533" s="70"/>
      <c r="M1533" s="62"/>
      <c r="N1533" s="62"/>
      <c r="O1533" s="64"/>
      <c r="P1533" s="79"/>
      <c r="Q1533" s="65" t="s">
        <v>43</v>
      </c>
      <c r="R1533" s="62"/>
    </row>
    <row r="1534" ht="13.8" spans="1:18">
      <c r="A1534" s="58">
        <v>1511</v>
      </c>
      <c r="B1534" s="108">
        <v>45840</v>
      </c>
      <c r="C1534" s="64" t="s">
        <v>1933</v>
      </c>
      <c r="D1534" s="62" t="s">
        <v>35</v>
      </c>
      <c r="E1534" s="62" t="s">
        <v>804</v>
      </c>
      <c r="F1534" s="105" t="s">
        <v>36</v>
      </c>
      <c r="G1534" s="62" t="s">
        <v>45</v>
      </c>
      <c r="H1534" s="62" t="s">
        <v>202</v>
      </c>
      <c r="I1534" s="78" t="s">
        <v>2449</v>
      </c>
      <c r="J1534" s="62" t="s">
        <v>40</v>
      </c>
      <c r="K1534" s="67" t="s">
        <v>2450</v>
      </c>
      <c r="L1534" s="70"/>
      <c r="M1534" s="62"/>
      <c r="N1534" s="62"/>
      <c r="O1534" s="64"/>
      <c r="P1534" s="79"/>
      <c r="Q1534" s="65" t="s">
        <v>43</v>
      </c>
      <c r="R1534" s="62"/>
    </row>
    <row r="1535" ht="13.8" spans="1:18">
      <c r="A1535" s="58">
        <v>1512</v>
      </c>
      <c r="B1535" s="108">
        <v>45841</v>
      </c>
      <c r="C1535" s="64" t="s">
        <v>49</v>
      </c>
      <c r="D1535" s="62" t="s">
        <v>35</v>
      </c>
      <c r="E1535" s="62" t="s">
        <v>804</v>
      </c>
      <c r="F1535" s="105" t="s">
        <v>36</v>
      </c>
      <c r="G1535" s="62" t="s">
        <v>588</v>
      </c>
      <c r="H1535" s="62" t="s">
        <v>132</v>
      </c>
      <c r="I1535" s="78" t="s">
        <v>2451</v>
      </c>
      <c r="J1535" s="62" t="s">
        <v>40</v>
      </c>
      <c r="K1535" s="67" t="s">
        <v>2452</v>
      </c>
      <c r="L1535" s="70"/>
      <c r="M1535" s="62"/>
      <c r="N1535" s="62"/>
      <c r="O1535" s="64"/>
      <c r="P1535" s="79"/>
      <c r="Q1535" s="65" t="s">
        <v>43</v>
      </c>
      <c r="R1535" s="62"/>
    </row>
    <row r="1536" ht="13.8" spans="1:18">
      <c r="A1536" s="58">
        <v>1513</v>
      </c>
      <c r="B1536" s="108">
        <v>45841</v>
      </c>
      <c r="C1536" s="64" t="s">
        <v>198</v>
      </c>
      <c r="D1536" s="62" t="s">
        <v>35</v>
      </c>
      <c r="E1536" s="62" t="s">
        <v>804</v>
      </c>
      <c r="F1536" s="105" t="s">
        <v>36</v>
      </c>
      <c r="G1536" s="62" t="s">
        <v>1617</v>
      </c>
      <c r="H1536" s="62" t="s">
        <v>94</v>
      </c>
      <c r="I1536" s="78" t="s">
        <v>2453</v>
      </c>
      <c r="J1536" s="62" t="s">
        <v>40</v>
      </c>
      <c r="K1536" s="67" t="s">
        <v>2454</v>
      </c>
      <c r="L1536" s="70"/>
      <c r="M1536" s="62"/>
      <c r="N1536" s="62"/>
      <c r="O1536" s="64"/>
      <c r="P1536" s="79"/>
      <c r="Q1536" s="65" t="s">
        <v>43</v>
      </c>
      <c r="R1536" s="62"/>
    </row>
    <row r="1537" ht="13.8" spans="1:18">
      <c r="A1537" s="58">
        <v>1514</v>
      </c>
      <c r="B1537" s="108">
        <v>45843</v>
      </c>
      <c r="C1537" s="64" t="s">
        <v>1933</v>
      </c>
      <c r="D1537" s="62" t="s">
        <v>35</v>
      </c>
      <c r="E1537" s="62" t="s">
        <v>804</v>
      </c>
      <c r="F1537" s="105" t="s">
        <v>36</v>
      </c>
      <c r="G1537" s="62" t="s">
        <v>82</v>
      </c>
      <c r="H1537" s="62" t="s">
        <v>94</v>
      </c>
      <c r="I1537" s="78" t="s">
        <v>2455</v>
      </c>
      <c r="J1537" s="62" t="s">
        <v>91</v>
      </c>
      <c r="K1537" s="67" t="s">
        <v>2456</v>
      </c>
      <c r="L1537" s="70"/>
      <c r="M1537" s="62"/>
      <c r="N1537" s="62"/>
      <c r="O1537" s="64"/>
      <c r="P1537" s="79"/>
      <c r="Q1537" s="65" t="s">
        <v>43</v>
      </c>
      <c r="R1537" s="62"/>
    </row>
    <row r="1538" ht="13.8" spans="1:18">
      <c r="A1538" s="58">
        <v>1515</v>
      </c>
      <c r="B1538" s="108">
        <v>45844</v>
      </c>
      <c r="C1538" s="64" t="s">
        <v>191</v>
      </c>
      <c r="D1538" s="62" t="s">
        <v>35</v>
      </c>
      <c r="E1538" s="62" t="s">
        <v>804</v>
      </c>
      <c r="F1538" s="105" t="s">
        <v>50</v>
      </c>
      <c r="G1538" s="62" t="s">
        <v>45</v>
      </c>
      <c r="H1538" s="62" t="s">
        <v>51</v>
      </c>
      <c r="I1538" s="78" t="s">
        <v>370</v>
      </c>
      <c r="J1538" s="62" t="s">
        <v>91</v>
      </c>
      <c r="K1538" s="67" t="s">
        <v>371</v>
      </c>
      <c r="L1538" s="70"/>
      <c r="M1538" s="62"/>
      <c r="N1538" s="62"/>
      <c r="O1538" s="64"/>
      <c r="P1538" s="79"/>
      <c r="Q1538" s="65" t="s">
        <v>43</v>
      </c>
      <c r="R1538" s="62"/>
    </row>
    <row r="1539" ht="27.6" spans="1:18">
      <c r="A1539" s="58">
        <v>1516</v>
      </c>
      <c r="B1539" s="108">
        <v>45845</v>
      </c>
      <c r="C1539" s="64" t="s">
        <v>1903</v>
      </c>
      <c r="D1539" s="62" t="s">
        <v>35</v>
      </c>
      <c r="E1539" s="62" t="s">
        <v>804</v>
      </c>
      <c r="F1539" s="105" t="s">
        <v>50</v>
      </c>
      <c r="G1539" s="62" t="s">
        <v>131</v>
      </c>
      <c r="H1539" s="62" t="s">
        <v>97</v>
      </c>
      <c r="I1539" s="78" t="s">
        <v>2457</v>
      </c>
      <c r="J1539" s="62" t="s">
        <v>40</v>
      </c>
      <c r="K1539" s="67" t="s">
        <v>1870</v>
      </c>
      <c r="L1539" s="70"/>
      <c r="M1539" s="62"/>
      <c r="N1539" s="62"/>
      <c r="O1539" s="64"/>
      <c r="P1539" s="79"/>
      <c r="Q1539" s="65" t="s">
        <v>43</v>
      </c>
      <c r="R1539" s="62"/>
    </row>
    <row r="1540" ht="13.8" spans="1:18">
      <c r="A1540" s="58">
        <v>1517</v>
      </c>
      <c r="B1540" s="108">
        <v>45845</v>
      </c>
      <c r="C1540" s="60" t="s">
        <v>1938</v>
      </c>
      <c r="D1540" s="62" t="s">
        <v>35</v>
      </c>
      <c r="E1540" s="62" t="s">
        <v>804</v>
      </c>
      <c r="F1540" s="105" t="s">
        <v>192</v>
      </c>
      <c r="G1540" s="62" t="s">
        <v>588</v>
      </c>
      <c r="H1540" s="62" t="s">
        <v>51</v>
      </c>
      <c r="I1540" s="78" t="s">
        <v>2458</v>
      </c>
      <c r="J1540" s="62" t="s">
        <v>137</v>
      </c>
      <c r="K1540" s="67" t="s">
        <v>194</v>
      </c>
      <c r="L1540" s="70"/>
      <c r="M1540" s="62"/>
      <c r="N1540" s="62"/>
      <c r="O1540" s="64"/>
      <c r="P1540" s="79" t="s">
        <v>42</v>
      </c>
      <c r="Q1540" s="65" t="s">
        <v>8</v>
      </c>
      <c r="R1540" s="62"/>
    </row>
    <row r="1541" ht="27.6" spans="1:18">
      <c r="A1541" s="58">
        <v>1518</v>
      </c>
      <c r="B1541" s="108">
        <v>45843</v>
      </c>
      <c r="C1541" s="64" t="s">
        <v>1933</v>
      </c>
      <c r="D1541" s="62" t="s">
        <v>35</v>
      </c>
      <c r="E1541" s="62" t="s">
        <v>804</v>
      </c>
      <c r="F1541" s="105" t="s">
        <v>135</v>
      </c>
      <c r="G1541" s="62" t="s">
        <v>131</v>
      </c>
      <c r="H1541" s="62" t="s">
        <v>1008</v>
      </c>
      <c r="I1541" s="78" t="s">
        <v>2459</v>
      </c>
      <c r="J1541" s="62" t="s">
        <v>137</v>
      </c>
      <c r="K1541" s="67" t="s">
        <v>2459</v>
      </c>
      <c r="L1541" s="70"/>
      <c r="M1541" s="62"/>
      <c r="N1541" s="62"/>
      <c r="O1541" s="64"/>
      <c r="P1541" s="79" t="s">
        <v>42</v>
      </c>
      <c r="Q1541" s="65" t="s">
        <v>8</v>
      </c>
      <c r="R1541" s="62"/>
    </row>
    <row r="1542" ht="13.8" spans="1:18">
      <c r="A1542" s="58">
        <v>1519</v>
      </c>
      <c r="B1542" s="108">
        <v>45844</v>
      </c>
      <c r="C1542" s="64" t="s">
        <v>49</v>
      </c>
      <c r="D1542" s="62" t="s">
        <v>35</v>
      </c>
      <c r="E1542" s="62" t="s">
        <v>804</v>
      </c>
      <c r="F1542" s="105" t="s">
        <v>135</v>
      </c>
      <c r="G1542" s="62" t="s">
        <v>61</v>
      </c>
      <c r="H1542" s="62" t="s">
        <v>94</v>
      </c>
      <c r="I1542" s="78" t="s">
        <v>2460</v>
      </c>
      <c r="J1542" s="62" t="s">
        <v>137</v>
      </c>
      <c r="K1542" s="67" t="s">
        <v>194</v>
      </c>
      <c r="L1542" s="70"/>
      <c r="M1542" s="62"/>
      <c r="N1542" s="62"/>
      <c r="O1542" s="64"/>
      <c r="P1542" s="79" t="s">
        <v>42</v>
      </c>
      <c r="Q1542" s="65" t="s">
        <v>8</v>
      </c>
      <c r="R1542" s="62"/>
    </row>
    <row r="1543" ht="13.8" spans="1:18">
      <c r="A1543" s="58">
        <v>1520</v>
      </c>
      <c r="B1543" s="108">
        <v>45846</v>
      </c>
      <c r="C1543" s="64" t="s">
        <v>49</v>
      </c>
      <c r="D1543" s="62" t="s">
        <v>35</v>
      </c>
      <c r="E1543" s="62" t="s">
        <v>804</v>
      </c>
      <c r="F1543" s="105" t="s">
        <v>135</v>
      </c>
      <c r="G1543" s="62" t="s">
        <v>45</v>
      </c>
      <c r="H1543" s="62" t="s">
        <v>38</v>
      </c>
      <c r="I1543" s="78" t="s">
        <v>448</v>
      </c>
      <c r="J1543" s="62" t="s">
        <v>40</v>
      </c>
      <c r="K1543" s="67" t="s">
        <v>449</v>
      </c>
      <c r="L1543" s="70"/>
      <c r="M1543" s="62"/>
      <c r="N1543" s="62"/>
      <c r="O1543" s="64"/>
      <c r="P1543" s="79" t="s">
        <v>42</v>
      </c>
      <c r="Q1543" s="65" t="s">
        <v>8</v>
      </c>
      <c r="R1543" s="62"/>
    </row>
    <row r="1544" ht="13.8" spans="1:18">
      <c r="A1544" s="58">
        <v>1521</v>
      </c>
      <c r="B1544" s="108">
        <v>45847</v>
      </c>
      <c r="C1544" s="64" t="s">
        <v>198</v>
      </c>
      <c r="D1544" s="62" t="s">
        <v>35</v>
      </c>
      <c r="E1544" s="62" t="s">
        <v>804</v>
      </c>
      <c r="F1544" s="105" t="s">
        <v>135</v>
      </c>
      <c r="G1544" s="62" t="s">
        <v>1790</v>
      </c>
      <c r="H1544" s="62" t="s">
        <v>94</v>
      </c>
      <c r="I1544" s="78" t="s">
        <v>2461</v>
      </c>
      <c r="J1544" s="62" t="s">
        <v>40</v>
      </c>
      <c r="K1544" s="67" t="s">
        <v>2157</v>
      </c>
      <c r="L1544" s="70"/>
      <c r="M1544" s="62"/>
      <c r="N1544" s="62"/>
      <c r="O1544" s="64"/>
      <c r="P1544" s="79" t="s">
        <v>42</v>
      </c>
      <c r="Q1544" s="65" t="s">
        <v>8</v>
      </c>
      <c r="R1544" s="62"/>
    </row>
    <row r="1545" ht="27.6" spans="1:18">
      <c r="A1545" s="58">
        <v>1522</v>
      </c>
      <c r="B1545" s="108">
        <v>45848</v>
      </c>
      <c r="C1545" s="64" t="s">
        <v>1922</v>
      </c>
      <c r="D1545" s="62" t="s">
        <v>35</v>
      </c>
      <c r="E1545" s="62" t="s">
        <v>804</v>
      </c>
      <c r="F1545" s="105" t="s">
        <v>50</v>
      </c>
      <c r="G1545" s="62" t="s">
        <v>588</v>
      </c>
      <c r="H1545" s="62" t="s">
        <v>51</v>
      </c>
      <c r="I1545" s="78" t="s">
        <v>2462</v>
      </c>
      <c r="J1545" s="62" t="s">
        <v>40</v>
      </c>
      <c r="K1545" s="67" t="s">
        <v>2463</v>
      </c>
      <c r="L1545" s="70"/>
      <c r="M1545" s="62"/>
      <c r="N1545" s="62"/>
      <c r="O1545" s="64"/>
      <c r="P1545" s="79"/>
      <c r="Q1545" s="65" t="s">
        <v>43</v>
      </c>
      <c r="R1545" s="62"/>
    </row>
    <row r="1546" ht="27.6" spans="1:18">
      <c r="A1546" s="58">
        <v>1523</v>
      </c>
      <c r="B1546" s="108">
        <v>45850</v>
      </c>
      <c r="C1546" s="64" t="s">
        <v>1903</v>
      </c>
      <c r="D1546" s="62" t="s">
        <v>35</v>
      </c>
      <c r="E1546" s="62" t="s">
        <v>804</v>
      </c>
      <c r="F1546" s="105" t="s">
        <v>50</v>
      </c>
      <c r="G1546" s="62" t="s">
        <v>45</v>
      </c>
      <c r="H1546" s="62" t="s">
        <v>51</v>
      </c>
      <c r="I1546" s="78" t="s">
        <v>2464</v>
      </c>
      <c r="J1546" s="62" t="s">
        <v>91</v>
      </c>
      <c r="K1546" s="67" t="s">
        <v>2465</v>
      </c>
      <c r="L1546" s="70"/>
      <c r="M1546" s="62"/>
      <c r="N1546" s="62"/>
      <c r="O1546" s="64"/>
      <c r="P1546" s="79"/>
      <c r="Q1546" s="65" t="s">
        <v>43</v>
      </c>
      <c r="R1546" s="62"/>
    </row>
    <row r="1547" ht="13.8" spans="1:18">
      <c r="A1547" s="58">
        <v>1524</v>
      </c>
      <c r="B1547" s="108">
        <v>45850</v>
      </c>
      <c r="C1547" s="64" t="s">
        <v>191</v>
      </c>
      <c r="D1547" s="62" t="s">
        <v>35</v>
      </c>
      <c r="E1547" s="62" t="s">
        <v>804</v>
      </c>
      <c r="F1547" s="105" t="s">
        <v>50</v>
      </c>
      <c r="G1547" s="62" t="s">
        <v>1790</v>
      </c>
      <c r="H1547" s="62" t="s">
        <v>51</v>
      </c>
      <c r="I1547" s="78" t="s">
        <v>2466</v>
      </c>
      <c r="J1547" s="62" t="s">
        <v>91</v>
      </c>
      <c r="K1547" s="67" t="s">
        <v>2467</v>
      </c>
      <c r="L1547" s="70"/>
      <c r="M1547" s="62"/>
      <c r="N1547" s="62"/>
      <c r="O1547" s="64"/>
      <c r="P1547" s="79"/>
      <c r="Q1547" s="65" t="s">
        <v>43</v>
      </c>
      <c r="R1547" s="62"/>
    </row>
    <row r="1548" ht="27.6" spans="1:18">
      <c r="A1548" s="58">
        <v>1525</v>
      </c>
      <c r="B1548" s="108">
        <v>45851</v>
      </c>
      <c r="C1548" s="64" t="s">
        <v>49</v>
      </c>
      <c r="D1548" s="62" t="s">
        <v>35</v>
      </c>
      <c r="E1548" s="62" t="s">
        <v>73</v>
      </c>
      <c r="F1548" s="105" t="s">
        <v>36</v>
      </c>
      <c r="G1548" s="62" t="s">
        <v>61</v>
      </c>
      <c r="H1548" s="62" t="s">
        <v>56</v>
      </c>
      <c r="I1548" s="78" t="s">
        <v>215</v>
      </c>
      <c r="J1548" s="62" t="s">
        <v>40</v>
      </c>
      <c r="K1548" s="67" t="s">
        <v>216</v>
      </c>
      <c r="L1548" s="70"/>
      <c r="M1548" s="62"/>
      <c r="N1548" s="62"/>
      <c r="O1548" s="64"/>
      <c r="P1548" s="79"/>
      <c r="Q1548" s="65" t="s">
        <v>43</v>
      </c>
      <c r="R1548" s="62"/>
    </row>
    <row r="1549" ht="13.8" spans="1:18">
      <c r="A1549" s="58">
        <v>1526</v>
      </c>
      <c r="B1549" s="108">
        <v>45852</v>
      </c>
      <c r="C1549" s="64" t="s">
        <v>191</v>
      </c>
      <c r="D1549" s="62" t="s">
        <v>35</v>
      </c>
      <c r="E1549" s="62" t="s">
        <v>73</v>
      </c>
      <c r="F1549" s="105" t="s">
        <v>36</v>
      </c>
      <c r="G1549" s="62" t="s">
        <v>82</v>
      </c>
      <c r="H1549" s="62" t="s">
        <v>46</v>
      </c>
      <c r="I1549" s="78" t="s">
        <v>577</v>
      </c>
      <c r="J1549" s="62" t="s">
        <v>88</v>
      </c>
      <c r="K1549" s="67"/>
      <c r="L1549" s="70"/>
      <c r="M1549" s="62"/>
      <c r="N1549" s="62"/>
      <c r="O1549" s="64"/>
      <c r="P1549" s="79"/>
      <c r="Q1549" s="65" t="s">
        <v>43</v>
      </c>
      <c r="R1549" s="62"/>
    </row>
    <row r="1550" ht="13.8" spans="1:18">
      <c r="A1550" s="58">
        <v>1527</v>
      </c>
      <c r="B1550" s="108">
        <v>45846</v>
      </c>
      <c r="C1550" s="64" t="s">
        <v>198</v>
      </c>
      <c r="D1550" s="62" t="s">
        <v>35</v>
      </c>
      <c r="E1550" s="62" t="s">
        <v>73</v>
      </c>
      <c r="F1550" s="105" t="s">
        <v>36</v>
      </c>
      <c r="G1550" s="62" t="s">
        <v>45</v>
      </c>
      <c r="H1550" s="62" t="s">
        <v>94</v>
      </c>
      <c r="I1550" s="78" t="s">
        <v>415</v>
      </c>
      <c r="J1550" s="62" t="s">
        <v>91</v>
      </c>
      <c r="K1550" s="67" t="s">
        <v>1404</v>
      </c>
      <c r="L1550" s="70"/>
      <c r="M1550" s="62"/>
      <c r="N1550" s="62"/>
      <c r="O1550" s="64"/>
      <c r="P1550" s="79"/>
      <c r="Q1550" s="65" t="s">
        <v>43</v>
      </c>
      <c r="R1550" s="62"/>
    </row>
    <row r="1551" ht="27.6" spans="1:18">
      <c r="A1551" s="58">
        <v>1528</v>
      </c>
      <c r="B1551" s="108">
        <v>45847</v>
      </c>
      <c r="C1551" s="64" t="s">
        <v>49</v>
      </c>
      <c r="D1551" s="62" t="s">
        <v>35</v>
      </c>
      <c r="E1551" s="62" t="s">
        <v>73</v>
      </c>
      <c r="F1551" s="105" t="s">
        <v>36</v>
      </c>
      <c r="G1551" s="62" t="s">
        <v>45</v>
      </c>
      <c r="H1551" s="62" t="s">
        <v>1008</v>
      </c>
      <c r="I1551" s="78" t="s">
        <v>189</v>
      </c>
      <c r="J1551" s="62" t="s">
        <v>53</v>
      </c>
      <c r="K1551" s="67" t="s">
        <v>190</v>
      </c>
      <c r="L1551" s="70"/>
      <c r="M1551" s="62"/>
      <c r="N1551" s="62"/>
      <c r="O1551" s="64"/>
      <c r="P1551" s="79"/>
      <c r="Q1551" s="65" t="s">
        <v>43</v>
      </c>
      <c r="R1551" s="62"/>
    </row>
    <row r="1552" ht="13.8" spans="1:18">
      <c r="A1552" s="58">
        <v>1529</v>
      </c>
      <c r="B1552" s="108">
        <v>45848</v>
      </c>
      <c r="C1552" s="64" t="s">
        <v>1903</v>
      </c>
      <c r="D1552" s="62" t="s">
        <v>35</v>
      </c>
      <c r="E1552" s="62" t="s">
        <v>73</v>
      </c>
      <c r="F1552" s="105" t="s">
        <v>36</v>
      </c>
      <c r="G1552" s="62" t="s">
        <v>82</v>
      </c>
      <c r="H1552" s="62" t="s">
        <v>56</v>
      </c>
      <c r="I1552" s="78" t="s">
        <v>1149</v>
      </c>
      <c r="J1552" s="62" t="s">
        <v>53</v>
      </c>
      <c r="K1552" s="67" t="s">
        <v>1150</v>
      </c>
      <c r="L1552" s="70"/>
      <c r="M1552" s="62"/>
      <c r="N1552" s="62"/>
      <c r="O1552" s="64"/>
      <c r="P1552" s="79"/>
      <c r="Q1552" s="65" t="s">
        <v>43</v>
      </c>
      <c r="R1552" s="62"/>
    </row>
    <row r="1553" ht="13.8" spans="1:18">
      <c r="A1553" s="58">
        <v>1530</v>
      </c>
      <c r="B1553" s="108">
        <v>45847</v>
      </c>
      <c r="C1553" s="64" t="s">
        <v>49</v>
      </c>
      <c r="D1553" s="62" t="s">
        <v>35</v>
      </c>
      <c r="E1553" s="62" t="s">
        <v>73</v>
      </c>
      <c r="F1553" s="105" t="s">
        <v>36</v>
      </c>
      <c r="G1553" s="62" t="s">
        <v>131</v>
      </c>
      <c r="H1553" s="62" t="s">
        <v>56</v>
      </c>
      <c r="I1553" s="78" t="s">
        <v>1151</v>
      </c>
      <c r="J1553" s="62" t="s">
        <v>53</v>
      </c>
      <c r="K1553" s="67" t="s">
        <v>1152</v>
      </c>
      <c r="L1553" s="70"/>
      <c r="M1553" s="62"/>
      <c r="N1553" s="62"/>
      <c r="O1553" s="64"/>
      <c r="P1553" s="79"/>
      <c r="Q1553" s="65" t="s">
        <v>43</v>
      </c>
      <c r="R1553" s="62"/>
    </row>
    <row r="1554" ht="27.6" spans="1:18">
      <c r="A1554" s="58">
        <v>1531</v>
      </c>
      <c r="B1554" s="108">
        <v>45850</v>
      </c>
      <c r="C1554" s="64" t="s">
        <v>1933</v>
      </c>
      <c r="D1554" s="62" t="s">
        <v>35</v>
      </c>
      <c r="E1554" s="62" t="s">
        <v>73</v>
      </c>
      <c r="F1554" s="105" t="s">
        <v>36</v>
      </c>
      <c r="G1554" s="62" t="s">
        <v>131</v>
      </c>
      <c r="H1554" s="62" t="s">
        <v>56</v>
      </c>
      <c r="I1554" s="78" t="s">
        <v>215</v>
      </c>
      <c r="J1554" s="62" t="s">
        <v>53</v>
      </c>
      <c r="K1554" s="67" t="s">
        <v>216</v>
      </c>
      <c r="L1554" s="70"/>
      <c r="M1554" s="62"/>
      <c r="N1554" s="62"/>
      <c r="O1554" s="64"/>
      <c r="P1554" s="79"/>
      <c r="Q1554" s="65" t="s">
        <v>43</v>
      </c>
      <c r="R1554" s="62"/>
    </row>
    <row r="1555" ht="13.8" spans="1:18">
      <c r="A1555" s="58">
        <v>1532</v>
      </c>
      <c r="B1555" s="108">
        <v>45851</v>
      </c>
      <c r="C1555" s="64" t="s">
        <v>49</v>
      </c>
      <c r="D1555" s="62" t="s">
        <v>35</v>
      </c>
      <c r="E1555" s="62" t="s">
        <v>73</v>
      </c>
      <c r="F1555" s="105" t="s">
        <v>36</v>
      </c>
      <c r="G1555" s="62" t="s">
        <v>55</v>
      </c>
      <c r="H1555" s="62" t="s">
        <v>56</v>
      </c>
      <c r="I1555" s="78" t="s">
        <v>1031</v>
      </c>
      <c r="J1555" s="62" t="s">
        <v>53</v>
      </c>
      <c r="K1555" s="67" t="s">
        <v>1032</v>
      </c>
      <c r="L1555" s="70"/>
      <c r="M1555" s="62"/>
      <c r="N1555" s="62"/>
      <c r="O1555" s="64"/>
      <c r="P1555" s="79"/>
      <c r="Q1555" s="65" t="s">
        <v>43</v>
      </c>
      <c r="R1555" s="62"/>
    </row>
    <row r="1556" ht="27.6" spans="1:18">
      <c r="A1556" s="58">
        <v>1533</v>
      </c>
      <c r="B1556" s="108">
        <v>45852</v>
      </c>
      <c r="C1556" s="64" t="s">
        <v>191</v>
      </c>
      <c r="D1556" s="62" t="s">
        <v>35</v>
      </c>
      <c r="E1556" s="62" t="s">
        <v>73</v>
      </c>
      <c r="F1556" s="105" t="s">
        <v>36</v>
      </c>
      <c r="G1556" s="62" t="s">
        <v>45</v>
      </c>
      <c r="H1556" s="62" t="s">
        <v>56</v>
      </c>
      <c r="I1556" s="78" t="s">
        <v>178</v>
      </c>
      <c r="J1556" s="62" t="s">
        <v>91</v>
      </c>
      <c r="K1556" s="67" t="s">
        <v>179</v>
      </c>
      <c r="L1556" s="70"/>
      <c r="M1556" s="62"/>
      <c r="N1556" s="62"/>
      <c r="O1556" s="64"/>
      <c r="P1556" s="79"/>
      <c r="Q1556" s="65" t="s">
        <v>43</v>
      </c>
      <c r="R1556" s="62"/>
    </row>
    <row r="1557" ht="13.8" spans="1:18">
      <c r="A1557" s="58">
        <v>1534</v>
      </c>
      <c r="B1557" s="108">
        <v>45847</v>
      </c>
      <c r="C1557" s="64" t="s">
        <v>1903</v>
      </c>
      <c r="D1557" s="62" t="s">
        <v>35</v>
      </c>
      <c r="E1557" s="62" t="s">
        <v>73</v>
      </c>
      <c r="F1557" s="105" t="s">
        <v>36</v>
      </c>
      <c r="G1557" s="62" t="s">
        <v>61</v>
      </c>
      <c r="H1557" s="62" t="s">
        <v>56</v>
      </c>
      <c r="I1557" s="78" t="s">
        <v>1965</v>
      </c>
      <c r="J1557" s="62" t="s">
        <v>91</v>
      </c>
      <c r="K1557" s="67" t="s">
        <v>1966</v>
      </c>
      <c r="L1557" s="70"/>
      <c r="M1557" s="62"/>
      <c r="N1557" s="62"/>
      <c r="O1557" s="64"/>
      <c r="P1557" s="79"/>
      <c r="Q1557" s="65" t="s">
        <v>43</v>
      </c>
      <c r="R1557" s="62"/>
    </row>
    <row r="1558" ht="27.6" spans="1:18">
      <c r="A1558" s="58">
        <v>1535</v>
      </c>
      <c r="B1558" s="108">
        <v>45853</v>
      </c>
      <c r="C1558" s="69" t="s">
        <v>1076</v>
      </c>
      <c r="D1558" s="62" t="s">
        <v>35</v>
      </c>
      <c r="E1558" s="62" t="s">
        <v>1077</v>
      </c>
      <c r="F1558" s="105" t="s">
        <v>135</v>
      </c>
      <c r="G1558" s="62" t="s">
        <v>82</v>
      </c>
      <c r="H1558" s="62" t="s">
        <v>94</v>
      </c>
      <c r="I1558" s="78" t="s">
        <v>2468</v>
      </c>
      <c r="J1558" s="62" t="s">
        <v>40</v>
      </c>
      <c r="K1558" s="67" t="s">
        <v>2469</v>
      </c>
      <c r="L1558" s="70"/>
      <c r="M1558" s="62"/>
      <c r="N1558" s="62"/>
      <c r="O1558" s="64"/>
      <c r="P1558" s="79" t="s">
        <v>42</v>
      </c>
      <c r="Q1558" s="65" t="s">
        <v>8</v>
      </c>
      <c r="R1558" s="62"/>
    </row>
    <row r="1559" ht="27.6" spans="1:18">
      <c r="A1559" s="58">
        <v>1536</v>
      </c>
      <c r="B1559" s="108">
        <v>45854</v>
      </c>
      <c r="C1559" s="64" t="s">
        <v>198</v>
      </c>
      <c r="D1559" s="62" t="s">
        <v>35</v>
      </c>
      <c r="E1559" s="62" t="s">
        <v>804</v>
      </c>
      <c r="F1559" s="105" t="s">
        <v>50</v>
      </c>
      <c r="G1559" s="62" t="s">
        <v>588</v>
      </c>
      <c r="H1559" s="62" t="s">
        <v>51</v>
      </c>
      <c r="I1559" s="78" t="s">
        <v>2470</v>
      </c>
      <c r="J1559" s="62" t="s">
        <v>91</v>
      </c>
      <c r="K1559" s="67" t="s">
        <v>2471</v>
      </c>
      <c r="L1559" s="70"/>
      <c r="M1559" s="62"/>
      <c r="N1559" s="62"/>
      <c r="O1559" s="64"/>
      <c r="P1559" s="79"/>
      <c r="Q1559" s="65" t="s">
        <v>43</v>
      </c>
      <c r="R1559" s="62"/>
    </row>
    <row r="1560" ht="27.6" spans="1:18">
      <c r="A1560" s="58">
        <v>1537</v>
      </c>
      <c r="B1560" s="108">
        <v>45855</v>
      </c>
      <c r="C1560" s="64" t="s">
        <v>1933</v>
      </c>
      <c r="D1560" s="62" t="s">
        <v>35</v>
      </c>
      <c r="E1560" s="62" t="s">
        <v>804</v>
      </c>
      <c r="F1560" s="105" t="s">
        <v>50</v>
      </c>
      <c r="G1560" s="62" t="s">
        <v>45</v>
      </c>
      <c r="H1560" s="62" t="s">
        <v>1008</v>
      </c>
      <c r="I1560" s="78" t="s">
        <v>1864</v>
      </c>
      <c r="J1560" s="62" t="s">
        <v>91</v>
      </c>
      <c r="K1560" s="67" t="s">
        <v>2472</v>
      </c>
      <c r="L1560" s="70"/>
      <c r="M1560" s="62"/>
      <c r="N1560" s="62"/>
      <c r="O1560" s="64"/>
      <c r="P1560" s="79"/>
      <c r="Q1560" s="65" t="s">
        <v>43</v>
      </c>
      <c r="R1560" s="62"/>
    </row>
    <row r="1561" ht="13.8" spans="1:18">
      <c r="A1561" s="58">
        <v>1538</v>
      </c>
      <c r="B1561" s="108">
        <v>45855</v>
      </c>
      <c r="C1561" s="64" t="s">
        <v>191</v>
      </c>
      <c r="D1561" s="62" t="s">
        <v>35</v>
      </c>
      <c r="E1561" s="62" t="s">
        <v>804</v>
      </c>
      <c r="F1561" s="105" t="s">
        <v>50</v>
      </c>
      <c r="G1561" s="62" t="s">
        <v>1790</v>
      </c>
      <c r="H1561" s="62" t="s">
        <v>376</v>
      </c>
      <c r="I1561" s="78" t="s">
        <v>1205</v>
      </c>
      <c r="J1561" s="62" t="s">
        <v>91</v>
      </c>
      <c r="K1561" s="67" t="s">
        <v>2473</v>
      </c>
      <c r="L1561" s="70"/>
      <c r="M1561" s="62"/>
      <c r="N1561" s="62"/>
      <c r="O1561" s="64"/>
      <c r="P1561" s="79"/>
      <c r="Q1561" s="65" t="s">
        <v>43</v>
      </c>
      <c r="R1561" s="62"/>
    </row>
    <row r="1562" ht="27.6" spans="1:18">
      <c r="A1562" s="58">
        <v>1539</v>
      </c>
      <c r="B1562" s="108">
        <v>45857</v>
      </c>
      <c r="C1562" s="64" t="s">
        <v>1903</v>
      </c>
      <c r="D1562" s="62" t="s">
        <v>35</v>
      </c>
      <c r="E1562" s="62" t="s">
        <v>804</v>
      </c>
      <c r="F1562" s="105" t="s">
        <v>50</v>
      </c>
      <c r="G1562" s="62" t="s">
        <v>61</v>
      </c>
      <c r="H1562" s="62" t="s">
        <v>94</v>
      </c>
      <c r="I1562" s="78" t="s">
        <v>2474</v>
      </c>
      <c r="J1562" s="62" t="s">
        <v>91</v>
      </c>
      <c r="K1562" s="67" t="s">
        <v>1175</v>
      </c>
      <c r="L1562" s="70"/>
      <c r="M1562" s="62"/>
      <c r="N1562" s="62"/>
      <c r="O1562" s="64"/>
      <c r="P1562" s="79"/>
      <c r="Q1562" s="65" t="s">
        <v>43</v>
      </c>
      <c r="R1562" s="62"/>
    </row>
    <row r="1563" ht="27.6" spans="1:18">
      <c r="A1563" s="58">
        <v>1540</v>
      </c>
      <c r="B1563" s="108">
        <v>45858</v>
      </c>
      <c r="C1563" s="64" t="s">
        <v>198</v>
      </c>
      <c r="D1563" s="62" t="s">
        <v>35</v>
      </c>
      <c r="E1563" s="62" t="s">
        <v>804</v>
      </c>
      <c r="F1563" s="105" t="s">
        <v>36</v>
      </c>
      <c r="G1563" s="62" t="s">
        <v>82</v>
      </c>
      <c r="H1563" s="62" t="s">
        <v>66</v>
      </c>
      <c r="I1563" s="78" t="s">
        <v>373</v>
      </c>
      <c r="J1563" s="62" t="s">
        <v>40</v>
      </c>
      <c r="K1563" s="67" t="s">
        <v>374</v>
      </c>
      <c r="L1563" s="70"/>
      <c r="M1563" s="62"/>
      <c r="N1563" s="62"/>
      <c r="O1563" s="64"/>
      <c r="P1563" s="79"/>
      <c r="Q1563" s="65" t="s">
        <v>43</v>
      </c>
      <c r="R1563" s="62"/>
    </row>
    <row r="1564" ht="13.8" spans="1:18">
      <c r="A1564" s="58">
        <v>1541</v>
      </c>
      <c r="B1564" s="108">
        <v>45859</v>
      </c>
      <c r="C1564" s="64" t="s">
        <v>49</v>
      </c>
      <c r="D1564" s="62" t="s">
        <v>35</v>
      </c>
      <c r="E1564" s="62" t="s">
        <v>804</v>
      </c>
      <c r="F1564" s="105" t="s">
        <v>36</v>
      </c>
      <c r="G1564" s="62" t="s">
        <v>131</v>
      </c>
      <c r="H1564" s="62" t="s">
        <v>66</v>
      </c>
      <c r="I1564" s="78" t="s">
        <v>377</v>
      </c>
      <c r="J1564" s="62" t="s">
        <v>40</v>
      </c>
      <c r="K1564" s="67" t="s">
        <v>378</v>
      </c>
      <c r="L1564" s="70"/>
      <c r="M1564" s="62"/>
      <c r="N1564" s="62"/>
      <c r="O1564" s="64"/>
      <c r="P1564" s="79"/>
      <c r="Q1564" s="65" t="s">
        <v>43</v>
      </c>
      <c r="R1564" s="62"/>
    </row>
    <row r="1565" ht="13.8" spans="1:18">
      <c r="A1565" s="58">
        <v>1542</v>
      </c>
      <c r="B1565" s="108">
        <v>45853</v>
      </c>
      <c r="C1565" s="64" t="s">
        <v>1903</v>
      </c>
      <c r="D1565" s="62" t="s">
        <v>35</v>
      </c>
      <c r="E1565" s="62" t="s">
        <v>804</v>
      </c>
      <c r="F1565" s="105" t="s">
        <v>36</v>
      </c>
      <c r="G1565" s="62" t="s">
        <v>131</v>
      </c>
      <c r="H1565" s="62" t="s">
        <v>66</v>
      </c>
      <c r="I1565" s="78" t="s">
        <v>380</v>
      </c>
      <c r="J1565" s="62" t="s">
        <v>40</v>
      </c>
      <c r="K1565" s="67" t="s">
        <v>381</v>
      </c>
      <c r="L1565" s="70"/>
      <c r="M1565" s="62"/>
      <c r="N1565" s="62"/>
      <c r="O1565" s="64"/>
      <c r="P1565" s="79"/>
      <c r="Q1565" s="65" t="s">
        <v>43</v>
      </c>
      <c r="R1565" s="62"/>
    </row>
    <row r="1566" ht="13.8" spans="1:18">
      <c r="A1566" s="58">
        <v>1543</v>
      </c>
      <c r="B1566" s="108">
        <v>45854</v>
      </c>
      <c r="C1566" s="64" t="s">
        <v>49</v>
      </c>
      <c r="D1566" s="62" t="s">
        <v>35</v>
      </c>
      <c r="E1566" s="62" t="s">
        <v>804</v>
      </c>
      <c r="F1566" s="105" t="s">
        <v>36</v>
      </c>
      <c r="G1566" s="62" t="s">
        <v>61</v>
      </c>
      <c r="H1566" s="62" t="s">
        <v>94</v>
      </c>
      <c r="I1566" s="78" t="s">
        <v>383</v>
      </c>
      <c r="J1566" s="62" t="s">
        <v>40</v>
      </c>
      <c r="K1566" s="67" t="s">
        <v>384</v>
      </c>
      <c r="L1566" s="70"/>
      <c r="M1566" s="62"/>
      <c r="N1566" s="62"/>
      <c r="O1566" s="64"/>
      <c r="P1566" s="79"/>
      <c r="Q1566" s="65" t="s">
        <v>43</v>
      </c>
      <c r="R1566" s="62"/>
    </row>
    <row r="1567" ht="13.8" spans="1:18">
      <c r="A1567" s="58">
        <v>1544</v>
      </c>
      <c r="B1567" s="108">
        <v>45855</v>
      </c>
      <c r="C1567" s="64" t="s">
        <v>1933</v>
      </c>
      <c r="D1567" s="62" t="s">
        <v>35</v>
      </c>
      <c r="E1567" s="62" t="s">
        <v>804</v>
      </c>
      <c r="F1567" s="105" t="s">
        <v>36</v>
      </c>
      <c r="G1567" s="62" t="s">
        <v>82</v>
      </c>
      <c r="H1567" s="62" t="s">
        <v>66</v>
      </c>
      <c r="I1567" s="78" t="s">
        <v>386</v>
      </c>
      <c r="J1567" s="62" t="s">
        <v>40</v>
      </c>
      <c r="K1567" s="67" t="s">
        <v>387</v>
      </c>
      <c r="L1567" s="70"/>
      <c r="M1567" s="62"/>
      <c r="N1567" s="62"/>
      <c r="O1567" s="64"/>
      <c r="P1567" s="79"/>
      <c r="Q1567" s="65" t="s">
        <v>43</v>
      </c>
      <c r="R1567" s="62"/>
    </row>
    <row r="1568" ht="13.8" spans="1:18">
      <c r="A1568" s="58">
        <v>1545</v>
      </c>
      <c r="B1568" s="108">
        <v>45857</v>
      </c>
      <c r="C1568" s="64" t="s">
        <v>191</v>
      </c>
      <c r="D1568" s="62" t="s">
        <v>35</v>
      </c>
      <c r="E1568" s="62" t="s">
        <v>804</v>
      </c>
      <c r="F1568" s="105" t="s">
        <v>36</v>
      </c>
      <c r="G1568" s="62" t="s">
        <v>93</v>
      </c>
      <c r="H1568" s="62" t="s">
        <v>66</v>
      </c>
      <c r="I1568" s="78" t="s">
        <v>377</v>
      </c>
      <c r="J1568" s="62" t="s">
        <v>40</v>
      </c>
      <c r="K1568" s="67" t="s">
        <v>378</v>
      </c>
      <c r="L1568" s="70"/>
      <c r="M1568" s="62"/>
      <c r="N1568" s="62"/>
      <c r="O1568" s="64"/>
      <c r="P1568" s="79"/>
      <c r="Q1568" s="65" t="s">
        <v>43</v>
      </c>
      <c r="R1568" s="62"/>
    </row>
    <row r="1569" ht="13.8" spans="1:18">
      <c r="A1569" s="58">
        <v>1546</v>
      </c>
      <c r="B1569" s="108">
        <v>45857</v>
      </c>
      <c r="C1569" s="64" t="s">
        <v>49</v>
      </c>
      <c r="D1569" s="62" t="s">
        <v>35</v>
      </c>
      <c r="E1569" s="62" t="s">
        <v>804</v>
      </c>
      <c r="F1569" s="105" t="s">
        <v>36</v>
      </c>
      <c r="G1569" s="62" t="s">
        <v>1617</v>
      </c>
      <c r="H1569" s="62" t="s">
        <v>66</v>
      </c>
      <c r="I1569" s="78" t="s">
        <v>390</v>
      </c>
      <c r="J1569" s="62" t="s">
        <v>40</v>
      </c>
      <c r="K1569" s="67" t="s">
        <v>356</v>
      </c>
      <c r="L1569" s="70"/>
      <c r="M1569" s="62"/>
      <c r="N1569" s="62"/>
      <c r="O1569" s="64"/>
      <c r="P1569" s="79"/>
      <c r="Q1569" s="65" t="s">
        <v>43</v>
      </c>
      <c r="R1569" s="62"/>
    </row>
    <row r="1570" ht="27.6" spans="1:18">
      <c r="A1570" s="58">
        <v>1547</v>
      </c>
      <c r="B1570" s="108">
        <v>45859</v>
      </c>
      <c r="C1570" s="64" t="s">
        <v>191</v>
      </c>
      <c r="D1570" s="62" t="s">
        <v>35</v>
      </c>
      <c r="E1570" s="62" t="s">
        <v>804</v>
      </c>
      <c r="F1570" s="105" t="s">
        <v>36</v>
      </c>
      <c r="G1570" s="62" t="s">
        <v>1790</v>
      </c>
      <c r="H1570" s="62" t="s">
        <v>46</v>
      </c>
      <c r="I1570" s="78" t="s">
        <v>558</v>
      </c>
      <c r="J1570" s="62" t="s">
        <v>40</v>
      </c>
      <c r="K1570" s="67" t="s">
        <v>559</v>
      </c>
      <c r="L1570" s="70"/>
      <c r="M1570" s="62"/>
      <c r="N1570" s="62"/>
      <c r="O1570" s="64"/>
      <c r="P1570" s="79"/>
      <c r="Q1570" s="65" t="s">
        <v>43</v>
      </c>
      <c r="R1570" s="62"/>
    </row>
    <row r="1571" ht="27.6" spans="1:18">
      <c r="A1571" s="58">
        <v>1548</v>
      </c>
      <c r="B1571" s="108">
        <v>45859</v>
      </c>
      <c r="C1571" s="64" t="s">
        <v>49</v>
      </c>
      <c r="D1571" s="62" t="s">
        <v>35</v>
      </c>
      <c r="E1571" s="62" t="s">
        <v>804</v>
      </c>
      <c r="F1571" s="105" t="s">
        <v>36</v>
      </c>
      <c r="G1571" s="62" t="s">
        <v>61</v>
      </c>
      <c r="H1571" s="62" t="s">
        <v>46</v>
      </c>
      <c r="I1571" s="78" t="s">
        <v>563</v>
      </c>
      <c r="J1571" s="62" t="s">
        <v>40</v>
      </c>
      <c r="K1571" s="67" t="s">
        <v>564</v>
      </c>
      <c r="L1571" s="70"/>
      <c r="M1571" s="62"/>
      <c r="N1571" s="62"/>
      <c r="O1571" s="64"/>
      <c r="P1571" s="79"/>
      <c r="Q1571" s="65" t="s">
        <v>43</v>
      </c>
      <c r="R1571" s="62"/>
    </row>
    <row r="1572" ht="27.6" spans="1:18">
      <c r="A1572" s="58">
        <v>1549</v>
      </c>
      <c r="B1572" s="108">
        <v>45860</v>
      </c>
      <c r="C1572" s="64" t="s">
        <v>1933</v>
      </c>
      <c r="D1572" s="62" t="s">
        <v>35</v>
      </c>
      <c r="E1572" s="62" t="s">
        <v>804</v>
      </c>
      <c r="F1572" s="105" t="s">
        <v>135</v>
      </c>
      <c r="G1572" s="62" t="s">
        <v>45</v>
      </c>
      <c r="H1572" s="62" t="s">
        <v>38</v>
      </c>
      <c r="I1572" s="78" t="s">
        <v>2475</v>
      </c>
      <c r="J1572" s="62" t="s">
        <v>40</v>
      </c>
      <c r="K1572" s="67" t="s">
        <v>2476</v>
      </c>
      <c r="L1572" s="70"/>
      <c r="M1572" s="62"/>
      <c r="N1572" s="62"/>
      <c r="O1572" s="64"/>
      <c r="P1572" s="79" t="s">
        <v>42</v>
      </c>
      <c r="Q1572" s="65" t="s">
        <v>8</v>
      </c>
      <c r="R1572" s="62"/>
    </row>
    <row r="1573" ht="27.6" spans="1:18">
      <c r="A1573" s="58">
        <v>1550</v>
      </c>
      <c r="B1573" s="108">
        <v>45861</v>
      </c>
      <c r="C1573" s="64" t="s">
        <v>49</v>
      </c>
      <c r="D1573" s="62" t="s">
        <v>35</v>
      </c>
      <c r="E1573" s="62" t="s">
        <v>804</v>
      </c>
      <c r="F1573" s="105" t="s">
        <v>135</v>
      </c>
      <c r="G1573" s="62" t="s">
        <v>588</v>
      </c>
      <c r="H1573" s="62" t="s">
        <v>94</v>
      </c>
      <c r="I1573" s="78" t="s">
        <v>2218</v>
      </c>
      <c r="J1573" s="62" t="s">
        <v>40</v>
      </c>
      <c r="K1573" s="67" t="s">
        <v>1449</v>
      </c>
      <c r="L1573" s="70"/>
      <c r="M1573" s="62"/>
      <c r="N1573" s="62"/>
      <c r="O1573" s="64"/>
      <c r="P1573" s="79" t="s">
        <v>42</v>
      </c>
      <c r="Q1573" s="65" t="s">
        <v>8</v>
      </c>
      <c r="R1573" s="62"/>
    </row>
    <row r="1574" ht="27.6" spans="1:18">
      <c r="A1574" s="58">
        <v>1551</v>
      </c>
      <c r="B1574" s="108">
        <v>45862</v>
      </c>
      <c r="C1574" s="64" t="s">
        <v>198</v>
      </c>
      <c r="D1574" s="62" t="s">
        <v>35</v>
      </c>
      <c r="E1574" s="62" t="s">
        <v>804</v>
      </c>
      <c r="F1574" s="105" t="s">
        <v>50</v>
      </c>
      <c r="G1574" s="62" t="s">
        <v>131</v>
      </c>
      <c r="H1574" s="62" t="s">
        <v>94</v>
      </c>
      <c r="I1574" s="78" t="s">
        <v>2477</v>
      </c>
      <c r="J1574" s="62" t="s">
        <v>91</v>
      </c>
      <c r="K1574" s="67" t="s">
        <v>2478</v>
      </c>
      <c r="L1574" s="70"/>
      <c r="M1574" s="62"/>
      <c r="N1574" s="62"/>
      <c r="O1574" s="64"/>
      <c r="P1574" s="79"/>
      <c r="Q1574" s="65" t="s">
        <v>43</v>
      </c>
      <c r="R1574" s="62"/>
    </row>
    <row r="1575" ht="27.6" spans="1:18">
      <c r="A1575" s="58">
        <v>1552</v>
      </c>
      <c r="B1575" s="108">
        <v>45862</v>
      </c>
      <c r="C1575" s="64" t="s">
        <v>453</v>
      </c>
      <c r="D1575" s="62" t="s">
        <v>35</v>
      </c>
      <c r="E1575" s="62" t="s">
        <v>804</v>
      </c>
      <c r="F1575" s="105" t="s">
        <v>50</v>
      </c>
      <c r="G1575" s="62" t="s">
        <v>45</v>
      </c>
      <c r="H1575" s="62" t="s">
        <v>51</v>
      </c>
      <c r="I1575" s="78" t="s">
        <v>2479</v>
      </c>
      <c r="J1575" s="62" t="s">
        <v>40</v>
      </c>
      <c r="K1575" s="67" t="s">
        <v>2480</v>
      </c>
      <c r="L1575" s="70"/>
      <c r="M1575" s="62"/>
      <c r="N1575" s="62"/>
      <c r="O1575" s="64"/>
      <c r="P1575" s="79"/>
      <c r="Q1575" s="65" t="s">
        <v>43</v>
      </c>
      <c r="R1575" s="62"/>
    </row>
    <row r="1576" ht="27.6" spans="1:18">
      <c r="A1576" s="58">
        <v>1553</v>
      </c>
      <c r="B1576" s="108">
        <v>45864</v>
      </c>
      <c r="C1576" s="64" t="s">
        <v>198</v>
      </c>
      <c r="D1576" s="62" t="s">
        <v>35</v>
      </c>
      <c r="E1576" s="62" t="s">
        <v>804</v>
      </c>
      <c r="F1576" s="105" t="s">
        <v>50</v>
      </c>
      <c r="G1576" s="62" t="s">
        <v>1790</v>
      </c>
      <c r="H1576" s="62" t="s">
        <v>51</v>
      </c>
      <c r="I1576" s="78" t="s">
        <v>2481</v>
      </c>
      <c r="J1576" s="62" t="s">
        <v>91</v>
      </c>
      <c r="K1576" s="67" t="s">
        <v>2482</v>
      </c>
      <c r="L1576" s="70"/>
      <c r="M1576" s="62"/>
      <c r="N1576" s="62"/>
      <c r="O1576" s="64"/>
      <c r="P1576" s="79"/>
      <c r="Q1576" s="65" t="s">
        <v>43</v>
      </c>
      <c r="R1576" s="62"/>
    </row>
    <row r="1577" ht="13.8" spans="1:18">
      <c r="A1577" s="58">
        <v>1554</v>
      </c>
      <c r="B1577" s="108">
        <v>45865</v>
      </c>
      <c r="C1577" s="69" t="s">
        <v>1076</v>
      </c>
      <c r="D1577" s="62" t="s">
        <v>35</v>
      </c>
      <c r="E1577" s="62" t="s">
        <v>1077</v>
      </c>
      <c r="F1577" s="105" t="s">
        <v>36</v>
      </c>
      <c r="G1577" s="62" t="s">
        <v>61</v>
      </c>
      <c r="H1577" s="62" t="s">
        <v>56</v>
      </c>
      <c r="I1577" s="78" t="s">
        <v>1031</v>
      </c>
      <c r="J1577" s="62" t="s">
        <v>53</v>
      </c>
      <c r="K1577" s="67" t="s">
        <v>1032</v>
      </c>
      <c r="L1577" s="70"/>
      <c r="M1577" s="62"/>
      <c r="N1577" s="62"/>
      <c r="O1577" s="64"/>
      <c r="P1577" s="79"/>
      <c r="Q1577" s="65" t="s">
        <v>43</v>
      </c>
      <c r="R1577" s="62"/>
    </row>
    <row r="1578" ht="27.6" spans="1:18">
      <c r="A1578" s="58">
        <v>1555</v>
      </c>
      <c r="B1578" s="108">
        <v>45866</v>
      </c>
      <c r="C1578" s="64" t="s">
        <v>191</v>
      </c>
      <c r="D1578" s="62" t="s">
        <v>35</v>
      </c>
      <c r="E1578" s="62" t="s">
        <v>73</v>
      </c>
      <c r="F1578" s="105" t="s">
        <v>36</v>
      </c>
      <c r="G1578" s="62" t="s">
        <v>1790</v>
      </c>
      <c r="H1578" s="62" t="s">
        <v>56</v>
      </c>
      <c r="I1578" s="78" t="s">
        <v>178</v>
      </c>
      <c r="J1578" s="62" t="s">
        <v>91</v>
      </c>
      <c r="K1578" s="67" t="s">
        <v>179</v>
      </c>
      <c r="L1578" s="70"/>
      <c r="M1578" s="62"/>
      <c r="N1578" s="62"/>
      <c r="O1578" s="64"/>
      <c r="P1578" s="79"/>
      <c r="Q1578" s="65" t="s">
        <v>43</v>
      </c>
      <c r="R1578" s="62"/>
    </row>
    <row r="1579" ht="13.8" spans="1:18">
      <c r="A1579" s="58">
        <v>1556</v>
      </c>
      <c r="B1579" s="108">
        <v>45860</v>
      </c>
      <c r="C1579" s="64" t="s">
        <v>1903</v>
      </c>
      <c r="D1579" s="62" t="s">
        <v>35</v>
      </c>
      <c r="E1579" s="62" t="s">
        <v>73</v>
      </c>
      <c r="F1579" s="105" t="s">
        <v>36</v>
      </c>
      <c r="G1579" s="62" t="s">
        <v>45</v>
      </c>
      <c r="H1579" s="62" t="s">
        <v>56</v>
      </c>
      <c r="I1579" s="78" t="s">
        <v>1965</v>
      </c>
      <c r="J1579" s="62" t="s">
        <v>91</v>
      </c>
      <c r="K1579" s="67" t="s">
        <v>1966</v>
      </c>
      <c r="L1579" s="70"/>
      <c r="M1579" s="62"/>
      <c r="N1579" s="62"/>
      <c r="O1579" s="64"/>
      <c r="P1579" s="79"/>
      <c r="Q1579" s="65" t="s">
        <v>43</v>
      </c>
      <c r="R1579" s="62"/>
    </row>
    <row r="1580" ht="27.6" spans="1:18">
      <c r="A1580" s="58">
        <v>1557</v>
      </c>
      <c r="B1580" s="108">
        <v>45861</v>
      </c>
      <c r="C1580" s="60" t="s">
        <v>1938</v>
      </c>
      <c r="D1580" s="62" t="s">
        <v>35</v>
      </c>
      <c r="E1580" s="62" t="s">
        <v>73</v>
      </c>
      <c r="F1580" s="105" t="s">
        <v>36</v>
      </c>
      <c r="G1580" s="62" t="s">
        <v>131</v>
      </c>
      <c r="H1580" s="62" t="s">
        <v>128</v>
      </c>
      <c r="I1580" s="78" t="s">
        <v>1967</v>
      </c>
      <c r="J1580" s="62" t="s">
        <v>88</v>
      </c>
      <c r="K1580" s="67" t="s">
        <v>1968</v>
      </c>
      <c r="L1580" s="70"/>
      <c r="M1580" s="62"/>
      <c r="N1580" s="62"/>
      <c r="O1580" s="64"/>
      <c r="P1580" s="79"/>
      <c r="Q1580" s="65" t="s">
        <v>43</v>
      </c>
      <c r="R1580" s="62"/>
    </row>
    <row r="1581" ht="13.8" spans="1:18">
      <c r="A1581" s="58">
        <v>1558</v>
      </c>
      <c r="B1581" s="108">
        <v>45862</v>
      </c>
      <c r="C1581" s="64" t="s">
        <v>1933</v>
      </c>
      <c r="D1581" s="62" t="s">
        <v>35</v>
      </c>
      <c r="E1581" s="62" t="s">
        <v>73</v>
      </c>
      <c r="F1581" s="105" t="s">
        <v>36</v>
      </c>
      <c r="G1581" s="62" t="s">
        <v>82</v>
      </c>
      <c r="H1581" s="62" t="s">
        <v>56</v>
      </c>
      <c r="I1581" s="78" t="s">
        <v>1024</v>
      </c>
      <c r="J1581" s="62" t="s">
        <v>40</v>
      </c>
      <c r="K1581" s="67" t="s">
        <v>1407</v>
      </c>
      <c r="L1581" s="70"/>
      <c r="M1581" s="62"/>
      <c r="N1581" s="62"/>
      <c r="O1581" s="64"/>
      <c r="P1581" s="79"/>
      <c r="Q1581" s="65" t="s">
        <v>43</v>
      </c>
      <c r="R1581" s="62"/>
    </row>
    <row r="1582" ht="13.8" spans="1:18">
      <c r="A1582" s="58">
        <v>1559</v>
      </c>
      <c r="B1582" s="108">
        <v>45866</v>
      </c>
      <c r="C1582" s="60" t="s">
        <v>1938</v>
      </c>
      <c r="D1582" s="62" t="s">
        <v>35</v>
      </c>
      <c r="E1582" s="62" t="s">
        <v>73</v>
      </c>
      <c r="F1582" s="105" t="s">
        <v>36</v>
      </c>
      <c r="G1582" s="62" t="s">
        <v>131</v>
      </c>
      <c r="H1582" s="62" t="s">
        <v>56</v>
      </c>
      <c r="I1582" s="78" t="s">
        <v>437</v>
      </c>
      <c r="J1582" s="62" t="s">
        <v>40</v>
      </c>
      <c r="K1582" s="67" t="s">
        <v>438</v>
      </c>
      <c r="L1582" s="70"/>
      <c r="M1582" s="62"/>
      <c r="N1582" s="62"/>
      <c r="O1582" s="64"/>
      <c r="P1582" s="79"/>
      <c r="Q1582" s="65" t="s">
        <v>43</v>
      </c>
      <c r="R1582" s="62"/>
    </row>
    <row r="1583" ht="13.8" spans="1:18">
      <c r="A1583" s="58">
        <v>1560</v>
      </c>
      <c r="B1583" s="108">
        <v>45864</v>
      </c>
      <c r="C1583" s="64" t="s">
        <v>49</v>
      </c>
      <c r="D1583" s="62" t="s">
        <v>35</v>
      </c>
      <c r="E1583" s="62" t="s">
        <v>73</v>
      </c>
      <c r="F1583" s="105" t="s">
        <v>36</v>
      </c>
      <c r="G1583" s="62" t="s">
        <v>131</v>
      </c>
      <c r="H1583" s="62" t="s">
        <v>94</v>
      </c>
      <c r="I1583" s="78" t="s">
        <v>1028</v>
      </c>
      <c r="J1583" s="62" t="s">
        <v>91</v>
      </c>
      <c r="K1583" s="67" t="s">
        <v>1029</v>
      </c>
      <c r="L1583" s="70"/>
      <c r="M1583" s="62"/>
      <c r="N1583" s="62"/>
      <c r="O1583" s="64"/>
      <c r="P1583" s="79"/>
      <c r="Q1583" s="65" t="s">
        <v>43</v>
      </c>
      <c r="R1583" s="62"/>
    </row>
    <row r="1584" ht="27.6" spans="1:18">
      <c r="A1584" s="58">
        <v>1561</v>
      </c>
      <c r="B1584" s="108">
        <v>45865</v>
      </c>
      <c r="C1584" s="64" t="s">
        <v>198</v>
      </c>
      <c r="D1584" s="62" t="s">
        <v>35</v>
      </c>
      <c r="E1584" s="62" t="s">
        <v>73</v>
      </c>
      <c r="F1584" s="105" t="s">
        <v>36</v>
      </c>
      <c r="G1584" s="62" t="s">
        <v>93</v>
      </c>
      <c r="H1584" s="62" t="s">
        <v>56</v>
      </c>
      <c r="I1584" s="78" t="s">
        <v>1172</v>
      </c>
      <c r="J1584" s="62" t="s">
        <v>40</v>
      </c>
      <c r="K1584" s="67" t="s">
        <v>1173</v>
      </c>
      <c r="L1584" s="70"/>
      <c r="M1584" s="62"/>
      <c r="N1584" s="62"/>
      <c r="O1584" s="64"/>
      <c r="P1584" s="79"/>
      <c r="Q1584" s="65" t="s">
        <v>43</v>
      </c>
      <c r="R1584" s="62"/>
    </row>
    <row r="1585" ht="27.6" spans="1:18">
      <c r="A1585" s="58">
        <v>1562</v>
      </c>
      <c r="B1585" s="108">
        <v>45866</v>
      </c>
      <c r="C1585" s="64" t="s">
        <v>1933</v>
      </c>
      <c r="D1585" s="62" t="s">
        <v>35</v>
      </c>
      <c r="E1585" s="62" t="s">
        <v>804</v>
      </c>
      <c r="F1585" s="105" t="s">
        <v>36</v>
      </c>
      <c r="G1585" s="62" t="s">
        <v>82</v>
      </c>
      <c r="H1585" s="62" t="s">
        <v>94</v>
      </c>
      <c r="I1585" s="78" t="s">
        <v>1174</v>
      </c>
      <c r="J1585" s="62" t="s">
        <v>40</v>
      </c>
      <c r="K1585" s="67" t="s">
        <v>1175</v>
      </c>
      <c r="L1585" s="70"/>
      <c r="M1585" s="62"/>
      <c r="N1585" s="62"/>
      <c r="O1585" s="64"/>
      <c r="P1585" s="79"/>
      <c r="Q1585" s="65" t="s">
        <v>43</v>
      </c>
      <c r="R1585" s="62"/>
    </row>
    <row r="1586" ht="13.8" spans="1:18">
      <c r="A1586" s="58">
        <v>1563</v>
      </c>
      <c r="B1586" s="108">
        <v>45860</v>
      </c>
      <c r="C1586" s="81" t="s">
        <v>49</v>
      </c>
      <c r="D1586" s="65" t="s">
        <v>35</v>
      </c>
      <c r="E1586" s="65" t="s">
        <v>804</v>
      </c>
      <c r="F1586" s="107" t="s">
        <v>36</v>
      </c>
      <c r="G1586" s="65" t="s">
        <v>131</v>
      </c>
      <c r="H1586" s="65" t="s">
        <v>94</v>
      </c>
      <c r="I1586" s="80" t="s">
        <v>187</v>
      </c>
      <c r="J1586" s="65" t="s">
        <v>40</v>
      </c>
      <c r="K1586" s="91" t="s">
        <v>188</v>
      </c>
      <c r="L1586" s="87"/>
      <c r="M1586" s="65"/>
      <c r="N1586" s="65"/>
      <c r="O1586" s="81"/>
      <c r="P1586" s="82"/>
      <c r="Q1586" s="65" t="s">
        <v>43</v>
      </c>
      <c r="R1586" s="65"/>
    </row>
    <row r="1587" ht="26.4" spans="1:18">
      <c r="A1587" s="58">
        <v>1564</v>
      </c>
      <c r="B1587" s="108">
        <v>45864</v>
      </c>
      <c r="C1587" s="81" t="s">
        <v>659</v>
      </c>
      <c r="D1587" s="61" t="s">
        <v>72</v>
      </c>
      <c r="E1587" s="65" t="s">
        <v>804</v>
      </c>
      <c r="F1587" s="107" t="s">
        <v>192</v>
      </c>
      <c r="G1587" s="65" t="s">
        <v>79</v>
      </c>
      <c r="H1587" s="65" t="s">
        <v>202</v>
      </c>
      <c r="I1587" s="80" t="s">
        <v>2483</v>
      </c>
      <c r="J1587" s="65" t="s">
        <v>137</v>
      </c>
      <c r="K1587" s="91" t="s">
        <v>2484</v>
      </c>
      <c r="L1587" s="87"/>
      <c r="M1587" s="65"/>
      <c r="N1587" s="65"/>
      <c r="O1587" s="81"/>
      <c r="P1587" s="82" t="s">
        <v>42</v>
      </c>
      <c r="Q1587" s="65" t="s">
        <v>8</v>
      </c>
      <c r="R1587" s="65"/>
    </row>
    <row r="1588" ht="13.8" spans="1:18">
      <c r="A1588" s="58">
        <v>1565</v>
      </c>
      <c r="B1588" s="108">
        <v>45865</v>
      </c>
      <c r="C1588" s="81" t="s">
        <v>659</v>
      </c>
      <c r="D1588" s="61" t="s">
        <v>72</v>
      </c>
      <c r="E1588" s="65" t="s">
        <v>804</v>
      </c>
      <c r="F1588" s="107" t="s">
        <v>192</v>
      </c>
      <c r="G1588" s="65" t="s">
        <v>61</v>
      </c>
      <c r="H1588" s="65" t="s">
        <v>56</v>
      </c>
      <c r="I1588" s="80" t="s">
        <v>2485</v>
      </c>
      <c r="J1588" s="65" t="s">
        <v>137</v>
      </c>
      <c r="K1588" s="91" t="s">
        <v>2486</v>
      </c>
      <c r="L1588" s="87"/>
      <c r="M1588" s="65"/>
      <c r="N1588" s="65"/>
      <c r="O1588" s="81"/>
      <c r="P1588" s="82" t="s">
        <v>42</v>
      </c>
      <c r="Q1588" s="65" t="s">
        <v>8</v>
      </c>
      <c r="R1588" s="65"/>
    </row>
    <row r="1589" ht="27.6" spans="1:18">
      <c r="A1589" s="58">
        <v>1566</v>
      </c>
      <c r="B1589" s="108">
        <v>45864</v>
      </c>
      <c r="C1589" s="81" t="s">
        <v>640</v>
      </c>
      <c r="D1589" s="61" t="s">
        <v>72</v>
      </c>
      <c r="E1589" s="65" t="s">
        <v>804</v>
      </c>
      <c r="F1589" s="107" t="s">
        <v>192</v>
      </c>
      <c r="G1589" s="65" t="s">
        <v>45</v>
      </c>
      <c r="H1589" s="65" t="s">
        <v>56</v>
      </c>
      <c r="I1589" s="80" t="s">
        <v>2487</v>
      </c>
      <c r="J1589" s="65" t="s">
        <v>137</v>
      </c>
      <c r="K1589" s="91" t="s">
        <v>2488</v>
      </c>
      <c r="L1589" s="87"/>
      <c r="M1589" s="65"/>
      <c r="N1589" s="65"/>
      <c r="O1589" s="81"/>
      <c r="P1589" s="82" t="s">
        <v>42</v>
      </c>
      <c r="Q1589" s="65" t="s">
        <v>8</v>
      </c>
      <c r="R1589" s="65"/>
    </row>
    <row r="1590" ht="27.6" spans="1:18">
      <c r="A1590" s="58">
        <v>1567</v>
      </c>
      <c r="B1590" s="108">
        <v>45865</v>
      </c>
      <c r="C1590" s="81" t="s">
        <v>640</v>
      </c>
      <c r="D1590" s="61" t="s">
        <v>72</v>
      </c>
      <c r="E1590" s="65" t="s">
        <v>804</v>
      </c>
      <c r="F1590" s="107" t="s">
        <v>50</v>
      </c>
      <c r="G1590" s="65" t="s">
        <v>45</v>
      </c>
      <c r="H1590" s="65" t="s">
        <v>622</v>
      </c>
      <c r="I1590" s="80" t="s">
        <v>2489</v>
      </c>
      <c r="J1590" s="65" t="s">
        <v>53</v>
      </c>
      <c r="K1590" s="91" t="s">
        <v>2490</v>
      </c>
      <c r="L1590" s="87"/>
      <c r="M1590" s="65"/>
      <c r="N1590" s="65"/>
      <c r="O1590" s="81"/>
      <c r="P1590" s="82"/>
      <c r="Q1590" s="65" t="s">
        <v>43</v>
      </c>
      <c r="R1590" s="65"/>
    </row>
    <row r="1591" ht="41.4" spans="1:18">
      <c r="A1591" s="58">
        <v>1568</v>
      </c>
      <c r="B1591" s="108">
        <v>45866</v>
      </c>
      <c r="C1591" s="81" t="s">
        <v>640</v>
      </c>
      <c r="D1591" s="61" t="s">
        <v>72</v>
      </c>
      <c r="E1591" s="65" t="s">
        <v>804</v>
      </c>
      <c r="F1591" s="107" t="s">
        <v>50</v>
      </c>
      <c r="G1591" s="65" t="s">
        <v>45</v>
      </c>
      <c r="H1591" s="65" t="s">
        <v>132</v>
      </c>
      <c r="I1591" s="80" t="s">
        <v>2491</v>
      </c>
      <c r="J1591" s="65" t="s">
        <v>53</v>
      </c>
      <c r="K1591" s="91" t="s">
        <v>2492</v>
      </c>
      <c r="L1591" s="87"/>
      <c r="M1591" s="65"/>
      <c r="N1591" s="65"/>
      <c r="O1591" s="81"/>
      <c r="P1591" s="82"/>
      <c r="Q1591" s="65" t="s">
        <v>43</v>
      </c>
      <c r="R1591" s="65"/>
    </row>
    <row r="1592" ht="41.4" spans="1:18">
      <c r="A1592" s="58">
        <v>1569</v>
      </c>
      <c r="B1592" s="108">
        <v>45867</v>
      </c>
      <c r="C1592" s="81" t="s">
        <v>640</v>
      </c>
      <c r="D1592" s="61" t="s">
        <v>72</v>
      </c>
      <c r="E1592" s="65" t="s">
        <v>804</v>
      </c>
      <c r="F1592" s="107" t="s">
        <v>192</v>
      </c>
      <c r="G1592" s="65" t="s">
        <v>82</v>
      </c>
      <c r="H1592" s="65" t="s">
        <v>376</v>
      </c>
      <c r="I1592" s="80" t="s">
        <v>2493</v>
      </c>
      <c r="J1592" s="65" t="s">
        <v>137</v>
      </c>
      <c r="K1592" s="91" t="s">
        <v>2494</v>
      </c>
      <c r="L1592" s="87"/>
      <c r="M1592" s="65"/>
      <c r="N1592" s="65"/>
      <c r="O1592" s="81"/>
      <c r="P1592" s="82" t="s">
        <v>42</v>
      </c>
      <c r="Q1592" s="65" t="s">
        <v>8</v>
      </c>
      <c r="R1592" s="65"/>
    </row>
    <row r="1593" ht="41.4" spans="1:18">
      <c r="A1593" s="58">
        <v>1570</v>
      </c>
      <c r="B1593" s="108">
        <v>45867</v>
      </c>
      <c r="C1593" s="81" t="s">
        <v>640</v>
      </c>
      <c r="D1593" s="61" t="s">
        <v>72</v>
      </c>
      <c r="E1593" s="65" t="s">
        <v>804</v>
      </c>
      <c r="F1593" s="107" t="s">
        <v>36</v>
      </c>
      <c r="G1593" s="65" t="s">
        <v>82</v>
      </c>
      <c r="H1593" s="65" t="s">
        <v>56</v>
      </c>
      <c r="I1593" s="80" t="s">
        <v>2495</v>
      </c>
      <c r="J1593" s="65" t="s">
        <v>53</v>
      </c>
      <c r="K1593" s="91" t="s">
        <v>2496</v>
      </c>
      <c r="L1593" s="87" t="s">
        <v>2497</v>
      </c>
      <c r="M1593" s="65"/>
      <c r="N1593" s="65"/>
      <c r="O1593" s="81"/>
      <c r="P1593" s="82"/>
      <c r="Q1593" s="65" t="s">
        <v>43</v>
      </c>
      <c r="R1593" s="65"/>
    </row>
    <row r="1594" ht="41.4" spans="1:18">
      <c r="A1594" s="58">
        <v>1571</v>
      </c>
      <c r="B1594" s="108">
        <v>45868</v>
      </c>
      <c r="C1594" s="81" t="s">
        <v>640</v>
      </c>
      <c r="D1594" s="61" t="s">
        <v>72</v>
      </c>
      <c r="E1594" s="65" t="s">
        <v>804</v>
      </c>
      <c r="F1594" s="107" t="s">
        <v>36</v>
      </c>
      <c r="G1594" s="65" t="s">
        <v>65</v>
      </c>
      <c r="H1594" s="65" t="s">
        <v>46</v>
      </c>
      <c r="I1594" s="80" t="s">
        <v>2498</v>
      </c>
      <c r="J1594" s="65" t="s">
        <v>53</v>
      </c>
      <c r="K1594" s="91" t="s">
        <v>2499</v>
      </c>
      <c r="L1594" s="87" t="s">
        <v>2500</v>
      </c>
      <c r="M1594" s="65"/>
      <c r="N1594" s="65"/>
      <c r="O1594" s="81"/>
      <c r="P1594" s="82"/>
      <c r="Q1594" s="65" t="s">
        <v>43</v>
      </c>
      <c r="R1594" s="65"/>
    </row>
    <row r="1595" ht="41.4" spans="1:18">
      <c r="A1595" s="58">
        <v>1572</v>
      </c>
      <c r="B1595" s="108">
        <v>45869</v>
      </c>
      <c r="C1595" s="81" t="s">
        <v>640</v>
      </c>
      <c r="D1595" s="61" t="s">
        <v>72</v>
      </c>
      <c r="E1595" s="65" t="s">
        <v>804</v>
      </c>
      <c r="F1595" s="107" t="s">
        <v>36</v>
      </c>
      <c r="G1595" s="65" t="s">
        <v>93</v>
      </c>
      <c r="H1595" s="65" t="s">
        <v>66</v>
      </c>
      <c r="I1595" s="80" t="s">
        <v>2501</v>
      </c>
      <c r="J1595" s="65" t="s">
        <v>53</v>
      </c>
      <c r="K1595" s="91" t="s">
        <v>2502</v>
      </c>
      <c r="L1595" s="87" t="s">
        <v>2503</v>
      </c>
      <c r="M1595" s="65"/>
      <c r="N1595" s="65"/>
      <c r="O1595" s="81"/>
      <c r="P1595" s="82"/>
      <c r="Q1595" s="65" t="s">
        <v>43</v>
      </c>
      <c r="R1595" s="65"/>
    </row>
    <row r="1596" ht="13.8" spans="1:18">
      <c r="A1596" s="58">
        <v>1573</v>
      </c>
      <c r="B1596" s="108">
        <v>45868</v>
      </c>
      <c r="C1596" s="81" t="s">
        <v>659</v>
      </c>
      <c r="D1596" s="61" t="s">
        <v>72</v>
      </c>
      <c r="E1596" s="65" t="s">
        <v>804</v>
      </c>
      <c r="F1596" s="107" t="s">
        <v>50</v>
      </c>
      <c r="G1596" s="65" t="s">
        <v>1850</v>
      </c>
      <c r="H1596" s="65" t="s">
        <v>46</v>
      </c>
      <c r="I1596" s="80" t="s">
        <v>2504</v>
      </c>
      <c r="J1596" s="65" t="s">
        <v>53</v>
      </c>
      <c r="K1596" s="91" t="s">
        <v>2505</v>
      </c>
      <c r="L1596" s="87"/>
      <c r="M1596" s="65"/>
      <c r="N1596" s="65"/>
      <c r="O1596" s="81"/>
      <c r="P1596" s="82"/>
      <c r="Q1596" s="65" t="s">
        <v>43</v>
      </c>
      <c r="R1596" s="65"/>
    </row>
    <row r="1597" ht="26.4" spans="1:18">
      <c r="A1597" s="58">
        <v>1574</v>
      </c>
      <c r="B1597" s="108">
        <v>45866</v>
      </c>
      <c r="C1597" s="81" t="s">
        <v>659</v>
      </c>
      <c r="D1597" s="61" t="s">
        <v>72</v>
      </c>
      <c r="E1597" s="65" t="s">
        <v>804</v>
      </c>
      <c r="F1597" s="107" t="s">
        <v>36</v>
      </c>
      <c r="G1597" s="65" t="s">
        <v>588</v>
      </c>
      <c r="H1597" s="65" t="s">
        <v>234</v>
      </c>
      <c r="I1597" s="80" t="s">
        <v>2506</v>
      </c>
      <c r="J1597" s="65" t="s">
        <v>88</v>
      </c>
      <c r="K1597" s="91" t="s">
        <v>2507</v>
      </c>
      <c r="L1597" s="87"/>
      <c r="M1597" s="65"/>
      <c r="N1597" s="65"/>
      <c r="O1597" s="81"/>
      <c r="P1597" s="82"/>
      <c r="Q1597" s="65" t="s">
        <v>43</v>
      </c>
      <c r="R1597" s="65"/>
    </row>
    <row r="1598" ht="39.6" spans="1:18">
      <c r="A1598" s="58">
        <v>1575</v>
      </c>
      <c r="B1598" s="108">
        <v>45867</v>
      </c>
      <c r="C1598" s="81" t="s">
        <v>659</v>
      </c>
      <c r="D1598" s="61" t="s">
        <v>72</v>
      </c>
      <c r="E1598" s="65" t="s">
        <v>804</v>
      </c>
      <c r="F1598" s="107" t="s">
        <v>36</v>
      </c>
      <c r="G1598" s="65" t="s">
        <v>588</v>
      </c>
      <c r="H1598" s="65" t="s">
        <v>234</v>
      </c>
      <c r="I1598" s="80" t="s">
        <v>2508</v>
      </c>
      <c r="J1598" s="65" t="s">
        <v>88</v>
      </c>
      <c r="K1598" s="91" t="s">
        <v>2507</v>
      </c>
      <c r="L1598" s="87"/>
      <c r="M1598" s="65"/>
      <c r="N1598" s="65"/>
      <c r="O1598" s="81"/>
      <c r="P1598" s="82"/>
      <c r="Q1598" s="65" t="s">
        <v>43</v>
      </c>
      <c r="R1598" s="65"/>
    </row>
    <row r="1599" ht="27.6" spans="1:18">
      <c r="A1599" s="58">
        <v>1576</v>
      </c>
      <c r="B1599" s="108">
        <v>45865</v>
      </c>
      <c r="C1599" s="81" t="s">
        <v>597</v>
      </c>
      <c r="D1599" s="61" t="s">
        <v>60</v>
      </c>
      <c r="E1599" s="65" t="s">
        <v>804</v>
      </c>
      <c r="F1599" s="107" t="s">
        <v>36</v>
      </c>
      <c r="G1599" s="65" t="s">
        <v>588</v>
      </c>
      <c r="H1599" s="65" t="s">
        <v>1632</v>
      </c>
      <c r="I1599" s="80" t="s">
        <v>2509</v>
      </c>
      <c r="J1599" s="65" t="s">
        <v>88</v>
      </c>
      <c r="K1599" s="91" t="s">
        <v>2510</v>
      </c>
      <c r="L1599" s="87" t="s">
        <v>2511</v>
      </c>
      <c r="M1599" s="65"/>
      <c r="N1599" s="65"/>
      <c r="O1599" s="81"/>
      <c r="P1599" s="82"/>
      <c r="Q1599" s="65" t="s">
        <v>43</v>
      </c>
      <c r="R1599" s="65"/>
    </row>
    <row r="1600" ht="27.6" spans="1:18">
      <c r="A1600" s="58">
        <v>1577</v>
      </c>
      <c r="B1600" s="108">
        <v>45865</v>
      </c>
      <c r="C1600" s="81" t="s">
        <v>597</v>
      </c>
      <c r="D1600" s="61" t="s">
        <v>60</v>
      </c>
      <c r="E1600" s="65" t="s">
        <v>804</v>
      </c>
      <c r="F1600" s="107" t="s">
        <v>135</v>
      </c>
      <c r="G1600" s="65" t="s">
        <v>588</v>
      </c>
      <c r="H1600" s="65" t="s">
        <v>144</v>
      </c>
      <c r="I1600" s="80" t="s">
        <v>2512</v>
      </c>
      <c r="J1600" s="65" t="s">
        <v>137</v>
      </c>
      <c r="K1600" s="91" t="s">
        <v>2513</v>
      </c>
      <c r="L1600" s="87"/>
      <c r="M1600" s="65"/>
      <c r="N1600" s="65"/>
      <c r="O1600" s="81"/>
      <c r="P1600" s="82" t="s">
        <v>42</v>
      </c>
      <c r="Q1600" s="65" t="s">
        <v>8</v>
      </c>
      <c r="R1600" s="65"/>
    </row>
    <row r="1601" ht="27.6" spans="1:18">
      <c r="A1601" s="58">
        <v>1578</v>
      </c>
      <c r="B1601" s="108">
        <v>45865</v>
      </c>
      <c r="C1601" s="81" t="s">
        <v>597</v>
      </c>
      <c r="D1601" s="61" t="s">
        <v>60</v>
      </c>
      <c r="E1601" s="65" t="s">
        <v>804</v>
      </c>
      <c r="F1601" s="107" t="s">
        <v>50</v>
      </c>
      <c r="G1601" s="65" t="s">
        <v>588</v>
      </c>
      <c r="H1601" s="65" t="s">
        <v>46</v>
      </c>
      <c r="I1601" s="80" t="s">
        <v>2514</v>
      </c>
      <c r="J1601" s="65" t="s">
        <v>88</v>
      </c>
      <c r="K1601" s="91" t="s">
        <v>2515</v>
      </c>
      <c r="L1601" s="87" t="s">
        <v>2516</v>
      </c>
      <c r="M1601" s="65"/>
      <c r="N1601" s="65"/>
      <c r="O1601" s="81"/>
      <c r="P1601" s="82"/>
      <c r="Q1601" s="65" t="s">
        <v>43</v>
      </c>
      <c r="R1601" s="65"/>
    </row>
    <row r="1602" ht="26.4" spans="1:18">
      <c r="A1602" s="58">
        <v>1579</v>
      </c>
      <c r="B1602" s="108">
        <v>45865</v>
      </c>
      <c r="C1602" s="81" t="s">
        <v>85</v>
      </c>
      <c r="D1602" s="61" t="s">
        <v>60</v>
      </c>
      <c r="E1602" s="65" t="s">
        <v>804</v>
      </c>
      <c r="F1602" s="107" t="s">
        <v>192</v>
      </c>
      <c r="G1602" s="65" t="s">
        <v>1850</v>
      </c>
      <c r="H1602" s="65" t="s">
        <v>51</v>
      </c>
      <c r="I1602" s="80" t="s">
        <v>2517</v>
      </c>
      <c r="J1602" s="65" t="s">
        <v>137</v>
      </c>
      <c r="K1602" s="91" t="s">
        <v>2518</v>
      </c>
      <c r="L1602" s="87"/>
      <c r="M1602" s="65"/>
      <c r="N1602" s="65"/>
      <c r="O1602" s="81"/>
      <c r="P1602" s="82" t="s">
        <v>42</v>
      </c>
      <c r="Q1602" s="65" t="s">
        <v>8</v>
      </c>
      <c r="R1602" s="65"/>
    </row>
    <row r="1603" ht="39.6" spans="1:18">
      <c r="A1603" s="58">
        <v>1580</v>
      </c>
      <c r="B1603" s="108">
        <v>45865</v>
      </c>
      <c r="C1603" s="81" t="s">
        <v>85</v>
      </c>
      <c r="D1603" s="61" t="s">
        <v>60</v>
      </c>
      <c r="E1603" s="65" t="s">
        <v>804</v>
      </c>
      <c r="F1603" s="107" t="s">
        <v>192</v>
      </c>
      <c r="G1603" s="65" t="s">
        <v>65</v>
      </c>
      <c r="H1603" s="65" t="s">
        <v>360</v>
      </c>
      <c r="I1603" s="80" t="s">
        <v>2519</v>
      </c>
      <c r="J1603" s="65" t="s">
        <v>137</v>
      </c>
      <c r="K1603" s="91" t="s">
        <v>2520</v>
      </c>
      <c r="L1603" s="87" t="s">
        <v>2521</v>
      </c>
      <c r="M1603" s="65"/>
      <c r="N1603" s="65"/>
      <c r="O1603" s="81"/>
      <c r="P1603" s="82" t="s">
        <v>42</v>
      </c>
      <c r="Q1603" s="65" t="s">
        <v>8</v>
      </c>
      <c r="R1603" s="65"/>
    </row>
    <row r="1604" ht="55.2" spans="1:18">
      <c r="A1604" s="58">
        <v>1581</v>
      </c>
      <c r="B1604" s="108">
        <v>45865</v>
      </c>
      <c r="C1604" s="81" t="s">
        <v>85</v>
      </c>
      <c r="D1604" s="61" t="s">
        <v>60</v>
      </c>
      <c r="E1604" s="65" t="s">
        <v>804</v>
      </c>
      <c r="F1604" s="107" t="s">
        <v>36</v>
      </c>
      <c r="G1604" s="65" t="s">
        <v>65</v>
      </c>
      <c r="H1604" s="65" t="s">
        <v>38</v>
      </c>
      <c r="I1604" s="80" t="s">
        <v>2522</v>
      </c>
      <c r="J1604" s="65" t="s">
        <v>88</v>
      </c>
      <c r="K1604" s="91" t="s">
        <v>2523</v>
      </c>
      <c r="L1604" s="87" t="s">
        <v>2521</v>
      </c>
      <c r="M1604" s="65"/>
      <c r="N1604" s="65"/>
      <c r="O1604" s="81"/>
      <c r="P1604" s="82"/>
      <c r="Q1604" s="65" t="s">
        <v>43</v>
      </c>
      <c r="R1604" s="65"/>
    </row>
    <row r="1605" ht="13.8" spans="1:18">
      <c r="A1605" s="58">
        <v>1582</v>
      </c>
      <c r="B1605" s="108">
        <v>45868</v>
      </c>
      <c r="C1605" s="81" t="s">
        <v>1608</v>
      </c>
      <c r="D1605" s="61" t="s">
        <v>60</v>
      </c>
      <c r="E1605" s="62" t="s">
        <v>163</v>
      </c>
      <c r="F1605" s="107" t="s">
        <v>135</v>
      </c>
      <c r="G1605" s="65" t="s">
        <v>55</v>
      </c>
      <c r="H1605" s="65" t="s">
        <v>56</v>
      </c>
      <c r="I1605" s="80" t="s">
        <v>2524</v>
      </c>
      <c r="J1605" s="65" t="s">
        <v>137</v>
      </c>
      <c r="K1605" s="91" t="s">
        <v>2525</v>
      </c>
      <c r="L1605" s="87"/>
      <c r="M1605" s="65"/>
      <c r="N1605" s="65"/>
      <c r="O1605" s="81"/>
      <c r="P1605" s="82" t="s">
        <v>42</v>
      </c>
      <c r="Q1605" s="65" t="s">
        <v>8</v>
      </c>
      <c r="R1605" s="65"/>
    </row>
    <row r="1606" ht="26.4" spans="1:18">
      <c r="A1606" s="58">
        <v>1583</v>
      </c>
      <c r="B1606" s="108">
        <v>45869</v>
      </c>
      <c r="C1606" s="81" t="s">
        <v>1608</v>
      </c>
      <c r="D1606" s="61" t="s">
        <v>60</v>
      </c>
      <c r="E1606" s="62" t="s">
        <v>163</v>
      </c>
      <c r="F1606" s="107" t="s">
        <v>135</v>
      </c>
      <c r="G1606" s="65" t="s">
        <v>588</v>
      </c>
      <c r="H1606" s="65" t="s">
        <v>1632</v>
      </c>
      <c r="I1606" s="80" t="s">
        <v>2526</v>
      </c>
      <c r="J1606" s="65" t="s">
        <v>137</v>
      </c>
      <c r="K1606" s="91" t="s">
        <v>2525</v>
      </c>
      <c r="L1606" s="87"/>
      <c r="M1606" s="65"/>
      <c r="N1606" s="65"/>
      <c r="O1606" s="81"/>
      <c r="P1606" s="82" t="s">
        <v>42</v>
      </c>
      <c r="Q1606" s="65" t="s">
        <v>8</v>
      </c>
      <c r="R1606" s="65"/>
    </row>
    <row r="1607" ht="27.6" spans="1:18">
      <c r="A1607" s="58">
        <v>1584</v>
      </c>
      <c r="B1607" s="108">
        <v>45866</v>
      </c>
      <c r="C1607" s="60" t="s">
        <v>100</v>
      </c>
      <c r="D1607" s="61" t="s">
        <v>60</v>
      </c>
      <c r="E1607" s="65" t="s">
        <v>101</v>
      </c>
      <c r="F1607" s="107" t="s">
        <v>36</v>
      </c>
      <c r="G1607" s="65" t="s">
        <v>131</v>
      </c>
      <c r="H1607" s="65" t="s">
        <v>56</v>
      </c>
      <c r="I1607" s="80" t="s">
        <v>2527</v>
      </c>
      <c r="J1607" s="65" t="s">
        <v>88</v>
      </c>
      <c r="K1607" s="91" t="s">
        <v>2528</v>
      </c>
      <c r="L1607" s="87"/>
      <c r="M1607" s="65"/>
      <c r="N1607" s="65"/>
      <c r="O1607" s="81"/>
      <c r="P1607" s="82"/>
      <c r="Q1607" s="65" t="s">
        <v>43</v>
      </c>
      <c r="R1607" s="65"/>
    </row>
    <row r="1608" ht="27.6" spans="1:18">
      <c r="A1608" s="58">
        <v>1585</v>
      </c>
      <c r="B1608" s="108">
        <v>45866</v>
      </c>
      <c r="C1608" s="60" t="s">
        <v>100</v>
      </c>
      <c r="D1608" s="61" t="s">
        <v>60</v>
      </c>
      <c r="E1608" s="65" t="s">
        <v>101</v>
      </c>
      <c r="F1608" s="107" t="s">
        <v>36</v>
      </c>
      <c r="G1608" s="65" t="s">
        <v>79</v>
      </c>
      <c r="H1608" s="65" t="s">
        <v>56</v>
      </c>
      <c r="I1608" s="80" t="s">
        <v>2529</v>
      </c>
      <c r="J1608" s="65" t="s">
        <v>88</v>
      </c>
      <c r="K1608" s="91" t="s">
        <v>2528</v>
      </c>
      <c r="L1608" s="87"/>
      <c r="M1608" s="65"/>
      <c r="N1608" s="65"/>
      <c r="O1608" s="81"/>
      <c r="P1608" s="82"/>
      <c r="Q1608" s="65" t="s">
        <v>43</v>
      </c>
      <c r="R1608" s="65"/>
    </row>
    <row r="1609" ht="27.6" spans="1:18">
      <c r="A1609" s="58">
        <v>1586</v>
      </c>
      <c r="B1609" s="108">
        <v>45866</v>
      </c>
      <c r="C1609" s="81" t="s">
        <v>717</v>
      </c>
      <c r="D1609" s="61" t="s">
        <v>60</v>
      </c>
      <c r="E1609" s="62" t="s">
        <v>163</v>
      </c>
      <c r="F1609" s="107" t="s">
        <v>36</v>
      </c>
      <c r="G1609" s="65" t="s">
        <v>65</v>
      </c>
      <c r="H1609" s="65" t="s">
        <v>51</v>
      </c>
      <c r="I1609" s="80" t="s">
        <v>2530</v>
      </c>
      <c r="J1609" s="65" t="s">
        <v>88</v>
      </c>
      <c r="K1609" s="91" t="s">
        <v>2531</v>
      </c>
      <c r="L1609" s="87"/>
      <c r="M1609" s="65"/>
      <c r="N1609" s="65"/>
      <c r="O1609" s="81"/>
      <c r="P1609" s="82"/>
      <c r="Q1609" s="65" t="s">
        <v>43</v>
      </c>
      <c r="R1609" s="65"/>
    </row>
    <row r="1610" ht="26.4" spans="1:18">
      <c r="A1610" s="58">
        <v>1587</v>
      </c>
      <c r="B1610" s="108">
        <v>45866</v>
      </c>
      <c r="C1610" s="81" t="s">
        <v>717</v>
      </c>
      <c r="D1610" s="61" t="s">
        <v>60</v>
      </c>
      <c r="E1610" s="62" t="s">
        <v>163</v>
      </c>
      <c r="F1610" s="107" t="s">
        <v>36</v>
      </c>
      <c r="G1610" s="65" t="s">
        <v>588</v>
      </c>
      <c r="H1610" s="65" t="s">
        <v>1632</v>
      </c>
      <c r="I1610" s="80" t="s">
        <v>2532</v>
      </c>
      <c r="J1610" s="65" t="s">
        <v>88</v>
      </c>
      <c r="K1610" s="91" t="s">
        <v>2533</v>
      </c>
      <c r="L1610" s="87" t="s">
        <v>2534</v>
      </c>
      <c r="M1610" s="65"/>
      <c r="N1610" s="65"/>
      <c r="O1610" s="81"/>
      <c r="P1610" s="82"/>
      <c r="Q1610" s="65" t="s">
        <v>43</v>
      </c>
      <c r="R1610" s="65"/>
    </row>
    <row r="1611" ht="41.4" spans="1:18">
      <c r="A1611" s="58">
        <v>1588</v>
      </c>
      <c r="B1611" s="108">
        <v>45876</v>
      </c>
      <c r="C1611" s="81" t="s">
        <v>641</v>
      </c>
      <c r="D1611" s="61" t="s">
        <v>72</v>
      </c>
      <c r="E1611" s="65" t="s">
        <v>804</v>
      </c>
      <c r="F1611" s="107" t="s">
        <v>36</v>
      </c>
      <c r="G1611" s="65" t="s">
        <v>45</v>
      </c>
      <c r="H1611" s="65" t="s">
        <v>38</v>
      </c>
      <c r="I1611" s="80" t="s">
        <v>2535</v>
      </c>
      <c r="J1611" s="65" t="s">
        <v>53</v>
      </c>
      <c r="K1611" s="91" t="s">
        <v>2536</v>
      </c>
      <c r="L1611" s="87"/>
      <c r="M1611" s="65"/>
      <c r="N1611" s="65"/>
      <c r="O1611" s="81"/>
      <c r="P1611" s="82"/>
      <c r="Q1611" s="65" t="s">
        <v>43</v>
      </c>
      <c r="R1611" s="65"/>
    </row>
    <row r="1612" ht="27.6" spans="1:18">
      <c r="A1612" s="58">
        <v>1589</v>
      </c>
      <c r="B1612" s="108">
        <v>45871</v>
      </c>
      <c r="C1612" s="81" t="s">
        <v>640</v>
      </c>
      <c r="D1612" s="61" t="s">
        <v>72</v>
      </c>
      <c r="E1612" s="65" t="s">
        <v>804</v>
      </c>
      <c r="F1612" s="107" t="s">
        <v>36</v>
      </c>
      <c r="G1612" s="65" t="s">
        <v>82</v>
      </c>
      <c r="H1612" s="65" t="s">
        <v>94</v>
      </c>
      <c r="I1612" s="80" t="s">
        <v>2537</v>
      </c>
      <c r="J1612" s="65" t="s">
        <v>53</v>
      </c>
      <c r="K1612" s="91" t="s">
        <v>2538</v>
      </c>
      <c r="L1612" s="87"/>
      <c r="M1612" s="65"/>
      <c r="N1612" s="65"/>
      <c r="O1612" s="81"/>
      <c r="P1612" s="82"/>
      <c r="Q1612" s="65" t="s">
        <v>43</v>
      </c>
      <c r="R1612" s="65"/>
    </row>
    <row r="1613" ht="41.4" spans="1:18">
      <c r="A1613" s="58">
        <v>1590</v>
      </c>
      <c r="B1613" s="108">
        <v>45871</v>
      </c>
      <c r="C1613" s="81" t="s">
        <v>640</v>
      </c>
      <c r="D1613" s="61" t="s">
        <v>72</v>
      </c>
      <c r="E1613" s="65" t="s">
        <v>804</v>
      </c>
      <c r="F1613" s="107" t="s">
        <v>36</v>
      </c>
      <c r="G1613" s="65" t="s">
        <v>1850</v>
      </c>
      <c r="H1613" s="65" t="s">
        <v>56</v>
      </c>
      <c r="I1613" s="80" t="s">
        <v>2539</v>
      </c>
      <c r="J1613" s="65" t="s">
        <v>53</v>
      </c>
      <c r="K1613" s="91" t="s">
        <v>2540</v>
      </c>
      <c r="L1613" s="87"/>
      <c r="M1613" s="65"/>
      <c r="N1613" s="65"/>
      <c r="O1613" s="81"/>
      <c r="P1613" s="82"/>
      <c r="Q1613" s="65" t="s">
        <v>43</v>
      </c>
      <c r="R1613" s="65"/>
    </row>
    <row r="1614" ht="27.6" spans="1:18">
      <c r="A1614" s="58">
        <v>1591</v>
      </c>
      <c r="B1614" s="108">
        <v>45876</v>
      </c>
      <c r="C1614" s="81" t="s">
        <v>641</v>
      </c>
      <c r="D1614" s="61" t="s">
        <v>72</v>
      </c>
      <c r="E1614" s="65" t="s">
        <v>804</v>
      </c>
      <c r="F1614" s="107" t="s">
        <v>36</v>
      </c>
      <c r="G1614" s="65" t="s">
        <v>82</v>
      </c>
      <c r="H1614" s="65" t="s">
        <v>94</v>
      </c>
      <c r="I1614" s="80" t="s">
        <v>2541</v>
      </c>
      <c r="J1614" s="65" t="s">
        <v>53</v>
      </c>
      <c r="K1614" s="91" t="s">
        <v>2542</v>
      </c>
      <c r="L1614" s="87"/>
      <c r="M1614" s="65"/>
      <c r="N1614" s="65"/>
      <c r="O1614" s="81"/>
      <c r="P1614" s="82"/>
      <c r="Q1614" s="65" t="s">
        <v>43</v>
      </c>
      <c r="R1614" s="65"/>
    </row>
    <row r="1615" ht="27.6" spans="1:18">
      <c r="A1615" s="58">
        <v>1592</v>
      </c>
      <c r="B1615" s="108">
        <v>45872</v>
      </c>
      <c r="C1615" s="81" t="s">
        <v>640</v>
      </c>
      <c r="D1615" s="61" t="s">
        <v>72</v>
      </c>
      <c r="E1615" s="65" t="s">
        <v>804</v>
      </c>
      <c r="F1615" s="107" t="s">
        <v>36</v>
      </c>
      <c r="G1615" s="65" t="s">
        <v>79</v>
      </c>
      <c r="H1615" s="65" t="s">
        <v>46</v>
      </c>
      <c r="I1615" s="80" t="s">
        <v>2543</v>
      </c>
      <c r="J1615" s="65" t="s">
        <v>53</v>
      </c>
      <c r="K1615" s="91" t="s">
        <v>2544</v>
      </c>
      <c r="L1615" s="87"/>
      <c r="M1615" s="65"/>
      <c r="N1615" s="65"/>
      <c r="O1615" s="81"/>
      <c r="P1615" s="82"/>
      <c r="Q1615" s="65" t="s">
        <v>43</v>
      </c>
      <c r="R1615" s="65"/>
    </row>
    <row r="1616" ht="27.6" spans="1:18">
      <c r="A1616" s="58">
        <v>1593</v>
      </c>
      <c r="B1616" s="108">
        <v>45876</v>
      </c>
      <c r="C1616" s="81" t="s">
        <v>641</v>
      </c>
      <c r="D1616" s="61" t="s">
        <v>72</v>
      </c>
      <c r="E1616" s="65" t="s">
        <v>804</v>
      </c>
      <c r="F1616" s="107" t="s">
        <v>36</v>
      </c>
      <c r="G1616" s="65" t="s">
        <v>1850</v>
      </c>
      <c r="H1616" s="65" t="s">
        <v>56</v>
      </c>
      <c r="I1616" s="80" t="s">
        <v>2545</v>
      </c>
      <c r="J1616" s="65" t="s">
        <v>53</v>
      </c>
      <c r="K1616" s="91" t="s">
        <v>2546</v>
      </c>
      <c r="L1616" s="87"/>
      <c r="M1616" s="65"/>
      <c r="N1616" s="65"/>
      <c r="O1616" s="81"/>
      <c r="P1616" s="82"/>
      <c r="Q1616" s="65" t="s">
        <v>43</v>
      </c>
      <c r="R1616" s="65"/>
    </row>
    <row r="1617" ht="27.6" spans="1:18">
      <c r="A1617" s="58">
        <v>1594</v>
      </c>
      <c r="B1617" s="108">
        <v>45873</v>
      </c>
      <c r="C1617" s="81" t="s">
        <v>640</v>
      </c>
      <c r="D1617" s="61" t="s">
        <v>72</v>
      </c>
      <c r="E1617" s="65" t="s">
        <v>804</v>
      </c>
      <c r="F1617" s="107" t="s">
        <v>36</v>
      </c>
      <c r="G1617" s="65" t="s">
        <v>45</v>
      </c>
      <c r="H1617" s="65" t="s">
        <v>94</v>
      </c>
      <c r="I1617" s="80" t="s">
        <v>2547</v>
      </c>
      <c r="J1617" s="65" t="s">
        <v>53</v>
      </c>
      <c r="K1617" s="91" t="s">
        <v>2548</v>
      </c>
      <c r="L1617" s="87"/>
      <c r="M1617" s="65"/>
      <c r="N1617" s="65"/>
      <c r="O1617" s="81"/>
      <c r="P1617" s="82"/>
      <c r="Q1617" s="65" t="s">
        <v>43</v>
      </c>
      <c r="R1617" s="65"/>
    </row>
    <row r="1618" ht="26.4" spans="1:18">
      <c r="A1618" s="58">
        <v>1595</v>
      </c>
      <c r="B1618" s="108">
        <v>45876</v>
      </c>
      <c r="C1618" s="81" t="s">
        <v>641</v>
      </c>
      <c r="D1618" s="61" t="s">
        <v>72</v>
      </c>
      <c r="E1618" s="65" t="s">
        <v>804</v>
      </c>
      <c r="F1618" s="107" t="s">
        <v>135</v>
      </c>
      <c r="G1618" s="65" t="s">
        <v>45</v>
      </c>
      <c r="H1618" s="65" t="s">
        <v>94</v>
      </c>
      <c r="I1618" s="80" t="s">
        <v>2549</v>
      </c>
      <c r="J1618" s="65" t="s">
        <v>137</v>
      </c>
      <c r="K1618" s="91" t="s">
        <v>2550</v>
      </c>
      <c r="L1618" s="87"/>
      <c r="M1618" s="65"/>
      <c r="N1618" s="65"/>
      <c r="O1618" s="81"/>
      <c r="P1618" s="82" t="s">
        <v>42</v>
      </c>
      <c r="Q1618" s="65" t="s">
        <v>8</v>
      </c>
      <c r="R1618" s="65"/>
    </row>
    <row r="1619" ht="41.4" spans="1:18">
      <c r="A1619" s="58">
        <v>1596</v>
      </c>
      <c r="B1619" s="108">
        <v>45875</v>
      </c>
      <c r="C1619" s="81" t="s">
        <v>640</v>
      </c>
      <c r="D1619" s="61" t="s">
        <v>72</v>
      </c>
      <c r="E1619" s="65" t="s">
        <v>804</v>
      </c>
      <c r="F1619" s="107" t="s">
        <v>135</v>
      </c>
      <c r="G1619" s="65" t="s">
        <v>37</v>
      </c>
      <c r="H1619" s="65" t="s">
        <v>56</v>
      </c>
      <c r="I1619" s="80" t="s">
        <v>2551</v>
      </c>
      <c r="J1619" s="65" t="s">
        <v>137</v>
      </c>
      <c r="K1619" s="91" t="s">
        <v>2552</v>
      </c>
      <c r="L1619" s="87" t="s">
        <v>2553</v>
      </c>
      <c r="M1619" s="65"/>
      <c r="N1619" s="65"/>
      <c r="O1619" s="81"/>
      <c r="P1619" s="82" t="s">
        <v>42</v>
      </c>
      <c r="Q1619" s="65" t="s">
        <v>8</v>
      </c>
      <c r="R1619" s="65"/>
    </row>
    <row r="1620" ht="41.4" spans="1:18">
      <c r="A1620" s="58">
        <v>1597</v>
      </c>
      <c r="B1620" s="108">
        <v>45876</v>
      </c>
      <c r="C1620" s="81" t="s">
        <v>640</v>
      </c>
      <c r="D1620" s="61" t="s">
        <v>72</v>
      </c>
      <c r="E1620" s="65" t="s">
        <v>804</v>
      </c>
      <c r="F1620" s="107" t="s">
        <v>36</v>
      </c>
      <c r="G1620" s="65" t="s">
        <v>61</v>
      </c>
      <c r="H1620" s="65" t="s">
        <v>56</v>
      </c>
      <c r="I1620" s="80" t="s">
        <v>2554</v>
      </c>
      <c r="J1620" s="65" t="s">
        <v>53</v>
      </c>
      <c r="K1620" s="91" t="s">
        <v>2552</v>
      </c>
      <c r="L1620" s="87"/>
      <c r="M1620" s="65"/>
      <c r="N1620" s="65"/>
      <c r="O1620" s="81"/>
      <c r="P1620" s="82"/>
      <c r="Q1620" s="65" t="s">
        <v>43</v>
      </c>
      <c r="R1620" s="65"/>
    </row>
    <row r="1621" ht="41.4" spans="1:18">
      <c r="A1621" s="58">
        <v>1598</v>
      </c>
      <c r="B1621" s="108">
        <v>45877</v>
      </c>
      <c r="C1621" s="81" t="s">
        <v>640</v>
      </c>
      <c r="D1621" s="61" t="s">
        <v>72</v>
      </c>
      <c r="E1621" s="65" t="s">
        <v>804</v>
      </c>
      <c r="F1621" s="107" t="s">
        <v>50</v>
      </c>
      <c r="G1621" s="65" t="s">
        <v>55</v>
      </c>
      <c r="H1621" s="65" t="s">
        <v>51</v>
      </c>
      <c r="I1621" s="80" t="s">
        <v>2555</v>
      </c>
      <c r="J1621" s="65" t="s">
        <v>53</v>
      </c>
      <c r="K1621" s="91" t="s">
        <v>2552</v>
      </c>
      <c r="L1621" s="87"/>
      <c r="M1621" s="65"/>
      <c r="N1621" s="65"/>
      <c r="O1621" s="81"/>
      <c r="P1621" s="82"/>
      <c r="Q1621" s="65" t="s">
        <v>43</v>
      </c>
      <c r="R1621" s="65"/>
    </row>
    <row r="1622" ht="27.6" spans="1:18">
      <c r="A1622" s="58">
        <v>1599</v>
      </c>
      <c r="B1622" s="108">
        <v>45870</v>
      </c>
      <c r="C1622" s="81" t="s">
        <v>620</v>
      </c>
      <c r="D1622" s="61" t="s">
        <v>60</v>
      </c>
      <c r="E1622" s="62" t="s">
        <v>621</v>
      </c>
      <c r="F1622" s="107" t="s">
        <v>50</v>
      </c>
      <c r="G1622" s="65" t="s">
        <v>55</v>
      </c>
      <c r="H1622" s="65" t="s">
        <v>51</v>
      </c>
      <c r="I1622" s="80" t="s">
        <v>2556</v>
      </c>
      <c r="J1622" s="65" t="s">
        <v>53</v>
      </c>
      <c r="K1622" s="91" t="s">
        <v>2557</v>
      </c>
      <c r="L1622" s="87" t="s">
        <v>1823</v>
      </c>
      <c r="M1622" s="65"/>
      <c r="N1622" s="65"/>
      <c r="O1622" s="81"/>
      <c r="P1622" s="82"/>
      <c r="Q1622" s="65" t="s">
        <v>43</v>
      </c>
      <c r="R1622" s="65"/>
    </row>
    <row r="1623" ht="41.4" spans="1:18">
      <c r="A1623" s="58">
        <v>1600</v>
      </c>
      <c r="B1623" s="108">
        <v>45870</v>
      </c>
      <c r="C1623" s="81" t="s">
        <v>620</v>
      </c>
      <c r="D1623" s="61" t="s">
        <v>60</v>
      </c>
      <c r="E1623" s="62" t="s">
        <v>621</v>
      </c>
      <c r="F1623" s="107" t="s">
        <v>36</v>
      </c>
      <c r="G1623" s="65" t="s">
        <v>55</v>
      </c>
      <c r="H1623" s="65" t="s">
        <v>56</v>
      </c>
      <c r="I1623" s="80" t="s">
        <v>2558</v>
      </c>
      <c r="J1623" s="65" t="s">
        <v>88</v>
      </c>
      <c r="K1623" s="91" t="s">
        <v>2559</v>
      </c>
      <c r="L1623" s="87" t="s">
        <v>2288</v>
      </c>
      <c r="M1623" s="65"/>
      <c r="N1623" s="65"/>
      <c r="O1623" s="81"/>
      <c r="P1623" s="82"/>
      <c r="Q1623" s="65" t="s">
        <v>43</v>
      </c>
      <c r="R1623" s="65"/>
    </row>
    <row r="1624" ht="27.6" spans="1:18">
      <c r="A1624" s="58">
        <v>1601</v>
      </c>
      <c r="B1624" s="108">
        <v>45870</v>
      </c>
      <c r="C1624" s="81" t="s">
        <v>620</v>
      </c>
      <c r="D1624" s="61" t="s">
        <v>60</v>
      </c>
      <c r="E1624" s="62" t="s">
        <v>621</v>
      </c>
      <c r="F1624" s="107" t="s">
        <v>36</v>
      </c>
      <c r="G1624" s="65" t="s">
        <v>79</v>
      </c>
      <c r="H1624" s="65" t="s">
        <v>51</v>
      </c>
      <c r="I1624" s="80" t="s">
        <v>2560</v>
      </c>
      <c r="J1624" s="65" t="s">
        <v>53</v>
      </c>
      <c r="K1624" s="91" t="s">
        <v>2561</v>
      </c>
      <c r="L1624" s="87" t="s">
        <v>2288</v>
      </c>
      <c r="M1624" s="65"/>
      <c r="N1624" s="65"/>
      <c r="O1624" s="81"/>
      <c r="P1624" s="82"/>
      <c r="Q1624" s="65" t="s">
        <v>43</v>
      </c>
      <c r="R1624" s="65"/>
    </row>
    <row r="1625" ht="41.4" spans="1:18">
      <c r="A1625" s="58">
        <v>1602</v>
      </c>
      <c r="B1625" s="108">
        <v>45865</v>
      </c>
      <c r="C1625" s="81" t="s">
        <v>620</v>
      </c>
      <c r="D1625" s="61" t="s">
        <v>60</v>
      </c>
      <c r="E1625" s="62" t="s">
        <v>621</v>
      </c>
      <c r="F1625" s="107" t="s">
        <v>36</v>
      </c>
      <c r="G1625" s="65" t="s">
        <v>79</v>
      </c>
      <c r="H1625" s="65" t="s">
        <v>1632</v>
      </c>
      <c r="I1625" s="80" t="s">
        <v>2562</v>
      </c>
      <c r="J1625" s="65" t="s">
        <v>88</v>
      </c>
      <c r="K1625" s="91" t="s">
        <v>2563</v>
      </c>
      <c r="L1625" s="87" t="s">
        <v>2564</v>
      </c>
      <c r="M1625" s="65"/>
      <c r="N1625" s="65"/>
      <c r="O1625" s="81"/>
      <c r="P1625" s="82"/>
      <c r="Q1625" s="65" t="s">
        <v>43</v>
      </c>
      <c r="R1625" s="65"/>
    </row>
    <row r="1626" ht="41.4" spans="1:18">
      <c r="A1626" s="58">
        <v>1603</v>
      </c>
      <c r="B1626" s="108">
        <v>45873</v>
      </c>
      <c r="C1626" s="81" t="s">
        <v>85</v>
      </c>
      <c r="D1626" s="61" t="s">
        <v>60</v>
      </c>
      <c r="E1626" s="65" t="s">
        <v>86</v>
      </c>
      <c r="F1626" s="107" t="s">
        <v>192</v>
      </c>
      <c r="G1626" s="65" t="s">
        <v>55</v>
      </c>
      <c r="H1626" s="65" t="s">
        <v>132</v>
      </c>
      <c r="I1626" s="80" t="s">
        <v>2565</v>
      </c>
      <c r="J1626" s="65" t="s">
        <v>137</v>
      </c>
      <c r="K1626" s="91" t="s">
        <v>2566</v>
      </c>
      <c r="L1626" s="87"/>
      <c r="M1626" s="65"/>
      <c r="N1626" s="65"/>
      <c r="O1626" s="81"/>
      <c r="P1626" s="82" t="s">
        <v>42</v>
      </c>
      <c r="Q1626" s="65" t="s">
        <v>8</v>
      </c>
      <c r="R1626" s="65"/>
    </row>
    <row r="1627" ht="41.4" spans="1:18">
      <c r="A1627" s="58">
        <v>1604</v>
      </c>
      <c r="B1627" s="108">
        <v>45873</v>
      </c>
      <c r="C1627" s="81" t="s">
        <v>85</v>
      </c>
      <c r="D1627" s="61" t="s">
        <v>60</v>
      </c>
      <c r="E1627" s="65" t="s">
        <v>86</v>
      </c>
      <c r="F1627" s="107" t="s">
        <v>36</v>
      </c>
      <c r="G1627" s="65" t="s">
        <v>61</v>
      </c>
      <c r="H1627" s="65" t="s">
        <v>56</v>
      </c>
      <c r="I1627" s="80" t="s">
        <v>2567</v>
      </c>
      <c r="J1627" s="65" t="s">
        <v>88</v>
      </c>
      <c r="K1627" s="91" t="s">
        <v>2111</v>
      </c>
      <c r="L1627" s="87" t="s">
        <v>2386</v>
      </c>
      <c r="M1627" s="65"/>
      <c r="N1627" s="65"/>
      <c r="O1627" s="81"/>
      <c r="P1627" s="82"/>
      <c r="Q1627" s="65" t="s">
        <v>43</v>
      </c>
      <c r="R1627" s="65"/>
    </row>
    <row r="1628" ht="41.4" spans="1:18">
      <c r="A1628" s="58">
        <v>1605</v>
      </c>
      <c r="B1628" s="108">
        <v>45873</v>
      </c>
      <c r="C1628" s="81" t="s">
        <v>85</v>
      </c>
      <c r="D1628" s="61" t="s">
        <v>60</v>
      </c>
      <c r="E1628" s="65" t="s">
        <v>86</v>
      </c>
      <c r="F1628" s="107" t="s">
        <v>135</v>
      </c>
      <c r="G1628" s="65" t="s">
        <v>45</v>
      </c>
      <c r="H1628" s="65" t="s">
        <v>56</v>
      </c>
      <c r="I1628" s="80" t="s">
        <v>2568</v>
      </c>
      <c r="J1628" s="65" t="s">
        <v>137</v>
      </c>
      <c r="K1628" s="91" t="s">
        <v>1719</v>
      </c>
      <c r="L1628" s="87"/>
      <c r="M1628" s="65"/>
      <c r="N1628" s="65"/>
      <c r="O1628" s="81"/>
      <c r="P1628" s="82" t="s">
        <v>42</v>
      </c>
      <c r="Q1628" s="65" t="s">
        <v>8</v>
      </c>
      <c r="R1628" s="65"/>
    </row>
    <row r="1629" ht="41.4" spans="1:18">
      <c r="A1629" s="58">
        <v>1606</v>
      </c>
      <c r="B1629" s="108">
        <v>45882</v>
      </c>
      <c r="C1629" s="81" t="s">
        <v>597</v>
      </c>
      <c r="D1629" s="61" t="s">
        <v>60</v>
      </c>
      <c r="E1629" s="65" t="s">
        <v>804</v>
      </c>
      <c r="F1629" s="107" t="s">
        <v>36</v>
      </c>
      <c r="G1629" s="65" t="s">
        <v>55</v>
      </c>
      <c r="H1629" s="65" t="s">
        <v>1632</v>
      </c>
      <c r="I1629" s="80" t="s">
        <v>2569</v>
      </c>
      <c r="J1629" s="65" t="s">
        <v>88</v>
      </c>
      <c r="K1629" s="91" t="s">
        <v>2570</v>
      </c>
      <c r="L1629" s="87" t="s">
        <v>2571</v>
      </c>
      <c r="M1629" s="65"/>
      <c r="N1629" s="65"/>
      <c r="O1629" s="81"/>
      <c r="P1629" s="82"/>
      <c r="Q1629" s="65" t="s">
        <v>43</v>
      </c>
      <c r="R1629" s="65"/>
    </row>
    <row r="1630" ht="27.6" spans="1:18">
      <c r="A1630" s="58">
        <v>1607</v>
      </c>
      <c r="B1630" s="108">
        <v>45890</v>
      </c>
      <c r="C1630" s="81" t="s">
        <v>620</v>
      </c>
      <c r="D1630" s="61" t="s">
        <v>60</v>
      </c>
      <c r="E1630" s="65" t="s">
        <v>621</v>
      </c>
      <c r="F1630" s="107" t="s">
        <v>50</v>
      </c>
      <c r="G1630" s="65" t="s">
        <v>79</v>
      </c>
      <c r="H1630" s="65" t="s">
        <v>51</v>
      </c>
      <c r="I1630" s="80" t="s">
        <v>2572</v>
      </c>
      <c r="J1630" s="65" t="s">
        <v>88</v>
      </c>
      <c r="K1630" s="91" t="s">
        <v>2573</v>
      </c>
      <c r="L1630" s="87" t="s">
        <v>2574</v>
      </c>
      <c r="M1630" s="65"/>
      <c r="N1630" s="65"/>
      <c r="O1630" s="81"/>
      <c r="P1630" s="82"/>
      <c r="Q1630" s="65" t="s">
        <v>43</v>
      </c>
      <c r="R1630" s="65"/>
    </row>
    <row r="1631" ht="27.6" spans="1:18">
      <c r="A1631" s="58">
        <v>1608</v>
      </c>
      <c r="B1631" s="108">
        <v>45889</v>
      </c>
      <c r="C1631" s="81" t="s">
        <v>620</v>
      </c>
      <c r="D1631" s="61" t="s">
        <v>60</v>
      </c>
      <c r="E1631" s="65" t="s">
        <v>621</v>
      </c>
      <c r="F1631" s="107" t="s">
        <v>50</v>
      </c>
      <c r="G1631" s="65" t="s">
        <v>55</v>
      </c>
      <c r="H1631" s="65" t="s">
        <v>622</v>
      </c>
      <c r="I1631" s="80" t="s">
        <v>2575</v>
      </c>
      <c r="J1631" s="65" t="s">
        <v>88</v>
      </c>
      <c r="K1631" s="91" t="s">
        <v>2576</v>
      </c>
      <c r="L1631" s="87" t="s">
        <v>2288</v>
      </c>
      <c r="M1631" s="65"/>
      <c r="N1631" s="65"/>
      <c r="O1631" s="81"/>
      <c r="P1631" s="82"/>
      <c r="Q1631" s="65" t="s">
        <v>43</v>
      </c>
      <c r="R1631" s="65"/>
    </row>
    <row r="1632" ht="27.6" spans="1:18">
      <c r="A1632" s="58">
        <v>1609</v>
      </c>
      <c r="B1632" s="108">
        <v>45890</v>
      </c>
      <c r="C1632" s="81" t="s">
        <v>2577</v>
      </c>
      <c r="D1632" s="61" t="s">
        <v>60</v>
      </c>
      <c r="E1632" s="65" t="s">
        <v>86</v>
      </c>
      <c r="F1632" s="107" t="s">
        <v>36</v>
      </c>
      <c r="G1632" s="65" t="s">
        <v>588</v>
      </c>
      <c r="H1632" s="65" t="s">
        <v>38</v>
      </c>
      <c r="I1632" s="80" t="s">
        <v>2578</v>
      </c>
      <c r="J1632" s="65" t="s">
        <v>88</v>
      </c>
      <c r="K1632" s="91" t="s">
        <v>2579</v>
      </c>
      <c r="L1632" s="87"/>
      <c r="M1632" s="65"/>
      <c r="N1632" s="65"/>
      <c r="O1632" s="81"/>
      <c r="P1632" s="82"/>
      <c r="Q1632" s="65" t="s">
        <v>43</v>
      </c>
      <c r="R1632" s="65"/>
    </row>
    <row r="1633" ht="27.6" spans="1:18">
      <c r="A1633" s="58">
        <v>1610</v>
      </c>
      <c r="B1633" s="108">
        <v>45890</v>
      </c>
      <c r="C1633" s="81" t="s">
        <v>2577</v>
      </c>
      <c r="D1633" s="61" t="s">
        <v>60</v>
      </c>
      <c r="E1633" s="65" t="s">
        <v>86</v>
      </c>
      <c r="F1633" s="107" t="s">
        <v>36</v>
      </c>
      <c r="G1633" s="65" t="s">
        <v>588</v>
      </c>
      <c r="H1633" s="65" t="s">
        <v>56</v>
      </c>
      <c r="I1633" s="80" t="s">
        <v>2580</v>
      </c>
      <c r="J1633" s="65" t="s">
        <v>88</v>
      </c>
      <c r="K1633" s="91" t="s">
        <v>2581</v>
      </c>
      <c r="L1633" s="87"/>
      <c r="M1633" s="65"/>
      <c r="N1633" s="65"/>
      <c r="O1633" s="81"/>
      <c r="P1633" s="82"/>
      <c r="Q1633" s="65" t="s">
        <v>43</v>
      </c>
      <c r="R1633" s="65"/>
    </row>
    <row r="1634" ht="27.6" spans="1:18">
      <c r="A1634" s="58">
        <v>1611</v>
      </c>
      <c r="B1634" s="108">
        <v>45889</v>
      </c>
      <c r="C1634" s="81" t="s">
        <v>121</v>
      </c>
      <c r="D1634" s="61" t="s">
        <v>60</v>
      </c>
      <c r="E1634" s="65" t="s">
        <v>804</v>
      </c>
      <c r="F1634" s="107" t="s">
        <v>192</v>
      </c>
      <c r="G1634" s="65" t="s">
        <v>93</v>
      </c>
      <c r="H1634" s="65" t="s">
        <v>51</v>
      </c>
      <c r="I1634" s="80" t="s">
        <v>2582</v>
      </c>
      <c r="J1634" s="65" t="s">
        <v>137</v>
      </c>
      <c r="K1634" s="91" t="s">
        <v>2583</v>
      </c>
      <c r="L1634" s="87"/>
      <c r="M1634" s="65"/>
      <c r="N1634" s="65"/>
      <c r="O1634" s="81"/>
      <c r="P1634" s="82" t="s">
        <v>42</v>
      </c>
      <c r="Q1634" s="65" t="s">
        <v>8</v>
      </c>
      <c r="R1634" s="65"/>
    </row>
    <row r="1635" ht="26.4" spans="1:18">
      <c r="A1635" s="58">
        <v>1612</v>
      </c>
      <c r="B1635" s="108">
        <v>45890</v>
      </c>
      <c r="C1635" s="81" t="s">
        <v>121</v>
      </c>
      <c r="D1635" s="61" t="s">
        <v>60</v>
      </c>
      <c r="E1635" s="65" t="s">
        <v>804</v>
      </c>
      <c r="F1635" s="107" t="s">
        <v>135</v>
      </c>
      <c r="G1635" s="65" t="s">
        <v>1850</v>
      </c>
      <c r="H1635" s="65" t="s">
        <v>46</v>
      </c>
      <c r="I1635" s="80" t="s">
        <v>2584</v>
      </c>
      <c r="J1635" s="65" t="s">
        <v>137</v>
      </c>
      <c r="K1635" s="91" t="s">
        <v>2585</v>
      </c>
      <c r="L1635" s="87"/>
      <c r="M1635" s="65"/>
      <c r="N1635" s="65"/>
      <c r="O1635" s="81"/>
      <c r="P1635" s="82" t="s">
        <v>42</v>
      </c>
      <c r="Q1635" s="65" t="s">
        <v>8</v>
      </c>
      <c r="R1635" s="65"/>
    </row>
    <row r="1636" ht="66" spans="1:18">
      <c r="A1636" s="58">
        <v>1613</v>
      </c>
      <c r="B1636" s="108">
        <v>45890</v>
      </c>
      <c r="C1636" s="81" t="s">
        <v>121</v>
      </c>
      <c r="D1636" s="61" t="s">
        <v>60</v>
      </c>
      <c r="E1636" s="65" t="s">
        <v>804</v>
      </c>
      <c r="F1636" s="107" t="s">
        <v>50</v>
      </c>
      <c r="G1636" s="65" t="s">
        <v>37</v>
      </c>
      <c r="H1636" s="65" t="s">
        <v>51</v>
      </c>
      <c r="I1636" s="80" t="s">
        <v>2586</v>
      </c>
      <c r="J1636" s="65" t="s">
        <v>88</v>
      </c>
      <c r="K1636" s="91" t="s">
        <v>2587</v>
      </c>
      <c r="L1636" s="87"/>
      <c r="M1636" s="65"/>
      <c r="N1636" s="65"/>
      <c r="O1636" s="81"/>
      <c r="P1636" s="82"/>
      <c r="Q1636" s="65" t="s">
        <v>43</v>
      </c>
      <c r="R1636" s="65"/>
    </row>
    <row r="1637" ht="55.2" spans="1:18">
      <c r="A1637" s="58">
        <v>1614</v>
      </c>
      <c r="B1637" s="108">
        <v>45890</v>
      </c>
      <c r="C1637" s="81" t="s">
        <v>121</v>
      </c>
      <c r="D1637" s="61" t="s">
        <v>60</v>
      </c>
      <c r="E1637" s="65" t="s">
        <v>804</v>
      </c>
      <c r="F1637" s="107" t="s">
        <v>36</v>
      </c>
      <c r="G1637" s="65" t="s">
        <v>37</v>
      </c>
      <c r="H1637" s="65" t="s">
        <v>132</v>
      </c>
      <c r="I1637" s="80" t="s">
        <v>2588</v>
      </c>
      <c r="J1637" s="65" t="s">
        <v>88</v>
      </c>
      <c r="K1637" s="91" t="s">
        <v>2589</v>
      </c>
      <c r="L1637" s="87" t="s">
        <v>2590</v>
      </c>
      <c r="M1637" s="65"/>
      <c r="N1637" s="65"/>
      <c r="O1637" s="81"/>
      <c r="P1637" s="82"/>
      <c r="Q1637" s="65" t="s">
        <v>43</v>
      </c>
      <c r="R1637" s="65"/>
    </row>
    <row r="1638" ht="26.4" spans="1:18">
      <c r="A1638" s="58">
        <v>1615</v>
      </c>
      <c r="B1638" s="108">
        <v>45888</v>
      </c>
      <c r="C1638" s="81" t="s">
        <v>640</v>
      </c>
      <c r="D1638" s="112" t="s">
        <v>72</v>
      </c>
      <c r="E1638" s="65" t="s">
        <v>804</v>
      </c>
      <c r="F1638" s="107" t="s">
        <v>192</v>
      </c>
      <c r="G1638" s="65" t="s">
        <v>1850</v>
      </c>
      <c r="H1638" s="65" t="s">
        <v>51</v>
      </c>
      <c r="I1638" s="80" t="s">
        <v>2591</v>
      </c>
      <c r="J1638" s="65" t="s">
        <v>137</v>
      </c>
      <c r="K1638" s="91" t="s">
        <v>2592</v>
      </c>
      <c r="L1638" s="87"/>
      <c r="M1638" s="65"/>
      <c r="N1638" s="65"/>
      <c r="O1638" s="81"/>
      <c r="P1638" s="82" t="s">
        <v>42</v>
      </c>
      <c r="Q1638" s="65" t="s">
        <v>8</v>
      </c>
      <c r="R1638" s="65"/>
    </row>
    <row r="1639" ht="13.8" spans="1:18">
      <c r="A1639" s="58">
        <v>1616</v>
      </c>
      <c r="B1639" s="108">
        <v>45888</v>
      </c>
      <c r="C1639" s="81" t="s">
        <v>641</v>
      </c>
      <c r="D1639" s="112" t="s">
        <v>72</v>
      </c>
      <c r="E1639" s="65" t="s">
        <v>804</v>
      </c>
      <c r="F1639" s="107" t="s">
        <v>135</v>
      </c>
      <c r="G1639" s="65" t="s">
        <v>82</v>
      </c>
      <c r="H1639" s="65" t="s">
        <v>94</v>
      </c>
      <c r="I1639" s="80" t="s">
        <v>2593</v>
      </c>
      <c r="J1639" s="65" t="s">
        <v>137</v>
      </c>
      <c r="K1639" s="91"/>
      <c r="L1639" s="87"/>
      <c r="M1639" s="65"/>
      <c r="N1639" s="65"/>
      <c r="O1639" s="81"/>
      <c r="P1639" s="82" t="s">
        <v>42</v>
      </c>
      <c r="Q1639" s="65" t="s">
        <v>8</v>
      </c>
      <c r="R1639" s="65"/>
    </row>
    <row r="1640" ht="13.8" spans="1:18">
      <c r="A1640" s="58">
        <v>1617</v>
      </c>
      <c r="B1640" s="108">
        <v>45890</v>
      </c>
      <c r="C1640" s="81" t="s">
        <v>659</v>
      </c>
      <c r="D1640" s="112" t="s">
        <v>72</v>
      </c>
      <c r="E1640" s="65" t="s">
        <v>804</v>
      </c>
      <c r="F1640" s="107" t="s">
        <v>135</v>
      </c>
      <c r="G1640" s="65" t="s">
        <v>37</v>
      </c>
      <c r="H1640" s="65" t="s">
        <v>202</v>
      </c>
      <c r="I1640" s="80" t="s">
        <v>2594</v>
      </c>
      <c r="J1640" s="65" t="s">
        <v>137</v>
      </c>
      <c r="K1640" s="91"/>
      <c r="L1640" s="87"/>
      <c r="M1640" s="65"/>
      <c r="N1640" s="65"/>
      <c r="O1640" s="81"/>
      <c r="P1640" s="82" t="s">
        <v>42</v>
      </c>
      <c r="Q1640" s="65" t="s">
        <v>8</v>
      </c>
      <c r="R1640" s="65"/>
    </row>
    <row r="1641" ht="13.8" spans="1:18">
      <c r="A1641" s="58">
        <v>1618</v>
      </c>
      <c r="B1641" s="108">
        <v>45888</v>
      </c>
      <c r="C1641" s="81" t="s">
        <v>641</v>
      </c>
      <c r="D1641" s="112" t="s">
        <v>72</v>
      </c>
      <c r="E1641" s="65" t="s">
        <v>804</v>
      </c>
      <c r="F1641" s="107" t="s">
        <v>135</v>
      </c>
      <c r="G1641" s="65" t="s">
        <v>588</v>
      </c>
      <c r="H1641" s="65" t="s">
        <v>1632</v>
      </c>
      <c r="I1641" s="80" t="s">
        <v>2595</v>
      </c>
      <c r="J1641" s="65" t="s">
        <v>137</v>
      </c>
      <c r="K1641" s="91"/>
      <c r="L1641" s="87"/>
      <c r="M1641" s="65"/>
      <c r="N1641" s="65"/>
      <c r="O1641" s="81"/>
      <c r="P1641" s="82" t="s">
        <v>42</v>
      </c>
      <c r="Q1641" s="65" t="s">
        <v>8</v>
      </c>
      <c r="R1641" s="65"/>
    </row>
    <row r="1642" ht="27.6" spans="1:18">
      <c r="A1642" s="58">
        <v>1619</v>
      </c>
      <c r="B1642" s="108">
        <v>45887</v>
      </c>
      <c r="C1642" s="81" t="s">
        <v>641</v>
      </c>
      <c r="D1642" s="112" t="s">
        <v>72</v>
      </c>
      <c r="E1642" s="65" t="s">
        <v>804</v>
      </c>
      <c r="F1642" s="107" t="s">
        <v>50</v>
      </c>
      <c r="G1642" s="65" t="s">
        <v>82</v>
      </c>
      <c r="H1642" s="65" t="s">
        <v>989</v>
      </c>
      <c r="I1642" s="86" t="s">
        <v>2596</v>
      </c>
      <c r="J1642" s="65" t="s">
        <v>53</v>
      </c>
      <c r="K1642" s="91" t="s">
        <v>2597</v>
      </c>
      <c r="L1642" s="87"/>
      <c r="M1642" s="65"/>
      <c r="N1642" s="65"/>
      <c r="O1642" s="81"/>
      <c r="P1642" s="82"/>
      <c r="Q1642" s="65" t="s">
        <v>43</v>
      </c>
      <c r="R1642" s="65"/>
    </row>
    <row r="1643" ht="27.6" spans="1:18">
      <c r="A1643" s="58">
        <v>1620</v>
      </c>
      <c r="B1643" s="108">
        <v>45887</v>
      </c>
      <c r="C1643" s="81" t="s">
        <v>641</v>
      </c>
      <c r="D1643" s="112" t="s">
        <v>72</v>
      </c>
      <c r="E1643" s="65" t="s">
        <v>804</v>
      </c>
      <c r="F1643" s="107" t="s">
        <v>50</v>
      </c>
      <c r="G1643" s="65" t="s">
        <v>82</v>
      </c>
      <c r="H1643" s="65" t="s">
        <v>46</v>
      </c>
      <c r="I1643" s="86" t="s">
        <v>2598</v>
      </c>
      <c r="J1643" s="65" t="s">
        <v>53</v>
      </c>
      <c r="K1643" s="91" t="s">
        <v>2599</v>
      </c>
      <c r="L1643" s="87"/>
      <c r="M1643" s="65"/>
      <c r="N1643" s="65"/>
      <c r="O1643" s="81"/>
      <c r="P1643" s="82"/>
      <c r="Q1643" s="65" t="s">
        <v>43</v>
      </c>
      <c r="R1643" s="65"/>
    </row>
    <row r="1644" ht="27.6" spans="1:18">
      <c r="A1644" s="58">
        <v>1621</v>
      </c>
      <c r="B1644" s="108">
        <v>45890</v>
      </c>
      <c r="C1644" s="84" t="s">
        <v>659</v>
      </c>
      <c r="D1644" s="112" t="s">
        <v>72</v>
      </c>
      <c r="E1644" s="65" t="s">
        <v>804</v>
      </c>
      <c r="F1644" s="107" t="s">
        <v>50</v>
      </c>
      <c r="G1644" s="65" t="s">
        <v>37</v>
      </c>
      <c r="H1644" s="65" t="s">
        <v>51</v>
      </c>
      <c r="I1644" s="86" t="s">
        <v>2600</v>
      </c>
      <c r="J1644" s="65" t="s">
        <v>53</v>
      </c>
      <c r="K1644" s="91" t="s">
        <v>2601</v>
      </c>
      <c r="L1644" s="87"/>
      <c r="M1644" s="65"/>
      <c r="N1644" s="65"/>
      <c r="O1644" s="81"/>
      <c r="P1644" s="82"/>
      <c r="Q1644" s="65" t="s">
        <v>43</v>
      </c>
      <c r="R1644" s="65"/>
    </row>
    <row r="1645" ht="41.4" spans="1:18">
      <c r="A1645" s="58">
        <v>1622</v>
      </c>
      <c r="B1645" s="108">
        <v>45890</v>
      </c>
      <c r="C1645" s="84" t="s">
        <v>659</v>
      </c>
      <c r="D1645" s="112" t="s">
        <v>72</v>
      </c>
      <c r="E1645" s="65" t="s">
        <v>804</v>
      </c>
      <c r="F1645" s="107" t="s">
        <v>50</v>
      </c>
      <c r="G1645" s="65" t="s">
        <v>37</v>
      </c>
      <c r="H1645" s="65" t="s">
        <v>46</v>
      </c>
      <c r="I1645" s="86" t="s">
        <v>2602</v>
      </c>
      <c r="J1645" s="65" t="s">
        <v>53</v>
      </c>
      <c r="K1645" s="91" t="s">
        <v>2603</v>
      </c>
      <c r="L1645" s="87"/>
      <c r="M1645" s="65"/>
      <c r="N1645" s="65"/>
      <c r="O1645" s="81"/>
      <c r="P1645" s="82"/>
      <c r="Q1645" s="65" t="s">
        <v>43</v>
      </c>
      <c r="R1645" s="65"/>
    </row>
    <row r="1646" ht="27.6" spans="1:18">
      <c r="A1646" s="58">
        <v>1623</v>
      </c>
      <c r="B1646" s="108">
        <v>45886</v>
      </c>
      <c r="C1646" s="84" t="s">
        <v>659</v>
      </c>
      <c r="D1646" s="112" t="s">
        <v>72</v>
      </c>
      <c r="E1646" s="65" t="s">
        <v>804</v>
      </c>
      <c r="F1646" s="107" t="s">
        <v>36</v>
      </c>
      <c r="G1646" s="65" t="s">
        <v>55</v>
      </c>
      <c r="H1646" s="65" t="s">
        <v>128</v>
      </c>
      <c r="I1646" s="86" t="s">
        <v>2604</v>
      </c>
      <c r="J1646" s="65" t="s">
        <v>53</v>
      </c>
      <c r="K1646" s="91" t="s">
        <v>2605</v>
      </c>
      <c r="L1646" s="87"/>
      <c r="M1646" s="65"/>
      <c r="N1646" s="65"/>
      <c r="O1646" s="81"/>
      <c r="P1646" s="82"/>
      <c r="Q1646" s="65" t="s">
        <v>43</v>
      </c>
      <c r="R1646" s="65"/>
    </row>
    <row r="1647" ht="41.4" spans="1:18">
      <c r="A1647" s="58">
        <v>1624</v>
      </c>
      <c r="B1647" s="108">
        <v>45887</v>
      </c>
      <c r="C1647" s="84" t="s">
        <v>640</v>
      </c>
      <c r="D1647" s="112" t="s">
        <v>72</v>
      </c>
      <c r="E1647" s="65" t="s">
        <v>804</v>
      </c>
      <c r="F1647" s="107" t="s">
        <v>36</v>
      </c>
      <c r="G1647" s="65" t="s">
        <v>79</v>
      </c>
      <c r="H1647" s="65" t="s">
        <v>1008</v>
      </c>
      <c r="I1647" s="86" t="s">
        <v>2606</v>
      </c>
      <c r="J1647" s="65" t="s">
        <v>53</v>
      </c>
      <c r="K1647" s="91" t="s">
        <v>2607</v>
      </c>
      <c r="L1647" s="88" t="s">
        <v>2608</v>
      </c>
      <c r="M1647" s="65"/>
      <c r="N1647" s="65"/>
      <c r="O1647" s="81"/>
      <c r="P1647" s="82"/>
      <c r="Q1647" s="65" t="s">
        <v>43</v>
      </c>
      <c r="R1647" s="65"/>
    </row>
    <row r="1648" ht="55.2" spans="1:18">
      <c r="A1648" s="58">
        <v>1625</v>
      </c>
      <c r="B1648" s="108">
        <v>45887</v>
      </c>
      <c r="C1648" s="84" t="s">
        <v>659</v>
      </c>
      <c r="D1648" s="112" t="s">
        <v>72</v>
      </c>
      <c r="E1648" s="65" t="s">
        <v>804</v>
      </c>
      <c r="F1648" s="107" t="s">
        <v>36</v>
      </c>
      <c r="G1648" s="65" t="s">
        <v>55</v>
      </c>
      <c r="H1648" s="65" t="s">
        <v>94</v>
      </c>
      <c r="I1648" s="86" t="s">
        <v>2609</v>
      </c>
      <c r="J1648" s="65" t="s">
        <v>53</v>
      </c>
      <c r="K1648" s="91" t="s">
        <v>2610</v>
      </c>
      <c r="L1648" s="88"/>
      <c r="M1648" s="65"/>
      <c r="N1648" s="65"/>
      <c r="O1648" s="81"/>
      <c r="P1648" s="82"/>
      <c r="Q1648" s="65" t="s">
        <v>43</v>
      </c>
      <c r="R1648" s="65"/>
    </row>
    <row r="1649" ht="41.4" spans="1:18">
      <c r="A1649" s="58">
        <v>1626</v>
      </c>
      <c r="B1649" s="108">
        <v>45887</v>
      </c>
      <c r="C1649" s="84" t="s">
        <v>640</v>
      </c>
      <c r="D1649" s="112" t="s">
        <v>72</v>
      </c>
      <c r="E1649" s="65" t="s">
        <v>804</v>
      </c>
      <c r="F1649" s="107" t="s">
        <v>36</v>
      </c>
      <c r="G1649" s="65" t="s">
        <v>1850</v>
      </c>
      <c r="H1649" s="65" t="s">
        <v>1008</v>
      </c>
      <c r="I1649" s="86" t="s">
        <v>2611</v>
      </c>
      <c r="J1649" s="65" t="s">
        <v>53</v>
      </c>
      <c r="K1649" s="91" t="s">
        <v>2612</v>
      </c>
      <c r="L1649" s="88" t="s">
        <v>2613</v>
      </c>
      <c r="M1649" s="65"/>
      <c r="N1649" s="65"/>
      <c r="O1649" s="81"/>
      <c r="P1649" s="82"/>
      <c r="Q1649" s="65" t="s">
        <v>43</v>
      </c>
      <c r="R1649" s="65"/>
    </row>
    <row r="1650" ht="41.4" spans="1:18">
      <c r="A1650" s="58">
        <v>1627</v>
      </c>
      <c r="B1650" s="108">
        <v>45886</v>
      </c>
      <c r="C1650" s="81" t="s">
        <v>641</v>
      </c>
      <c r="D1650" s="112" t="s">
        <v>72</v>
      </c>
      <c r="E1650" s="65" t="s">
        <v>804</v>
      </c>
      <c r="F1650" s="107" t="s">
        <v>36</v>
      </c>
      <c r="G1650" s="65" t="s">
        <v>45</v>
      </c>
      <c r="H1650" s="65" t="s">
        <v>97</v>
      </c>
      <c r="I1650" s="86" t="s">
        <v>2614</v>
      </c>
      <c r="J1650" s="65" t="s">
        <v>53</v>
      </c>
      <c r="K1650" s="91" t="s">
        <v>2615</v>
      </c>
      <c r="L1650" s="88"/>
      <c r="M1650" s="65"/>
      <c r="N1650" s="65"/>
      <c r="O1650" s="81"/>
      <c r="P1650" s="82"/>
      <c r="Q1650" s="65" t="s">
        <v>43</v>
      </c>
      <c r="R1650" s="65"/>
    </row>
    <row r="1651" ht="27.6" spans="1:18">
      <c r="A1651" s="58">
        <v>1628</v>
      </c>
      <c r="B1651" s="108">
        <v>45889</v>
      </c>
      <c r="C1651" s="84" t="s">
        <v>659</v>
      </c>
      <c r="D1651" s="112" t="s">
        <v>72</v>
      </c>
      <c r="E1651" s="65" t="s">
        <v>804</v>
      </c>
      <c r="F1651" s="107" t="s">
        <v>36</v>
      </c>
      <c r="G1651" s="65" t="s">
        <v>55</v>
      </c>
      <c r="H1651" s="65" t="s">
        <v>38</v>
      </c>
      <c r="I1651" s="86" t="s">
        <v>2616</v>
      </c>
      <c r="J1651" s="65" t="s">
        <v>53</v>
      </c>
      <c r="K1651" s="91" t="s">
        <v>2617</v>
      </c>
      <c r="L1651" s="88"/>
      <c r="M1651" s="65"/>
      <c r="N1651" s="65"/>
      <c r="O1651" s="81"/>
      <c r="P1651" s="82"/>
      <c r="Q1651" s="65" t="s">
        <v>43</v>
      </c>
      <c r="R1651" s="65"/>
    </row>
    <row r="1652" ht="41.4" spans="1:18">
      <c r="A1652" s="58">
        <v>1629</v>
      </c>
      <c r="B1652" s="108">
        <v>45888</v>
      </c>
      <c r="C1652" s="84" t="s">
        <v>640</v>
      </c>
      <c r="D1652" s="112" t="s">
        <v>72</v>
      </c>
      <c r="E1652" s="65" t="s">
        <v>804</v>
      </c>
      <c r="F1652" s="107" t="s">
        <v>36</v>
      </c>
      <c r="G1652" s="65" t="s">
        <v>1850</v>
      </c>
      <c r="H1652" s="65" t="s">
        <v>51</v>
      </c>
      <c r="I1652" s="86" t="s">
        <v>2618</v>
      </c>
      <c r="J1652" s="65" t="s">
        <v>53</v>
      </c>
      <c r="K1652" s="91" t="s">
        <v>2619</v>
      </c>
      <c r="L1652" s="88"/>
      <c r="M1652" s="65"/>
      <c r="N1652" s="65"/>
      <c r="O1652" s="81"/>
      <c r="P1652" s="82"/>
      <c r="Q1652" s="65" t="s">
        <v>43</v>
      </c>
      <c r="R1652" s="65"/>
    </row>
    <row r="1653" ht="27.6" spans="1:18">
      <c r="A1653" s="58">
        <v>1630</v>
      </c>
      <c r="B1653" s="108">
        <v>45889</v>
      </c>
      <c r="C1653" s="84" t="s">
        <v>659</v>
      </c>
      <c r="D1653" s="112" t="s">
        <v>72</v>
      </c>
      <c r="E1653" s="65" t="s">
        <v>804</v>
      </c>
      <c r="F1653" s="107" t="s">
        <v>36</v>
      </c>
      <c r="G1653" s="65" t="s">
        <v>37</v>
      </c>
      <c r="H1653" s="65" t="s">
        <v>56</v>
      </c>
      <c r="I1653" s="86" t="s">
        <v>2620</v>
      </c>
      <c r="J1653" s="65" t="s">
        <v>53</v>
      </c>
      <c r="K1653" s="91" t="s">
        <v>2621</v>
      </c>
      <c r="L1653" s="88"/>
      <c r="M1653" s="65"/>
      <c r="N1653" s="65"/>
      <c r="O1653" s="81"/>
      <c r="P1653" s="82"/>
      <c r="Q1653" s="65" t="s">
        <v>43</v>
      </c>
      <c r="R1653" s="65"/>
    </row>
    <row r="1654" ht="41.4" spans="1:18">
      <c r="A1654" s="58">
        <v>1631</v>
      </c>
      <c r="B1654" s="108">
        <v>45889</v>
      </c>
      <c r="C1654" s="84" t="s">
        <v>640</v>
      </c>
      <c r="D1654" s="112" t="s">
        <v>72</v>
      </c>
      <c r="E1654" s="65" t="s">
        <v>804</v>
      </c>
      <c r="F1654" s="107" t="s">
        <v>36</v>
      </c>
      <c r="G1654" s="65" t="s">
        <v>1850</v>
      </c>
      <c r="H1654" s="65" t="s">
        <v>97</v>
      </c>
      <c r="I1654" s="86" t="s">
        <v>2622</v>
      </c>
      <c r="J1654" s="65" t="s">
        <v>53</v>
      </c>
      <c r="K1654" s="91" t="s">
        <v>2623</v>
      </c>
      <c r="L1654" s="88"/>
      <c r="M1654" s="65"/>
      <c r="N1654" s="65"/>
      <c r="O1654" s="81"/>
      <c r="P1654" s="82"/>
      <c r="Q1654" s="65" t="s">
        <v>43</v>
      </c>
      <c r="R1654" s="65"/>
    </row>
    <row r="1655" ht="41.4" spans="1:18">
      <c r="A1655" s="58">
        <v>1632</v>
      </c>
      <c r="B1655" s="108">
        <v>45888</v>
      </c>
      <c r="C1655" s="84" t="s">
        <v>641</v>
      </c>
      <c r="D1655" s="112" t="s">
        <v>72</v>
      </c>
      <c r="E1655" s="65" t="s">
        <v>804</v>
      </c>
      <c r="F1655" s="107" t="s">
        <v>36</v>
      </c>
      <c r="G1655" s="65" t="s">
        <v>93</v>
      </c>
      <c r="H1655" s="65" t="s">
        <v>56</v>
      </c>
      <c r="I1655" s="86" t="s">
        <v>2624</v>
      </c>
      <c r="J1655" s="65" t="s">
        <v>53</v>
      </c>
      <c r="K1655" s="91" t="s">
        <v>2625</v>
      </c>
      <c r="L1655" s="88"/>
      <c r="M1655" s="65"/>
      <c r="N1655" s="65"/>
      <c r="O1655" s="81"/>
      <c r="P1655" s="82"/>
      <c r="Q1655" s="65" t="s">
        <v>43</v>
      </c>
      <c r="R1655" s="65"/>
    </row>
    <row r="1656" ht="27.6" spans="1:18">
      <c r="A1656" s="58">
        <v>1633</v>
      </c>
      <c r="B1656" s="108">
        <v>45890</v>
      </c>
      <c r="C1656" s="84" t="s">
        <v>659</v>
      </c>
      <c r="D1656" s="112" t="s">
        <v>72</v>
      </c>
      <c r="E1656" s="65" t="s">
        <v>804</v>
      </c>
      <c r="F1656" s="107" t="s">
        <v>36</v>
      </c>
      <c r="G1656" s="65" t="s">
        <v>37</v>
      </c>
      <c r="H1656" s="65" t="s">
        <v>46</v>
      </c>
      <c r="I1656" s="86" t="s">
        <v>2626</v>
      </c>
      <c r="J1656" s="65" t="s">
        <v>53</v>
      </c>
      <c r="K1656" s="91" t="s">
        <v>2627</v>
      </c>
      <c r="L1656" s="88"/>
      <c r="M1656" s="65"/>
      <c r="N1656" s="65"/>
      <c r="O1656" s="81"/>
      <c r="P1656" s="82"/>
      <c r="Q1656" s="65" t="s">
        <v>43</v>
      </c>
      <c r="R1656" s="65"/>
    </row>
    <row r="1657" ht="26.4" spans="1:18">
      <c r="A1657" s="58">
        <v>1634</v>
      </c>
      <c r="B1657" s="108">
        <v>45897</v>
      </c>
      <c r="C1657" s="60" t="s">
        <v>100</v>
      </c>
      <c r="D1657" s="112" t="s">
        <v>60</v>
      </c>
      <c r="E1657" s="65" t="s">
        <v>101</v>
      </c>
      <c r="F1657" s="107" t="s">
        <v>135</v>
      </c>
      <c r="G1657" s="65" t="s">
        <v>37</v>
      </c>
      <c r="H1657" s="65" t="s">
        <v>66</v>
      </c>
      <c r="I1657" s="86" t="s">
        <v>2628</v>
      </c>
      <c r="J1657" s="65" t="s">
        <v>137</v>
      </c>
      <c r="K1657" s="91"/>
      <c r="L1657" s="88"/>
      <c r="M1657" s="65"/>
      <c r="N1657" s="65"/>
      <c r="O1657" s="81"/>
      <c r="P1657" s="82" t="s">
        <v>42</v>
      </c>
      <c r="Q1657" s="65" t="s">
        <v>8</v>
      </c>
      <c r="R1657" s="65"/>
    </row>
    <row r="1658" ht="39.6" spans="1:18">
      <c r="A1658" s="58">
        <v>1635</v>
      </c>
      <c r="B1658" s="108">
        <v>45897</v>
      </c>
      <c r="C1658" s="60" t="s">
        <v>100</v>
      </c>
      <c r="D1658" s="112" t="s">
        <v>60</v>
      </c>
      <c r="E1658" s="65" t="s">
        <v>101</v>
      </c>
      <c r="F1658" s="107" t="s">
        <v>135</v>
      </c>
      <c r="G1658" s="65" t="s">
        <v>55</v>
      </c>
      <c r="H1658" s="65" t="s">
        <v>132</v>
      </c>
      <c r="I1658" s="86" t="s">
        <v>2629</v>
      </c>
      <c r="J1658" s="65" t="s">
        <v>137</v>
      </c>
      <c r="K1658" s="91"/>
      <c r="L1658" s="88"/>
      <c r="M1658" s="65"/>
      <c r="N1658" s="65"/>
      <c r="O1658" s="81"/>
      <c r="P1658" s="82" t="s">
        <v>42</v>
      </c>
      <c r="Q1658" s="65" t="s">
        <v>8</v>
      </c>
      <c r="R1658" s="65"/>
    </row>
    <row r="1659" ht="55.2" spans="1:18">
      <c r="A1659" s="58">
        <v>1636</v>
      </c>
      <c r="B1659" s="108">
        <v>45894</v>
      </c>
      <c r="C1659" s="60" t="s">
        <v>100</v>
      </c>
      <c r="D1659" s="112" t="s">
        <v>60</v>
      </c>
      <c r="E1659" s="65" t="s">
        <v>101</v>
      </c>
      <c r="F1659" s="107" t="s">
        <v>36</v>
      </c>
      <c r="G1659" s="65" t="s">
        <v>55</v>
      </c>
      <c r="H1659" s="65" t="s">
        <v>56</v>
      </c>
      <c r="I1659" s="86" t="s">
        <v>2630</v>
      </c>
      <c r="J1659" s="65" t="s">
        <v>88</v>
      </c>
      <c r="K1659" s="91" t="s">
        <v>2631</v>
      </c>
      <c r="L1659" s="88" t="s">
        <v>2632</v>
      </c>
      <c r="M1659" s="65"/>
      <c r="N1659" s="65"/>
      <c r="O1659" s="81"/>
      <c r="P1659" s="82"/>
      <c r="Q1659" s="65" t="s">
        <v>43</v>
      </c>
      <c r="R1659" s="65"/>
    </row>
    <row r="1660" ht="41.4" spans="1:18">
      <c r="A1660" s="58">
        <v>1637</v>
      </c>
      <c r="B1660" s="108">
        <v>45896</v>
      </c>
      <c r="C1660" s="84" t="s">
        <v>2577</v>
      </c>
      <c r="D1660" s="112" t="s">
        <v>60</v>
      </c>
      <c r="E1660" s="65" t="s">
        <v>86</v>
      </c>
      <c r="F1660" s="107" t="s">
        <v>36</v>
      </c>
      <c r="G1660" s="65" t="s">
        <v>588</v>
      </c>
      <c r="H1660" s="65" t="s">
        <v>56</v>
      </c>
      <c r="I1660" s="86" t="s">
        <v>2633</v>
      </c>
      <c r="J1660" s="65" t="s">
        <v>88</v>
      </c>
      <c r="K1660" s="91" t="s">
        <v>2634</v>
      </c>
      <c r="L1660" s="88"/>
      <c r="M1660" s="65"/>
      <c r="N1660" s="65"/>
      <c r="O1660" s="81"/>
      <c r="P1660" s="82"/>
      <c r="Q1660" s="65" t="s">
        <v>43</v>
      </c>
      <c r="R1660" s="65"/>
    </row>
    <row r="1661" ht="26.4" spans="1:18">
      <c r="A1661" s="58">
        <v>1638</v>
      </c>
      <c r="B1661" s="108">
        <v>45896</v>
      </c>
      <c r="C1661" s="84" t="s">
        <v>2577</v>
      </c>
      <c r="D1661" s="112" t="s">
        <v>60</v>
      </c>
      <c r="E1661" s="65" t="s">
        <v>86</v>
      </c>
      <c r="F1661" s="107" t="s">
        <v>135</v>
      </c>
      <c r="G1661" s="65" t="s">
        <v>61</v>
      </c>
      <c r="H1661" s="65" t="s">
        <v>56</v>
      </c>
      <c r="I1661" s="86" t="s">
        <v>2635</v>
      </c>
      <c r="J1661" s="65" t="s">
        <v>137</v>
      </c>
      <c r="K1661" s="91" t="s">
        <v>2636</v>
      </c>
      <c r="L1661" s="88"/>
      <c r="M1661" s="65"/>
      <c r="N1661" s="65"/>
      <c r="O1661" s="81"/>
      <c r="P1661" s="82" t="s">
        <v>42</v>
      </c>
      <c r="Q1661" s="65" t="s">
        <v>8</v>
      </c>
      <c r="R1661" s="65"/>
    </row>
    <row r="1662" ht="27.6" spans="1:18">
      <c r="A1662" s="58">
        <v>1639</v>
      </c>
      <c r="B1662" s="108">
        <v>45894</v>
      </c>
      <c r="C1662" s="84" t="s">
        <v>641</v>
      </c>
      <c r="D1662" s="112" t="s">
        <v>72</v>
      </c>
      <c r="E1662" s="65" t="s">
        <v>804</v>
      </c>
      <c r="F1662" s="107" t="s">
        <v>50</v>
      </c>
      <c r="G1662" s="65" t="s">
        <v>55</v>
      </c>
      <c r="H1662" s="65" t="s">
        <v>1008</v>
      </c>
      <c r="I1662" s="86" t="s">
        <v>2637</v>
      </c>
      <c r="J1662" s="65" t="s">
        <v>53</v>
      </c>
      <c r="K1662" s="91" t="s">
        <v>2638</v>
      </c>
      <c r="L1662" s="88"/>
      <c r="M1662" s="65"/>
      <c r="N1662" s="65"/>
      <c r="O1662" s="81"/>
      <c r="P1662" s="82"/>
      <c r="Q1662" s="65" t="s">
        <v>43</v>
      </c>
      <c r="R1662" s="65"/>
    </row>
    <row r="1663" ht="41.4" spans="1:18">
      <c r="A1663" s="58">
        <v>1640</v>
      </c>
      <c r="B1663" s="108">
        <v>45895</v>
      </c>
      <c r="C1663" s="84" t="s">
        <v>641</v>
      </c>
      <c r="D1663" s="112" t="s">
        <v>72</v>
      </c>
      <c r="E1663" s="65" t="s">
        <v>804</v>
      </c>
      <c r="F1663" s="107" t="s">
        <v>36</v>
      </c>
      <c r="G1663" s="65" t="s">
        <v>37</v>
      </c>
      <c r="H1663" s="65" t="s">
        <v>46</v>
      </c>
      <c r="I1663" s="86" t="s">
        <v>2639</v>
      </c>
      <c r="J1663" s="65" t="s">
        <v>53</v>
      </c>
      <c r="K1663" s="91" t="s">
        <v>2640</v>
      </c>
      <c r="L1663" s="88"/>
      <c r="M1663" s="65"/>
      <c r="N1663" s="65"/>
      <c r="O1663" s="81"/>
      <c r="P1663" s="82"/>
      <c r="Q1663" s="65" t="s">
        <v>43</v>
      </c>
      <c r="R1663" s="65"/>
    </row>
    <row r="1664" ht="27.6" spans="1:18">
      <c r="A1664" s="58">
        <v>1641</v>
      </c>
      <c r="B1664" s="108">
        <v>45895</v>
      </c>
      <c r="C1664" s="84" t="s">
        <v>641</v>
      </c>
      <c r="D1664" s="112" t="s">
        <v>72</v>
      </c>
      <c r="E1664" s="65" t="s">
        <v>804</v>
      </c>
      <c r="F1664" s="107" t="s">
        <v>50</v>
      </c>
      <c r="G1664" s="65" t="s">
        <v>37</v>
      </c>
      <c r="H1664" s="65" t="s">
        <v>1008</v>
      </c>
      <c r="I1664" s="86" t="s">
        <v>2641</v>
      </c>
      <c r="J1664" s="65" t="s">
        <v>53</v>
      </c>
      <c r="K1664" s="91" t="s">
        <v>2642</v>
      </c>
      <c r="L1664" s="88" t="s">
        <v>2643</v>
      </c>
      <c r="M1664" s="65"/>
      <c r="N1664" s="65"/>
      <c r="O1664" s="81"/>
      <c r="P1664" s="82"/>
      <c r="Q1664" s="65" t="s">
        <v>43</v>
      </c>
      <c r="R1664" s="65"/>
    </row>
    <row r="1665" ht="13.8" spans="1:18">
      <c r="A1665" s="58">
        <v>1642</v>
      </c>
      <c r="B1665" s="108">
        <v>45896</v>
      </c>
      <c r="C1665" s="84" t="s">
        <v>641</v>
      </c>
      <c r="D1665" s="112" t="s">
        <v>72</v>
      </c>
      <c r="E1665" s="65" t="s">
        <v>804</v>
      </c>
      <c r="F1665" s="107" t="s">
        <v>135</v>
      </c>
      <c r="G1665" s="65" t="s">
        <v>37</v>
      </c>
      <c r="H1665" s="65" t="s">
        <v>56</v>
      </c>
      <c r="I1665" s="86" t="s">
        <v>2644</v>
      </c>
      <c r="J1665" s="65" t="s">
        <v>137</v>
      </c>
      <c r="K1665" s="91" t="s">
        <v>2645</v>
      </c>
      <c r="L1665" s="88"/>
      <c r="M1665" s="65"/>
      <c r="N1665" s="65"/>
      <c r="O1665" s="81"/>
      <c r="P1665" s="82" t="s">
        <v>42</v>
      </c>
      <c r="Q1665" s="65" t="s">
        <v>8</v>
      </c>
      <c r="R1665" s="65"/>
    </row>
    <row r="1666" ht="26.4" spans="1:18">
      <c r="A1666" s="58">
        <v>1643</v>
      </c>
      <c r="B1666" s="108">
        <v>45896</v>
      </c>
      <c r="C1666" s="84" t="s">
        <v>640</v>
      </c>
      <c r="D1666" s="112" t="s">
        <v>72</v>
      </c>
      <c r="E1666" s="65" t="s">
        <v>804</v>
      </c>
      <c r="F1666" s="107" t="s">
        <v>50</v>
      </c>
      <c r="G1666" s="65" t="s">
        <v>79</v>
      </c>
      <c r="H1666" s="65" t="s">
        <v>144</v>
      </c>
      <c r="I1666" s="86" t="s">
        <v>2646</v>
      </c>
      <c r="J1666" s="65" t="s">
        <v>53</v>
      </c>
      <c r="K1666" s="91" t="s">
        <v>2647</v>
      </c>
      <c r="L1666" s="88"/>
      <c r="M1666" s="65"/>
      <c r="N1666" s="65"/>
      <c r="O1666" s="81"/>
      <c r="P1666" s="82"/>
      <c r="Q1666" s="65" t="s">
        <v>43</v>
      </c>
      <c r="R1666" s="65"/>
    </row>
    <row r="1667" ht="27.6" spans="1:18">
      <c r="A1667" s="58">
        <v>1644</v>
      </c>
      <c r="B1667" s="108">
        <v>45897</v>
      </c>
      <c r="C1667" s="84" t="s">
        <v>640</v>
      </c>
      <c r="D1667" s="112" t="s">
        <v>72</v>
      </c>
      <c r="E1667" s="65" t="s">
        <v>804</v>
      </c>
      <c r="F1667" s="107" t="s">
        <v>50</v>
      </c>
      <c r="G1667" s="65" t="s">
        <v>61</v>
      </c>
      <c r="H1667" s="65" t="s">
        <v>128</v>
      </c>
      <c r="I1667" s="86" t="s">
        <v>2648</v>
      </c>
      <c r="J1667" s="65" t="s">
        <v>53</v>
      </c>
      <c r="K1667" s="91" t="s">
        <v>2649</v>
      </c>
      <c r="L1667" s="88"/>
      <c r="M1667" s="65"/>
      <c r="N1667" s="65"/>
      <c r="O1667" s="81"/>
      <c r="P1667" s="82"/>
      <c r="Q1667" s="65" t="s">
        <v>43</v>
      </c>
      <c r="R1667" s="65"/>
    </row>
    <row r="1668" ht="41.4" spans="1:18">
      <c r="A1668" s="58">
        <v>1645</v>
      </c>
      <c r="B1668" s="59">
        <v>45898</v>
      </c>
      <c r="C1668" s="69" t="s">
        <v>640</v>
      </c>
      <c r="D1668" s="61" t="s">
        <v>72</v>
      </c>
      <c r="E1668" s="62" t="s">
        <v>804</v>
      </c>
      <c r="F1668" s="105" t="s">
        <v>50</v>
      </c>
      <c r="G1668" s="62" t="s">
        <v>79</v>
      </c>
      <c r="H1668" s="62" t="s">
        <v>1008</v>
      </c>
      <c r="I1668" s="83" t="s">
        <v>2650</v>
      </c>
      <c r="J1668" s="62" t="s">
        <v>53</v>
      </c>
      <c r="K1668" s="67" t="s">
        <v>2651</v>
      </c>
      <c r="L1668" s="83"/>
      <c r="M1668" s="62"/>
      <c r="N1668" s="62"/>
      <c r="O1668" s="64"/>
      <c r="P1668" s="79"/>
      <c r="Q1668" s="62" t="s">
        <v>43</v>
      </c>
      <c r="R1668" s="62"/>
    </row>
    <row r="1669" ht="26.4" spans="1:18">
      <c r="A1669" s="58">
        <v>1646</v>
      </c>
      <c r="B1669" s="59">
        <v>45893</v>
      </c>
      <c r="C1669" s="69" t="s">
        <v>659</v>
      </c>
      <c r="D1669" s="61" t="s">
        <v>72</v>
      </c>
      <c r="E1669" s="62" t="s">
        <v>804</v>
      </c>
      <c r="F1669" s="105" t="s">
        <v>50</v>
      </c>
      <c r="G1669" s="62" t="s">
        <v>82</v>
      </c>
      <c r="H1669" s="62" t="s">
        <v>46</v>
      </c>
      <c r="I1669" s="83" t="s">
        <v>2652</v>
      </c>
      <c r="J1669" s="62" t="s">
        <v>53</v>
      </c>
      <c r="K1669" s="67" t="s">
        <v>2653</v>
      </c>
      <c r="L1669" s="83"/>
      <c r="M1669" s="62"/>
      <c r="N1669" s="62"/>
      <c r="O1669" s="64"/>
      <c r="P1669" s="79"/>
      <c r="Q1669" s="62" t="s">
        <v>43</v>
      </c>
      <c r="R1669" s="62"/>
    </row>
    <row r="1670" ht="26.4" spans="1:18">
      <c r="A1670" s="58">
        <v>1647</v>
      </c>
      <c r="B1670" s="59">
        <v>45892</v>
      </c>
      <c r="C1670" s="69" t="s">
        <v>659</v>
      </c>
      <c r="D1670" s="61" t="s">
        <v>72</v>
      </c>
      <c r="E1670" s="62" t="s">
        <v>804</v>
      </c>
      <c r="F1670" s="105" t="s">
        <v>36</v>
      </c>
      <c r="G1670" s="62" t="s">
        <v>61</v>
      </c>
      <c r="H1670" s="62" t="s">
        <v>132</v>
      </c>
      <c r="I1670" s="83" t="s">
        <v>2654</v>
      </c>
      <c r="J1670" s="62" t="s">
        <v>53</v>
      </c>
      <c r="K1670" s="67" t="s">
        <v>2655</v>
      </c>
      <c r="L1670" s="83" t="s">
        <v>2656</v>
      </c>
      <c r="M1670" s="62"/>
      <c r="N1670" s="62"/>
      <c r="O1670" s="64"/>
      <c r="P1670" s="79"/>
      <c r="Q1670" s="62" t="s">
        <v>43</v>
      </c>
      <c r="R1670" s="62"/>
    </row>
    <row r="1671" ht="69" spans="1:18">
      <c r="A1671" s="58">
        <v>1648</v>
      </c>
      <c r="B1671" s="59">
        <v>45892</v>
      </c>
      <c r="C1671" s="69" t="s">
        <v>659</v>
      </c>
      <c r="D1671" s="61" t="s">
        <v>72</v>
      </c>
      <c r="E1671" s="62" t="s">
        <v>804</v>
      </c>
      <c r="F1671" s="105" t="s">
        <v>36</v>
      </c>
      <c r="G1671" s="62" t="s">
        <v>82</v>
      </c>
      <c r="H1671" s="62" t="s">
        <v>128</v>
      </c>
      <c r="I1671" s="83" t="s">
        <v>2657</v>
      </c>
      <c r="J1671" s="62" t="s">
        <v>53</v>
      </c>
      <c r="K1671" s="67" t="s">
        <v>2658</v>
      </c>
      <c r="L1671" s="83"/>
      <c r="M1671" s="62"/>
      <c r="N1671" s="62"/>
      <c r="O1671" s="64"/>
      <c r="P1671" s="79"/>
      <c r="Q1671" s="62" t="s">
        <v>43</v>
      </c>
      <c r="R1671" s="62"/>
    </row>
    <row r="1672" ht="13.8" spans="1:18">
      <c r="A1672" s="58">
        <v>1649</v>
      </c>
      <c r="B1672" s="59">
        <v>45894</v>
      </c>
      <c r="C1672" s="69" t="s">
        <v>659</v>
      </c>
      <c r="D1672" s="61" t="s">
        <v>72</v>
      </c>
      <c r="E1672" s="62" t="s">
        <v>804</v>
      </c>
      <c r="F1672" s="105" t="s">
        <v>36</v>
      </c>
      <c r="G1672" s="62" t="s">
        <v>82</v>
      </c>
      <c r="H1672" s="62" t="s">
        <v>989</v>
      </c>
      <c r="I1672" s="83" t="s">
        <v>2659</v>
      </c>
      <c r="J1672" s="62" t="s">
        <v>53</v>
      </c>
      <c r="K1672" s="67" t="s">
        <v>2660</v>
      </c>
      <c r="L1672" s="83"/>
      <c r="M1672" s="62"/>
      <c r="N1672" s="62"/>
      <c r="O1672" s="64"/>
      <c r="P1672" s="79"/>
      <c r="Q1672" s="62" t="s">
        <v>43</v>
      </c>
      <c r="R1672" s="62"/>
    </row>
    <row r="1673" ht="13.8" spans="1:18">
      <c r="A1673" s="58">
        <v>1650</v>
      </c>
      <c r="B1673" s="59">
        <v>45895</v>
      </c>
      <c r="C1673" s="69" t="s">
        <v>659</v>
      </c>
      <c r="D1673" s="61" t="s">
        <v>72</v>
      </c>
      <c r="E1673" s="62" t="s">
        <v>804</v>
      </c>
      <c r="F1673" s="105" t="s">
        <v>36</v>
      </c>
      <c r="G1673" s="62" t="s">
        <v>65</v>
      </c>
      <c r="H1673" s="62" t="s">
        <v>56</v>
      </c>
      <c r="I1673" s="83" t="s">
        <v>2661</v>
      </c>
      <c r="J1673" s="62" t="s">
        <v>53</v>
      </c>
      <c r="K1673" s="67" t="s">
        <v>2660</v>
      </c>
      <c r="L1673" s="83"/>
      <c r="M1673" s="62"/>
      <c r="N1673" s="62"/>
      <c r="O1673" s="64"/>
      <c r="P1673" s="79"/>
      <c r="Q1673" s="62" t="s">
        <v>43</v>
      </c>
      <c r="R1673" s="62"/>
    </row>
    <row r="1674" ht="27.6" spans="1:18">
      <c r="A1674" s="58">
        <v>1651</v>
      </c>
      <c r="B1674" s="59">
        <v>45871</v>
      </c>
      <c r="C1674" s="69" t="s">
        <v>191</v>
      </c>
      <c r="D1674" s="61" t="s">
        <v>35</v>
      </c>
      <c r="E1674" s="62" t="s">
        <v>73</v>
      </c>
      <c r="F1674" s="62" t="s">
        <v>36</v>
      </c>
      <c r="G1674" s="62" t="s">
        <v>45</v>
      </c>
      <c r="H1674" s="62" t="s">
        <v>38</v>
      </c>
      <c r="I1674" s="83" t="s">
        <v>1875</v>
      </c>
      <c r="J1674" s="62" t="s">
        <v>40</v>
      </c>
      <c r="K1674" s="67" t="s">
        <v>1876</v>
      </c>
      <c r="L1674" s="83"/>
      <c r="M1674" s="62"/>
      <c r="N1674" s="62"/>
      <c r="O1674" s="64"/>
      <c r="P1674" s="79"/>
      <c r="Q1674" s="79" t="s">
        <v>43</v>
      </c>
      <c r="R1674" s="62"/>
    </row>
    <row r="1675" ht="26.4" spans="1:18">
      <c r="A1675" s="58">
        <v>1652</v>
      </c>
      <c r="B1675" s="59">
        <v>45872</v>
      </c>
      <c r="C1675" s="69" t="s">
        <v>49</v>
      </c>
      <c r="D1675" s="61" t="s">
        <v>35</v>
      </c>
      <c r="E1675" s="62" t="s">
        <v>73</v>
      </c>
      <c r="F1675" s="62" t="s">
        <v>36</v>
      </c>
      <c r="G1675" s="62" t="s">
        <v>82</v>
      </c>
      <c r="H1675" s="62" t="s">
        <v>56</v>
      </c>
      <c r="I1675" s="83" t="s">
        <v>1877</v>
      </c>
      <c r="J1675" s="62" t="s">
        <v>91</v>
      </c>
      <c r="K1675" s="67" t="s">
        <v>1878</v>
      </c>
      <c r="L1675" s="83"/>
      <c r="M1675" s="62"/>
      <c r="N1675" s="62"/>
      <c r="O1675" s="64"/>
      <c r="P1675" s="79"/>
      <c r="Q1675" s="79" t="s">
        <v>43</v>
      </c>
      <c r="R1675" s="62"/>
    </row>
    <row r="1676" ht="13.8" spans="1:18">
      <c r="A1676" s="58">
        <v>1653</v>
      </c>
      <c r="B1676" s="59">
        <v>45873</v>
      </c>
      <c r="C1676" s="69" t="s">
        <v>191</v>
      </c>
      <c r="D1676" s="61" t="s">
        <v>35</v>
      </c>
      <c r="E1676" s="62" t="s">
        <v>73</v>
      </c>
      <c r="F1676" s="62" t="s">
        <v>36</v>
      </c>
      <c r="G1676" s="62" t="s">
        <v>131</v>
      </c>
      <c r="H1676" s="62" t="s">
        <v>38</v>
      </c>
      <c r="I1676" s="83" t="s">
        <v>1879</v>
      </c>
      <c r="J1676" s="62" t="s">
        <v>40</v>
      </c>
      <c r="K1676" s="67" t="s">
        <v>1880</v>
      </c>
      <c r="L1676" s="83"/>
      <c r="M1676" s="62"/>
      <c r="N1676" s="62"/>
      <c r="O1676" s="64"/>
      <c r="P1676" s="79"/>
      <c r="Q1676" s="79" t="s">
        <v>43</v>
      </c>
      <c r="R1676" s="62"/>
    </row>
    <row r="1677" ht="13.8" spans="1:18">
      <c r="A1677" s="58">
        <v>1654</v>
      </c>
      <c r="B1677" s="59">
        <v>45871</v>
      </c>
      <c r="C1677" s="69" t="s">
        <v>49</v>
      </c>
      <c r="D1677" s="61" t="s">
        <v>35</v>
      </c>
      <c r="E1677" s="62" t="s">
        <v>73</v>
      </c>
      <c r="F1677" s="62" t="s">
        <v>36</v>
      </c>
      <c r="G1677" s="62" t="s">
        <v>1790</v>
      </c>
      <c r="H1677" s="62" t="s">
        <v>56</v>
      </c>
      <c r="I1677" s="83" t="s">
        <v>1078</v>
      </c>
      <c r="J1677" s="62" t="s">
        <v>53</v>
      </c>
      <c r="K1677" s="67" t="s">
        <v>1881</v>
      </c>
      <c r="L1677" s="83"/>
      <c r="M1677" s="62"/>
      <c r="N1677" s="62"/>
      <c r="O1677" s="64"/>
      <c r="P1677" s="79"/>
      <c r="Q1677" s="79" t="s">
        <v>43</v>
      </c>
      <c r="R1677" s="62"/>
    </row>
    <row r="1678" ht="13.8" spans="1:18">
      <c r="A1678" s="58">
        <v>1655</v>
      </c>
      <c r="B1678" s="59">
        <v>45872</v>
      </c>
      <c r="C1678" s="69" t="s">
        <v>191</v>
      </c>
      <c r="D1678" s="61" t="s">
        <v>35</v>
      </c>
      <c r="E1678" s="62" t="s">
        <v>73</v>
      </c>
      <c r="F1678" s="62" t="s">
        <v>36</v>
      </c>
      <c r="G1678" s="62" t="s">
        <v>131</v>
      </c>
      <c r="H1678" s="62" t="s">
        <v>56</v>
      </c>
      <c r="I1678" s="83" t="s">
        <v>1882</v>
      </c>
      <c r="J1678" s="62" t="s">
        <v>40</v>
      </c>
      <c r="K1678" s="67" t="s">
        <v>1407</v>
      </c>
      <c r="L1678" s="83"/>
      <c r="M1678" s="62"/>
      <c r="N1678" s="62"/>
      <c r="O1678" s="64"/>
      <c r="P1678" s="79"/>
      <c r="Q1678" s="79" t="s">
        <v>43</v>
      </c>
      <c r="R1678" s="62"/>
    </row>
    <row r="1679" ht="13.8" spans="1:18">
      <c r="A1679" s="58">
        <v>1656</v>
      </c>
      <c r="B1679" s="59">
        <v>45872</v>
      </c>
      <c r="C1679" s="69" t="s">
        <v>208</v>
      </c>
      <c r="D1679" s="61" t="s">
        <v>35</v>
      </c>
      <c r="E1679" s="62" t="s">
        <v>73</v>
      </c>
      <c r="F1679" s="62" t="s">
        <v>36</v>
      </c>
      <c r="G1679" s="62" t="s">
        <v>61</v>
      </c>
      <c r="H1679" s="62" t="s">
        <v>56</v>
      </c>
      <c r="I1679" s="83" t="s">
        <v>1883</v>
      </c>
      <c r="J1679" s="62" t="s">
        <v>40</v>
      </c>
      <c r="K1679" s="67" t="s">
        <v>1884</v>
      </c>
      <c r="L1679" s="83"/>
      <c r="M1679" s="62"/>
      <c r="N1679" s="62"/>
      <c r="O1679" s="64"/>
      <c r="P1679" s="79"/>
      <c r="Q1679" s="79" t="s">
        <v>43</v>
      </c>
      <c r="R1679" s="62"/>
    </row>
    <row r="1680" ht="13.8" spans="1:18">
      <c r="A1680" s="58">
        <v>1657</v>
      </c>
      <c r="B1680" s="59">
        <v>45871</v>
      </c>
      <c r="C1680" s="69" t="s">
        <v>49</v>
      </c>
      <c r="D1680" s="61" t="s">
        <v>35</v>
      </c>
      <c r="E1680" s="62" t="s">
        <v>73</v>
      </c>
      <c r="F1680" s="62" t="s">
        <v>36</v>
      </c>
      <c r="G1680" s="62" t="s">
        <v>1790</v>
      </c>
      <c r="H1680" s="62" t="s">
        <v>94</v>
      </c>
      <c r="I1680" s="83" t="s">
        <v>1887</v>
      </c>
      <c r="J1680" s="62" t="s">
        <v>53</v>
      </c>
      <c r="K1680" s="67" t="s">
        <v>1888</v>
      </c>
      <c r="L1680" s="83"/>
      <c r="M1680" s="62"/>
      <c r="N1680" s="62"/>
      <c r="O1680" s="64"/>
      <c r="P1680" s="79"/>
      <c r="Q1680" s="79" t="s">
        <v>43</v>
      </c>
      <c r="R1680" s="62"/>
    </row>
    <row r="1681" ht="13.8" spans="1:18">
      <c r="A1681" s="58">
        <v>1658</v>
      </c>
      <c r="B1681" s="59">
        <v>45872</v>
      </c>
      <c r="C1681" s="69" t="s">
        <v>1933</v>
      </c>
      <c r="D1681" s="61" t="s">
        <v>35</v>
      </c>
      <c r="E1681" s="62" t="s">
        <v>73</v>
      </c>
      <c r="F1681" s="62" t="s">
        <v>36</v>
      </c>
      <c r="G1681" s="62" t="s">
        <v>61</v>
      </c>
      <c r="H1681" s="62" t="s">
        <v>38</v>
      </c>
      <c r="I1681" s="83" t="s">
        <v>1889</v>
      </c>
      <c r="J1681" s="62" t="s">
        <v>40</v>
      </c>
      <c r="K1681" s="67" t="s">
        <v>1890</v>
      </c>
      <c r="L1681" s="83"/>
      <c r="M1681" s="62"/>
      <c r="N1681" s="62"/>
      <c r="O1681" s="64"/>
      <c r="P1681" s="79"/>
      <c r="Q1681" s="79" t="s">
        <v>43</v>
      </c>
      <c r="R1681" s="62"/>
    </row>
    <row r="1682" ht="13.8" spans="1:18">
      <c r="A1682" s="58">
        <v>1659</v>
      </c>
      <c r="B1682" s="59">
        <v>45873</v>
      </c>
      <c r="C1682" s="69" t="s">
        <v>1933</v>
      </c>
      <c r="D1682" s="61" t="s">
        <v>35</v>
      </c>
      <c r="E1682" s="62" t="s">
        <v>73</v>
      </c>
      <c r="F1682" s="62" t="s">
        <v>36</v>
      </c>
      <c r="G1682" s="62" t="s">
        <v>82</v>
      </c>
      <c r="H1682" s="62" t="s">
        <v>132</v>
      </c>
      <c r="I1682" s="83" t="s">
        <v>1891</v>
      </c>
      <c r="J1682" s="62" t="s">
        <v>40</v>
      </c>
      <c r="K1682" s="67" t="s">
        <v>1892</v>
      </c>
      <c r="L1682" s="83"/>
      <c r="M1682" s="62"/>
      <c r="N1682" s="62"/>
      <c r="O1682" s="64"/>
      <c r="P1682" s="79"/>
      <c r="Q1682" s="79" t="s">
        <v>43</v>
      </c>
      <c r="R1682" s="62"/>
    </row>
    <row r="1683" ht="13.8" spans="1:18">
      <c r="A1683" s="58">
        <v>1660</v>
      </c>
      <c r="B1683" s="59">
        <v>45871</v>
      </c>
      <c r="C1683" s="69" t="s">
        <v>191</v>
      </c>
      <c r="D1683" s="61" t="s">
        <v>35</v>
      </c>
      <c r="E1683" s="62" t="s">
        <v>73</v>
      </c>
      <c r="F1683" s="62" t="s">
        <v>36</v>
      </c>
      <c r="G1683" s="62" t="s">
        <v>82</v>
      </c>
      <c r="H1683" s="62" t="s">
        <v>1008</v>
      </c>
      <c r="I1683" s="83" t="s">
        <v>1893</v>
      </c>
      <c r="J1683" s="62" t="s">
        <v>53</v>
      </c>
      <c r="K1683" s="67" t="s">
        <v>1894</v>
      </c>
      <c r="L1683" s="83"/>
      <c r="M1683" s="62"/>
      <c r="N1683" s="62"/>
      <c r="O1683" s="64"/>
      <c r="P1683" s="79"/>
      <c r="Q1683" s="79" t="s">
        <v>43</v>
      </c>
      <c r="R1683" s="62"/>
    </row>
    <row r="1684" ht="13.8" spans="1:18">
      <c r="A1684" s="58">
        <v>1661</v>
      </c>
      <c r="B1684" s="59">
        <v>45873</v>
      </c>
      <c r="C1684" s="69" t="s">
        <v>49</v>
      </c>
      <c r="D1684" s="61" t="s">
        <v>35</v>
      </c>
      <c r="E1684" s="62" t="s">
        <v>73</v>
      </c>
      <c r="F1684" s="62" t="s">
        <v>36</v>
      </c>
      <c r="G1684" s="62" t="s">
        <v>45</v>
      </c>
      <c r="H1684" s="62" t="s">
        <v>56</v>
      </c>
      <c r="I1684" s="83" t="s">
        <v>1895</v>
      </c>
      <c r="J1684" s="62" t="s">
        <v>40</v>
      </c>
      <c r="K1684" s="67" t="s">
        <v>1896</v>
      </c>
      <c r="L1684" s="83"/>
      <c r="M1684" s="62"/>
      <c r="N1684" s="62"/>
      <c r="O1684" s="64"/>
      <c r="P1684" s="79"/>
      <c r="Q1684" s="79" t="s">
        <v>43</v>
      </c>
      <c r="R1684" s="62"/>
    </row>
    <row r="1685" ht="13.8" spans="1:18">
      <c r="A1685" s="58">
        <v>1662</v>
      </c>
      <c r="B1685" s="59">
        <v>45873</v>
      </c>
      <c r="C1685" s="69" t="s">
        <v>191</v>
      </c>
      <c r="D1685" s="61" t="s">
        <v>35</v>
      </c>
      <c r="E1685" s="62" t="s">
        <v>73</v>
      </c>
      <c r="F1685" s="62" t="s">
        <v>36</v>
      </c>
      <c r="G1685" s="62" t="s">
        <v>61</v>
      </c>
      <c r="H1685" s="62" t="s">
        <v>56</v>
      </c>
      <c r="I1685" s="83" t="s">
        <v>1897</v>
      </c>
      <c r="J1685" s="62" t="s">
        <v>53</v>
      </c>
      <c r="K1685" s="67" t="s">
        <v>1898</v>
      </c>
      <c r="L1685" s="83"/>
      <c r="M1685" s="62"/>
      <c r="N1685" s="62"/>
      <c r="O1685" s="64"/>
      <c r="P1685" s="79"/>
      <c r="Q1685" s="79" t="s">
        <v>43</v>
      </c>
      <c r="R1685" s="62"/>
    </row>
    <row r="1686" ht="13.8" spans="1:18">
      <c r="A1686" s="58">
        <v>1663</v>
      </c>
      <c r="B1686" s="59">
        <v>45871</v>
      </c>
      <c r="C1686" s="69" t="s">
        <v>191</v>
      </c>
      <c r="D1686" s="61" t="s">
        <v>35</v>
      </c>
      <c r="E1686" s="62" t="s">
        <v>73</v>
      </c>
      <c r="F1686" s="62" t="s">
        <v>50</v>
      </c>
      <c r="G1686" s="62" t="s">
        <v>45</v>
      </c>
      <c r="H1686" s="62" t="s">
        <v>51</v>
      </c>
      <c r="I1686" s="83" t="s">
        <v>1427</v>
      </c>
      <c r="J1686" s="62" t="s">
        <v>53</v>
      </c>
      <c r="K1686" s="67" t="s">
        <v>1428</v>
      </c>
      <c r="L1686" s="83"/>
      <c r="M1686" s="62"/>
      <c r="N1686" s="62"/>
      <c r="O1686" s="64"/>
      <c r="P1686" s="79"/>
      <c r="Q1686" s="79" t="s">
        <v>43</v>
      </c>
      <c r="R1686" s="62"/>
    </row>
    <row r="1687" ht="13.8" spans="1:18">
      <c r="A1687" s="58">
        <v>1664</v>
      </c>
      <c r="B1687" s="59">
        <v>45872</v>
      </c>
      <c r="C1687" s="69" t="s">
        <v>1933</v>
      </c>
      <c r="D1687" s="61" t="s">
        <v>35</v>
      </c>
      <c r="E1687" s="62" t="s">
        <v>73</v>
      </c>
      <c r="F1687" s="62" t="s">
        <v>50</v>
      </c>
      <c r="G1687" s="62" t="s">
        <v>82</v>
      </c>
      <c r="H1687" s="62" t="s">
        <v>51</v>
      </c>
      <c r="I1687" s="83" t="s">
        <v>367</v>
      </c>
      <c r="J1687" s="62" t="s">
        <v>53</v>
      </c>
      <c r="K1687" s="67" t="s">
        <v>1429</v>
      </c>
      <c r="L1687" s="83"/>
      <c r="M1687" s="62"/>
      <c r="N1687" s="62"/>
      <c r="O1687" s="64"/>
      <c r="P1687" s="79"/>
      <c r="Q1687" s="79" t="s">
        <v>43</v>
      </c>
      <c r="R1687" s="62"/>
    </row>
    <row r="1688" ht="13.8" spans="1:18">
      <c r="A1688" s="58">
        <v>1665</v>
      </c>
      <c r="B1688" s="59">
        <v>45873</v>
      </c>
      <c r="C1688" s="69" t="s">
        <v>1903</v>
      </c>
      <c r="D1688" s="61" t="s">
        <v>35</v>
      </c>
      <c r="E1688" s="62" t="s">
        <v>73</v>
      </c>
      <c r="F1688" s="62" t="s">
        <v>50</v>
      </c>
      <c r="G1688" s="62" t="s">
        <v>93</v>
      </c>
      <c r="H1688" s="62" t="s">
        <v>51</v>
      </c>
      <c r="I1688" s="83" t="s">
        <v>2662</v>
      </c>
      <c r="J1688" s="62" t="s">
        <v>53</v>
      </c>
      <c r="K1688" s="67" t="s">
        <v>1431</v>
      </c>
      <c r="L1688" s="83"/>
      <c r="M1688" s="62"/>
      <c r="N1688" s="62"/>
      <c r="O1688" s="64"/>
      <c r="P1688" s="79"/>
      <c r="Q1688" s="79" t="s">
        <v>43</v>
      </c>
      <c r="R1688" s="62"/>
    </row>
    <row r="1689" ht="26.4" spans="1:18">
      <c r="A1689" s="58">
        <v>1666</v>
      </c>
      <c r="B1689" s="59">
        <v>45871</v>
      </c>
      <c r="C1689" s="69" t="s">
        <v>191</v>
      </c>
      <c r="D1689" s="61" t="s">
        <v>35</v>
      </c>
      <c r="E1689" s="62" t="s">
        <v>73</v>
      </c>
      <c r="F1689" s="62" t="s">
        <v>135</v>
      </c>
      <c r="G1689" s="62" t="s">
        <v>131</v>
      </c>
      <c r="H1689" s="62" t="s">
        <v>94</v>
      </c>
      <c r="I1689" s="83" t="s">
        <v>1945</v>
      </c>
      <c r="J1689" s="62" t="s">
        <v>137</v>
      </c>
      <c r="K1689" s="67" t="s">
        <v>554</v>
      </c>
      <c r="L1689" s="83"/>
      <c r="M1689" s="62"/>
      <c r="N1689" s="62"/>
      <c r="O1689" s="64"/>
      <c r="P1689" s="79"/>
      <c r="Q1689" s="79" t="s">
        <v>8</v>
      </c>
      <c r="R1689" s="62"/>
    </row>
    <row r="1690" ht="26.4" spans="1:18">
      <c r="A1690" s="58">
        <v>1667</v>
      </c>
      <c r="B1690" s="59">
        <v>45871</v>
      </c>
      <c r="C1690" s="69" t="s">
        <v>49</v>
      </c>
      <c r="D1690" s="61" t="s">
        <v>35</v>
      </c>
      <c r="E1690" s="62" t="s">
        <v>73</v>
      </c>
      <c r="F1690" s="62" t="s">
        <v>135</v>
      </c>
      <c r="G1690" s="62" t="s">
        <v>45</v>
      </c>
      <c r="H1690" s="62" t="s">
        <v>132</v>
      </c>
      <c r="I1690" s="83" t="s">
        <v>319</v>
      </c>
      <c r="J1690" s="62" t="s">
        <v>137</v>
      </c>
      <c r="K1690" s="67" t="s">
        <v>204</v>
      </c>
      <c r="L1690" s="83"/>
      <c r="M1690" s="62"/>
      <c r="N1690" s="62"/>
      <c r="O1690" s="64"/>
      <c r="P1690" s="79"/>
      <c r="Q1690" s="79" t="s">
        <v>8</v>
      </c>
      <c r="R1690" s="62"/>
    </row>
    <row r="1691" ht="26.4" spans="1:18">
      <c r="A1691" s="58">
        <v>1668</v>
      </c>
      <c r="B1691" s="59">
        <v>45873</v>
      </c>
      <c r="C1691" s="69" t="s">
        <v>1903</v>
      </c>
      <c r="D1691" s="61" t="s">
        <v>35</v>
      </c>
      <c r="E1691" s="62" t="s">
        <v>804</v>
      </c>
      <c r="F1691" s="62" t="s">
        <v>192</v>
      </c>
      <c r="G1691" s="62" t="s">
        <v>131</v>
      </c>
      <c r="H1691" s="62" t="s">
        <v>51</v>
      </c>
      <c r="I1691" s="83" t="s">
        <v>321</v>
      </c>
      <c r="J1691" s="62" t="s">
        <v>137</v>
      </c>
      <c r="K1691" s="67" t="s">
        <v>1874</v>
      </c>
      <c r="L1691" s="83"/>
      <c r="M1691" s="62"/>
      <c r="N1691" s="62"/>
      <c r="O1691" s="64"/>
      <c r="P1691" s="79"/>
      <c r="Q1691" s="79" t="s">
        <v>8</v>
      </c>
      <c r="R1691" s="62"/>
    </row>
    <row r="1692" ht="13.8" spans="1:18">
      <c r="A1692" s="58">
        <v>1669</v>
      </c>
      <c r="B1692" s="59">
        <v>45871</v>
      </c>
      <c r="C1692" s="69" t="s">
        <v>49</v>
      </c>
      <c r="D1692" s="61" t="s">
        <v>35</v>
      </c>
      <c r="E1692" s="62" t="s">
        <v>804</v>
      </c>
      <c r="F1692" s="62" t="s">
        <v>50</v>
      </c>
      <c r="G1692" s="62" t="s">
        <v>1790</v>
      </c>
      <c r="H1692" s="62" t="s">
        <v>376</v>
      </c>
      <c r="I1692" s="83" t="s">
        <v>1205</v>
      </c>
      <c r="J1692" s="62" t="s">
        <v>91</v>
      </c>
      <c r="K1692" s="67" t="s">
        <v>2473</v>
      </c>
      <c r="L1692" s="83"/>
      <c r="M1692" s="62"/>
      <c r="N1692" s="62"/>
      <c r="O1692" s="64"/>
      <c r="P1692" s="79"/>
      <c r="Q1692" s="79" t="s">
        <v>43</v>
      </c>
      <c r="R1692" s="62"/>
    </row>
    <row r="1693" ht="27.6" spans="1:18">
      <c r="A1693" s="58">
        <v>1670</v>
      </c>
      <c r="B1693" s="59">
        <v>45872</v>
      </c>
      <c r="C1693" s="69" t="s">
        <v>49</v>
      </c>
      <c r="D1693" s="61" t="s">
        <v>35</v>
      </c>
      <c r="E1693" s="62" t="s">
        <v>804</v>
      </c>
      <c r="F1693" s="62" t="s">
        <v>50</v>
      </c>
      <c r="G1693" s="62" t="s">
        <v>61</v>
      </c>
      <c r="H1693" s="62" t="s">
        <v>94</v>
      </c>
      <c r="I1693" s="83" t="s">
        <v>2474</v>
      </c>
      <c r="J1693" s="62" t="s">
        <v>91</v>
      </c>
      <c r="K1693" s="67" t="s">
        <v>1175</v>
      </c>
      <c r="L1693" s="83"/>
      <c r="M1693" s="62"/>
      <c r="N1693" s="62"/>
      <c r="O1693" s="64"/>
      <c r="P1693" s="79"/>
      <c r="Q1693" s="79" t="s">
        <v>43</v>
      </c>
      <c r="R1693" s="62"/>
    </row>
    <row r="1694" ht="13.8" spans="1:18">
      <c r="A1694" s="58">
        <v>1671</v>
      </c>
      <c r="B1694" s="59">
        <v>45873</v>
      </c>
      <c r="C1694" s="69" t="s">
        <v>49</v>
      </c>
      <c r="D1694" s="61" t="s">
        <v>35</v>
      </c>
      <c r="E1694" s="62" t="s">
        <v>804</v>
      </c>
      <c r="F1694" s="62" t="s">
        <v>135</v>
      </c>
      <c r="G1694" s="62" t="s">
        <v>259</v>
      </c>
      <c r="H1694" s="62" t="s">
        <v>56</v>
      </c>
      <c r="I1694" s="83" t="s">
        <v>2169</v>
      </c>
      <c r="J1694" s="62" t="s">
        <v>137</v>
      </c>
      <c r="K1694" s="67" t="s">
        <v>194</v>
      </c>
      <c r="L1694" s="83"/>
      <c r="M1694" s="62"/>
      <c r="N1694" s="62"/>
      <c r="O1694" s="64"/>
      <c r="P1694" s="79"/>
      <c r="Q1694" s="79" t="s">
        <v>8</v>
      </c>
      <c r="R1694" s="62"/>
    </row>
    <row r="1695" ht="13.8" spans="1:18">
      <c r="A1695" s="58">
        <v>1672</v>
      </c>
      <c r="B1695" s="59">
        <v>45872</v>
      </c>
      <c r="C1695" s="69" t="s">
        <v>198</v>
      </c>
      <c r="D1695" s="61" t="s">
        <v>35</v>
      </c>
      <c r="E1695" s="62" t="s">
        <v>804</v>
      </c>
      <c r="F1695" s="62" t="s">
        <v>192</v>
      </c>
      <c r="G1695" s="62" t="s">
        <v>65</v>
      </c>
      <c r="H1695" s="62" t="s">
        <v>2663</v>
      </c>
      <c r="I1695" s="83" t="s">
        <v>2170</v>
      </c>
      <c r="J1695" s="62" t="s">
        <v>137</v>
      </c>
      <c r="K1695" s="67" t="s">
        <v>194</v>
      </c>
      <c r="L1695" s="83"/>
      <c r="M1695" s="62"/>
      <c r="N1695" s="62"/>
      <c r="O1695" s="64"/>
      <c r="P1695" s="79"/>
      <c r="Q1695" s="79" t="s">
        <v>8</v>
      </c>
      <c r="R1695" s="62"/>
    </row>
    <row r="1696" ht="13.8" spans="1:18">
      <c r="A1696" s="58">
        <v>1673</v>
      </c>
      <c r="B1696" s="59">
        <v>45873</v>
      </c>
      <c r="C1696" s="69" t="s">
        <v>1961</v>
      </c>
      <c r="D1696" s="61" t="s">
        <v>35</v>
      </c>
      <c r="E1696" s="62" t="s">
        <v>1962</v>
      </c>
      <c r="F1696" s="62" t="s">
        <v>135</v>
      </c>
      <c r="G1696" s="62" t="s">
        <v>1790</v>
      </c>
      <c r="H1696" s="62" t="s">
        <v>132</v>
      </c>
      <c r="I1696" s="83" t="s">
        <v>1963</v>
      </c>
      <c r="J1696" s="62" t="s">
        <v>137</v>
      </c>
      <c r="K1696" s="67" t="s">
        <v>194</v>
      </c>
      <c r="L1696" s="83"/>
      <c r="M1696" s="62"/>
      <c r="N1696" s="62"/>
      <c r="O1696" s="64"/>
      <c r="P1696" s="79"/>
      <c r="Q1696" s="79" t="s">
        <v>8</v>
      </c>
      <c r="R1696" s="62"/>
    </row>
    <row r="1697" ht="27.6" spans="1:18">
      <c r="A1697" s="58">
        <v>1675</v>
      </c>
      <c r="B1697" s="59">
        <v>45874</v>
      </c>
      <c r="C1697" s="69" t="s">
        <v>49</v>
      </c>
      <c r="D1697" s="61" t="s">
        <v>35</v>
      </c>
      <c r="E1697" s="62" t="s">
        <v>73</v>
      </c>
      <c r="F1697" s="62" t="s">
        <v>36</v>
      </c>
      <c r="G1697" s="62" t="s">
        <v>1790</v>
      </c>
      <c r="H1697" s="62" t="s">
        <v>94</v>
      </c>
      <c r="I1697" s="83" t="s">
        <v>1899</v>
      </c>
      <c r="J1697" s="62" t="s">
        <v>40</v>
      </c>
      <c r="K1697" s="67" t="s">
        <v>1900</v>
      </c>
      <c r="L1697" s="83"/>
      <c r="M1697" s="62"/>
      <c r="N1697" s="62"/>
      <c r="O1697" s="64"/>
      <c r="P1697" s="79"/>
      <c r="Q1697" s="79" t="s">
        <v>43</v>
      </c>
      <c r="R1697" s="62"/>
    </row>
    <row r="1698" ht="27.6" spans="1:18">
      <c r="A1698" s="58">
        <v>1676</v>
      </c>
      <c r="B1698" s="59">
        <v>45875</v>
      </c>
      <c r="C1698" s="69" t="s">
        <v>1933</v>
      </c>
      <c r="D1698" s="61" t="s">
        <v>35</v>
      </c>
      <c r="E1698" s="62" t="s">
        <v>73</v>
      </c>
      <c r="F1698" s="62" t="s">
        <v>36</v>
      </c>
      <c r="G1698" s="62" t="s">
        <v>1790</v>
      </c>
      <c r="H1698" s="62" t="s">
        <v>46</v>
      </c>
      <c r="I1698" s="83" t="s">
        <v>398</v>
      </c>
      <c r="J1698" s="62" t="s">
        <v>40</v>
      </c>
      <c r="K1698" s="67" t="s">
        <v>1901</v>
      </c>
      <c r="L1698" s="83"/>
      <c r="M1698" s="62"/>
      <c r="N1698" s="62"/>
      <c r="O1698" s="64"/>
      <c r="P1698" s="79"/>
      <c r="Q1698" s="79" t="s">
        <v>43</v>
      </c>
      <c r="R1698" s="62"/>
    </row>
    <row r="1699" ht="13.8" spans="1:18">
      <c r="A1699" s="58">
        <v>1677</v>
      </c>
      <c r="B1699" s="59">
        <v>45874</v>
      </c>
      <c r="C1699" s="69" t="s">
        <v>191</v>
      </c>
      <c r="D1699" s="61" t="s">
        <v>35</v>
      </c>
      <c r="E1699" s="62" t="s">
        <v>73</v>
      </c>
      <c r="F1699" s="62" t="s">
        <v>36</v>
      </c>
      <c r="G1699" s="62" t="s">
        <v>45</v>
      </c>
      <c r="H1699" s="62" t="s">
        <v>150</v>
      </c>
      <c r="I1699" s="83" t="s">
        <v>1904</v>
      </c>
      <c r="J1699" s="62" t="s">
        <v>53</v>
      </c>
      <c r="K1699" s="67" t="s">
        <v>1905</v>
      </c>
      <c r="L1699" s="83"/>
      <c r="M1699" s="62"/>
      <c r="N1699" s="62"/>
      <c r="O1699" s="64"/>
      <c r="P1699" s="79"/>
      <c r="Q1699" s="79" t="s">
        <v>43</v>
      </c>
      <c r="R1699" s="62"/>
    </row>
    <row r="1700" ht="13.8" spans="1:18">
      <c r="A1700" s="58">
        <v>1678</v>
      </c>
      <c r="B1700" s="59">
        <v>45878</v>
      </c>
      <c r="C1700" s="69" t="s">
        <v>1933</v>
      </c>
      <c r="D1700" s="61" t="s">
        <v>35</v>
      </c>
      <c r="E1700" s="62" t="s">
        <v>73</v>
      </c>
      <c r="F1700" s="62" t="s">
        <v>36</v>
      </c>
      <c r="G1700" s="62" t="s">
        <v>1790</v>
      </c>
      <c r="H1700" s="62" t="s">
        <v>56</v>
      </c>
      <c r="I1700" s="83" t="s">
        <v>1906</v>
      </c>
      <c r="J1700" s="62" t="s">
        <v>40</v>
      </c>
      <c r="K1700" s="67" t="s">
        <v>430</v>
      </c>
      <c r="L1700" s="83"/>
      <c r="M1700" s="62"/>
      <c r="N1700" s="62"/>
      <c r="O1700" s="64"/>
      <c r="P1700" s="79"/>
      <c r="Q1700" s="79" t="s">
        <v>43</v>
      </c>
      <c r="R1700" s="62"/>
    </row>
    <row r="1701" ht="13.8" spans="1:18">
      <c r="A1701" s="58">
        <v>1679</v>
      </c>
      <c r="B1701" s="59">
        <v>45879</v>
      </c>
      <c r="C1701" s="69" t="s">
        <v>49</v>
      </c>
      <c r="D1701" s="61" t="s">
        <v>35</v>
      </c>
      <c r="E1701" s="62" t="s">
        <v>73</v>
      </c>
      <c r="F1701" s="62" t="s">
        <v>36</v>
      </c>
      <c r="G1701" s="62" t="s">
        <v>61</v>
      </c>
      <c r="H1701" s="62" t="s">
        <v>38</v>
      </c>
      <c r="I1701" s="83" t="s">
        <v>1907</v>
      </c>
      <c r="J1701" s="62" t="s">
        <v>40</v>
      </c>
      <c r="K1701" s="67" t="s">
        <v>1884</v>
      </c>
      <c r="L1701" s="83"/>
      <c r="M1701" s="62"/>
      <c r="N1701" s="62"/>
      <c r="O1701" s="64"/>
      <c r="P1701" s="79"/>
      <c r="Q1701" s="79" t="s">
        <v>43</v>
      </c>
      <c r="R1701" s="62"/>
    </row>
    <row r="1702" ht="13.8" spans="1:18">
      <c r="A1702" s="58">
        <v>1680</v>
      </c>
      <c r="B1702" s="59">
        <v>45880</v>
      </c>
      <c r="C1702" s="69" t="s">
        <v>191</v>
      </c>
      <c r="D1702" s="61" t="s">
        <v>35</v>
      </c>
      <c r="E1702" s="62" t="s">
        <v>73</v>
      </c>
      <c r="F1702" s="62" t="s">
        <v>36</v>
      </c>
      <c r="G1702" s="62" t="s">
        <v>1790</v>
      </c>
      <c r="H1702" s="62" t="s">
        <v>94</v>
      </c>
      <c r="I1702" s="83" t="s">
        <v>184</v>
      </c>
      <c r="J1702" s="62" t="s">
        <v>40</v>
      </c>
      <c r="K1702" s="67" t="s">
        <v>1909</v>
      </c>
      <c r="L1702" s="83"/>
      <c r="M1702" s="62"/>
      <c r="N1702" s="62"/>
      <c r="O1702" s="64"/>
      <c r="P1702" s="79"/>
      <c r="Q1702" s="79" t="s">
        <v>43</v>
      </c>
      <c r="R1702" s="62"/>
    </row>
    <row r="1703" ht="13.8" spans="1:18">
      <c r="A1703" s="58">
        <v>1681</v>
      </c>
      <c r="B1703" s="59">
        <v>45874</v>
      </c>
      <c r="C1703" s="69" t="s">
        <v>1903</v>
      </c>
      <c r="D1703" s="61" t="s">
        <v>35</v>
      </c>
      <c r="E1703" s="62" t="s">
        <v>73</v>
      </c>
      <c r="F1703" s="62" t="s">
        <v>36</v>
      </c>
      <c r="G1703" s="62" t="s">
        <v>82</v>
      </c>
      <c r="H1703" s="62" t="s">
        <v>38</v>
      </c>
      <c r="I1703" s="83" t="s">
        <v>1910</v>
      </c>
      <c r="J1703" s="62" t="s">
        <v>91</v>
      </c>
      <c r="K1703" s="67" t="s">
        <v>1911</v>
      </c>
      <c r="L1703" s="83"/>
      <c r="M1703" s="62"/>
      <c r="N1703" s="62"/>
      <c r="O1703" s="64"/>
      <c r="P1703" s="79"/>
      <c r="Q1703" s="79" t="s">
        <v>43</v>
      </c>
      <c r="R1703" s="62"/>
    </row>
    <row r="1704" ht="13.8" spans="1:18">
      <c r="A1704" s="58">
        <v>1682</v>
      </c>
      <c r="B1704" s="59">
        <v>45880</v>
      </c>
      <c r="C1704" s="69" t="s">
        <v>1903</v>
      </c>
      <c r="D1704" s="61" t="s">
        <v>35</v>
      </c>
      <c r="E1704" s="62" t="s">
        <v>73</v>
      </c>
      <c r="F1704" s="62" t="s">
        <v>36</v>
      </c>
      <c r="G1704" s="62" t="s">
        <v>1790</v>
      </c>
      <c r="H1704" s="62" t="s">
        <v>56</v>
      </c>
      <c r="I1704" s="83" t="s">
        <v>431</v>
      </c>
      <c r="J1704" s="62" t="s">
        <v>40</v>
      </c>
      <c r="K1704" s="67" t="s">
        <v>430</v>
      </c>
      <c r="L1704" s="83"/>
      <c r="M1704" s="62"/>
      <c r="N1704" s="62"/>
      <c r="O1704" s="64"/>
      <c r="P1704" s="79"/>
      <c r="Q1704" s="79" t="s">
        <v>43</v>
      </c>
      <c r="R1704" s="62"/>
    </row>
    <row r="1705" ht="13.8" spans="1:18">
      <c r="A1705" s="58">
        <v>1683</v>
      </c>
      <c r="B1705" s="59">
        <v>45876</v>
      </c>
      <c r="C1705" s="69" t="s">
        <v>191</v>
      </c>
      <c r="D1705" s="61" t="s">
        <v>35</v>
      </c>
      <c r="E1705" s="62" t="s">
        <v>73</v>
      </c>
      <c r="F1705" s="62" t="s">
        <v>36</v>
      </c>
      <c r="G1705" s="62" t="s">
        <v>61</v>
      </c>
      <c r="H1705" s="62" t="s">
        <v>94</v>
      </c>
      <c r="I1705" s="83" t="s">
        <v>1913</v>
      </c>
      <c r="J1705" s="62" t="s">
        <v>40</v>
      </c>
      <c r="K1705" s="67" t="s">
        <v>426</v>
      </c>
      <c r="L1705" s="83"/>
      <c r="M1705" s="62"/>
      <c r="N1705" s="62"/>
      <c r="O1705" s="64"/>
      <c r="P1705" s="79"/>
      <c r="Q1705" s="79" t="s">
        <v>43</v>
      </c>
      <c r="R1705" s="62"/>
    </row>
    <row r="1706" ht="13.8" spans="1:18">
      <c r="A1706" s="58">
        <v>1684</v>
      </c>
      <c r="B1706" s="59">
        <v>45878</v>
      </c>
      <c r="C1706" s="69" t="s">
        <v>49</v>
      </c>
      <c r="D1706" s="61" t="s">
        <v>35</v>
      </c>
      <c r="E1706" s="62" t="s">
        <v>73</v>
      </c>
      <c r="F1706" s="62" t="s">
        <v>36</v>
      </c>
      <c r="G1706" s="62" t="s">
        <v>65</v>
      </c>
      <c r="H1706" s="62" t="s">
        <v>56</v>
      </c>
      <c r="I1706" s="83" t="s">
        <v>1914</v>
      </c>
      <c r="J1706" s="62" t="s">
        <v>40</v>
      </c>
      <c r="K1706" s="67" t="s">
        <v>1915</v>
      </c>
      <c r="L1706" s="83"/>
      <c r="M1706" s="62"/>
      <c r="N1706" s="62"/>
      <c r="O1706" s="64"/>
      <c r="P1706" s="79"/>
      <c r="Q1706" s="79" t="s">
        <v>43</v>
      </c>
      <c r="R1706" s="62"/>
    </row>
    <row r="1707" ht="26.4" spans="1:18">
      <c r="A1707" s="58">
        <v>1685</v>
      </c>
      <c r="B1707" s="59">
        <v>45879</v>
      </c>
      <c r="C1707" s="69" t="s">
        <v>1933</v>
      </c>
      <c r="D1707" s="61" t="s">
        <v>35</v>
      </c>
      <c r="E1707" s="62" t="s">
        <v>73</v>
      </c>
      <c r="F1707" s="62" t="s">
        <v>135</v>
      </c>
      <c r="G1707" s="62" t="s">
        <v>45</v>
      </c>
      <c r="H1707" s="62" t="s">
        <v>132</v>
      </c>
      <c r="I1707" s="83" t="s">
        <v>319</v>
      </c>
      <c r="J1707" s="62" t="s">
        <v>137</v>
      </c>
      <c r="K1707" s="67" t="s">
        <v>204</v>
      </c>
      <c r="L1707" s="83"/>
      <c r="M1707" s="62"/>
      <c r="N1707" s="62"/>
      <c r="O1707" s="64"/>
      <c r="P1707" s="79"/>
      <c r="Q1707" s="79" t="s">
        <v>8</v>
      </c>
      <c r="R1707" s="62"/>
    </row>
    <row r="1708" ht="26.4" spans="1:18">
      <c r="A1708" s="58">
        <v>1686</v>
      </c>
      <c r="B1708" s="59">
        <v>45880</v>
      </c>
      <c r="C1708" s="69" t="s">
        <v>198</v>
      </c>
      <c r="D1708" s="61" t="s">
        <v>35</v>
      </c>
      <c r="E1708" s="62" t="s">
        <v>73</v>
      </c>
      <c r="F1708" s="62" t="s">
        <v>135</v>
      </c>
      <c r="G1708" s="62" t="s">
        <v>61</v>
      </c>
      <c r="H1708" s="62" t="s">
        <v>132</v>
      </c>
      <c r="I1708" s="83" t="s">
        <v>1141</v>
      </c>
      <c r="J1708" s="62" t="s">
        <v>137</v>
      </c>
      <c r="K1708" s="67" t="s">
        <v>1946</v>
      </c>
      <c r="L1708" s="83"/>
      <c r="M1708" s="62"/>
      <c r="N1708" s="62"/>
      <c r="O1708" s="64"/>
      <c r="P1708" s="79"/>
      <c r="Q1708" s="79" t="s">
        <v>8</v>
      </c>
      <c r="R1708" s="62"/>
    </row>
    <row r="1709" ht="13.8" spans="1:18">
      <c r="A1709" s="58">
        <v>1687</v>
      </c>
      <c r="B1709" s="59">
        <v>45874</v>
      </c>
      <c r="C1709" s="69" t="s">
        <v>49</v>
      </c>
      <c r="D1709" s="61" t="s">
        <v>35</v>
      </c>
      <c r="E1709" s="62" t="s">
        <v>73</v>
      </c>
      <c r="F1709" s="62" t="s">
        <v>135</v>
      </c>
      <c r="G1709" s="62" t="s">
        <v>45</v>
      </c>
      <c r="H1709" s="62" t="s">
        <v>56</v>
      </c>
      <c r="I1709" s="83" t="s">
        <v>1947</v>
      </c>
      <c r="J1709" s="62" t="s">
        <v>137</v>
      </c>
      <c r="K1709" s="67" t="s">
        <v>204</v>
      </c>
      <c r="L1709" s="83"/>
      <c r="M1709" s="62"/>
      <c r="N1709" s="62"/>
      <c r="O1709" s="64"/>
      <c r="P1709" s="79"/>
      <c r="Q1709" s="79" t="s">
        <v>8</v>
      </c>
      <c r="R1709" s="62"/>
    </row>
    <row r="1710" ht="13.8" spans="1:18">
      <c r="A1710" s="58">
        <v>1688</v>
      </c>
      <c r="B1710" s="59">
        <v>45875</v>
      </c>
      <c r="C1710" s="69" t="s">
        <v>191</v>
      </c>
      <c r="D1710" s="61" t="s">
        <v>35</v>
      </c>
      <c r="E1710" s="62" t="s">
        <v>804</v>
      </c>
      <c r="F1710" s="62" t="s">
        <v>50</v>
      </c>
      <c r="G1710" s="62" t="s">
        <v>45</v>
      </c>
      <c r="H1710" s="62" t="s">
        <v>51</v>
      </c>
      <c r="I1710" s="83" t="s">
        <v>352</v>
      </c>
      <c r="J1710" s="62" t="s">
        <v>91</v>
      </c>
      <c r="K1710" s="67" t="s">
        <v>353</v>
      </c>
      <c r="L1710" s="83"/>
      <c r="M1710" s="62"/>
      <c r="N1710" s="62"/>
      <c r="O1710" s="64"/>
      <c r="P1710" s="79"/>
      <c r="Q1710" s="79" t="s">
        <v>43</v>
      </c>
      <c r="R1710" s="62"/>
    </row>
    <row r="1711" ht="13.8" spans="1:18">
      <c r="A1711" s="58">
        <v>1689</v>
      </c>
      <c r="B1711" s="59">
        <v>45876</v>
      </c>
      <c r="C1711" s="69" t="s">
        <v>198</v>
      </c>
      <c r="D1711" s="61" t="s">
        <v>35</v>
      </c>
      <c r="E1711" s="62" t="s">
        <v>804</v>
      </c>
      <c r="F1711" s="62" t="s">
        <v>50</v>
      </c>
      <c r="G1711" s="62" t="s">
        <v>1790</v>
      </c>
      <c r="H1711" s="62" t="s">
        <v>51</v>
      </c>
      <c r="I1711" s="83" t="s">
        <v>370</v>
      </c>
      <c r="J1711" s="62" t="s">
        <v>91</v>
      </c>
      <c r="K1711" s="67" t="s">
        <v>371</v>
      </c>
      <c r="L1711" s="83"/>
      <c r="M1711" s="62"/>
      <c r="N1711" s="62"/>
      <c r="O1711" s="64"/>
      <c r="P1711" s="79"/>
      <c r="Q1711" s="79" t="s">
        <v>43</v>
      </c>
      <c r="R1711" s="62"/>
    </row>
    <row r="1712" ht="27.6" spans="1:18">
      <c r="A1712" s="58">
        <v>1690</v>
      </c>
      <c r="B1712" s="59">
        <v>45876</v>
      </c>
      <c r="C1712" s="69" t="s">
        <v>1076</v>
      </c>
      <c r="D1712" s="61" t="s">
        <v>35</v>
      </c>
      <c r="E1712" s="62" t="s">
        <v>1077</v>
      </c>
      <c r="F1712" s="62" t="s">
        <v>50</v>
      </c>
      <c r="G1712" s="62" t="s">
        <v>131</v>
      </c>
      <c r="H1712" s="62" t="s">
        <v>97</v>
      </c>
      <c r="I1712" s="83" t="s">
        <v>392</v>
      </c>
      <c r="J1712" s="62" t="s">
        <v>91</v>
      </c>
      <c r="K1712" s="67" t="s">
        <v>393</v>
      </c>
      <c r="L1712" s="83"/>
      <c r="M1712" s="62"/>
      <c r="N1712" s="62"/>
      <c r="O1712" s="64"/>
      <c r="P1712" s="79"/>
      <c r="Q1712" s="79" t="s">
        <v>43</v>
      </c>
      <c r="R1712" s="62"/>
    </row>
    <row r="1713" ht="13.8" spans="1:18">
      <c r="A1713" s="58">
        <v>1691</v>
      </c>
      <c r="B1713" s="59">
        <v>45879</v>
      </c>
      <c r="C1713" s="69" t="s">
        <v>1903</v>
      </c>
      <c r="D1713" s="61" t="s">
        <v>35</v>
      </c>
      <c r="E1713" s="62" t="s">
        <v>804</v>
      </c>
      <c r="F1713" s="62" t="s">
        <v>50</v>
      </c>
      <c r="G1713" s="62" t="s">
        <v>1790</v>
      </c>
      <c r="H1713" s="62" t="s">
        <v>51</v>
      </c>
      <c r="I1713" s="83" t="s">
        <v>402</v>
      </c>
      <c r="J1713" s="62" t="s">
        <v>91</v>
      </c>
      <c r="K1713" s="67" t="s">
        <v>403</v>
      </c>
      <c r="L1713" s="83"/>
      <c r="M1713" s="62"/>
      <c r="N1713" s="62"/>
      <c r="O1713" s="64"/>
      <c r="P1713" s="79"/>
      <c r="Q1713" s="79" t="s">
        <v>43</v>
      </c>
      <c r="R1713" s="62"/>
    </row>
    <row r="1714" ht="27.6" spans="1:18">
      <c r="A1714" s="58">
        <v>1692</v>
      </c>
      <c r="B1714" s="59">
        <v>45880</v>
      </c>
      <c r="C1714" s="69" t="s">
        <v>191</v>
      </c>
      <c r="D1714" s="61" t="s">
        <v>35</v>
      </c>
      <c r="E1714" s="62" t="s">
        <v>804</v>
      </c>
      <c r="F1714" s="62" t="s">
        <v>50</v>
      </c>
      <c r="G1714" s="62" t="s">
        <v>82</v>
      </c>
      <c r="H1714" s="62" t="s">
        <v>51</v>
      </c>
      <c r="I1714" s="83" t="s">
        <v>199</v>
      </c>
      <c r="J1714" s="62" t="s">
        <v>91</v>
      </c>
      <c r="K1714" s="67" t="s">
        <v>200</v>
      </c>
      <c r="L1714" s="83"/>
      <c r="M1714" s="62"/>
      <c r="N1714" s="62"/>
      <c r="O1714" s="64"/>
      <c r="P1714" s="79"/>
      <c r="Q1714" s="79" t="s">
        <v>43</v>
      </c>
      <c r="R1714" s="62"/>
    </row>
    <row r="1715" ht="27.6" spans="1:18">
      <c r="A1715" s="58">
        <v>1693</v>
      </c>
      <c r="B1715" s="59">
        <v>45875</v>
      </c>
      <c r="C1715" s="69" t="s">
        <v>49</v>
      </c>
      <c r="D1715" s="61" t="s">
        <v>35</v>
      </c>
      <c r="E1715" s="62" t="s">
        <v>804</v>
      </c>
      <c r="F1715" s="62" t="s">
        <v>50</v>
      </c>
      <c r="G1715" s="62" t="s">
        <v>45</v>
      </c>
      <c r="H1715" s="62" t="s">
        <v>1008</v>
      </c>
      <c r="I1715" s="83" t="s">
        <v>189</v>
      </c>
      <c r="J1715" s="62" t="s">
        <v>40</v>
      </c>
      <c r="K1715" s="67" t="s">
        <v>190</v>
      </c>
      <c r="L1715" s="83"/>
      <c r="M1715" s="62"/>
      <c r="N1715" s="62"/>
      <c r="O1715" s="64"/>
      <c r="P1715" s="79"/>
      <c r="Q1715" s="79" t="s">
        <v>43</v>
      </c>
      <c r="R1715" s="62"/>
    </row>
    <row r="1716" ht="13.8" spans="1:18">
      <c r="A1716" s="58">
        <v>1695</v>
      </c>
      <c r="B1716" s="59">
        <v>45881</v>
      </c>
      <c r="C1716" s="69" t="s">
        <v>1903</v>
      </c>
      <c r="D1716" s="61" t="s">
        <v>35</v>
      </c>
      <c r="E1716" s="62" t="s">
        <v>73</v>
      </c>
      <c r="F1716" s="62" t="s">
        <v>36</v>
      </c>
      <c r="G1716" s="62" t="s">
        <v>93</v>
      </c>
      <c r="H1716" s="62" t="s">
        <v>132</v>
      </c>
      <c r="I1716" s="83" t="s">
        <v>1916</v>
      </c>
      <c r="J1716" s="62" t="s">
        <v>91</v>
      </c>
      <c r="K1716" s="67" t="s">
        <v>1917</v>
      </c>
      <c r="L1716" s="83"/>
      <c r="M1716" s="62"/>
      <c r="N1716" s="62"/>
      <c r="O1716" s="64"/>
      <c r="P1716" s="79"/>
      <c r="Q1716" s="79" t="s">
        <v>43</v>
      </c>
      <c r="R1716" s="62"/>
    </row>
    <row r="1717" ht="13.8" spans="1:18">
      <c r="A1717" s="58">
        <v>1696</v>
      </c>
      <c r="B1717" s="59">
        <v>45882</v>
      </c>
      <c r="C1717" s="69" t="s">
        <v>1933</v>
      </c>
      <c r="D1717" s="61" t="s">
        <v>35</v>
      </c>
      <c r="E1717" s="62" t="s">
        <v>73</v>
      </c>
      <c r="F1717" s="62" t="s">
        <v>36</v>
      </c>
      <c r="G1717" s="62" t="s">
        <v>61</v>
      </c>
      <c r="H1717" s="62" t="s">
        <v>94</v>
      </c>
      <c r="I1717" s="83" t="s">
        <v>1918</v>
      </c>
      <c r="J1717" s="62" t="s">
        <v>40</v>
      </c>
      <c r="K1717" s="67" t="s">
        <v>1919</v>
      </c>
      <c r="L1717" s="83"/>
      <c r="M1717" s="62"/>
      <c r="N1717" s="62"/>
      <c r="O1717" s="64"/>
      <c r="P1717" s="79"/>
      <c r="Q1717" s="79" t="s">
        <v>43</v>
      </c>
      <c r="R1717" s="62"/>
    </row>
    <row r="1718" ht="13.8" spans="1:18">
      <c r="A1718" s="58">
        <v>1697</v>
      </c>
      <c r="B1718" s="59">
        <v>45887</v>
      </c>
      <c r="C1718" s="69" t="s">
        <v>198</v>
      </c>
      <c r="D1718" s="61" t="s">
        <v>35</v>
      </c>
      <c r="E1718" s="62" t="s">
        <v>73</v>
      </c>
      <c r="F1718" s="62" t="s">
        <v>36</v>
      </c>
      <c r="G1718" s="62" t="s">
        <v>65</v>
      </c>
      <c r="H1718" s="62" t="s">
        <v>46</v>
      </c>
      <c r="I1718" s="83" t="s">
        <v>1920</v>
      </c>
      <c r="J1718" s="62" t="s">
        <v>91</v>
      </c>
      <c r="K1718" s="67" t="s">
        <v>1921</v>
      </c>
      <c r="L1718" s="83"/>
      <c r="M1718" s="62"/>
      <c r="N1718" s="62"/>
      <c r="O1718" s="64"/>
      <c r="P1718" s="79"/>
      <c r="Q1718" s="79" t="s">
        <v>43</v>
      </c>
      <c r="R1718" s="62"/>
    </row>
    <row r="1719" ht="13.8" spans="1:18">
      <c r="A1719" s="58">
        <v>1698</v>
      </c>
      <c r="B1719" s="59">
        <v>45885</v>
      </c>
      <c r="C1719" s="69" t="s">
        <v>1933</v>
      </c>
      <c r="D1719" s="61" t="s">
        <v>35</v>
      </c>
      <c r="E1719" s="62" t="s">
        <v>73</v>
      </c>
      <c r="F1719" s="62" t="s">
        <v>36</v>
      </c>
      <c r="G1719" s="62" t="s">
        <v>1790</v>
      </c>
      <c r="H1719" s="62" t="s">
        <v>56</v>
      </c>
      <c r="I1719" s="83" t="s">
        <v>1923</v>
      </c>
      <c r="J1719" s="62" t="s">
        <v>40</v>
      </c>
      <c r="K1719" s="67" t="s">
        <v>1924</v>
      </c>
      <c r="L1719" s="83"/>
      <c r="M1719" s="62"/>
      <c r="N1719" s="62"/>
      <c r="O1719" s="64"/>
      <c r="P1719" s="79"/>
      <c r="Q1719" s="79" t="s">
        <v>43</v>
      </c>
      <c r="R1719" s="62"/>
    </row>
    <row r="1720" ht="13.8" spans="1:18">
      <c r="A1720" s="58">
        <v>1699</v>
      </c>
      <c r="B1720" s="59">
        <v>45886</v>
      </c>
      <c r="C1720" s="69" t="s">
        <v>1933</v>
      </c>
      <c r="D1720" s="61" t="s">
        <v>35</v>
      </c>
      <c r="E1720" s="62" t="s">
        <v>73</v>
      </c>
      <c r="F1720" s="62" t="s">
        <v>36</v>
      </c>
      <c r="G1720" s="62" t="s">
        <v>1790</v>
      </c>
      <c r="H1720" s="62" t="s">
        <v>94</v>
      </c>
      <c r="I1720" s="83" t="s">
        <v>1925</v>
      </c>
      <c r="J1720" s="62" t="s">
        <v>91</v>
      </c>
      <c r="K1720" s="67" t="s">
        <v>1926</v>
      </c>
      <c r="L1720" s="83"/>
      <c r="M1720" s="62"/>
      <c r="N1720" s="62"/>
      <c r="O1720" s="64"/>
      <c r="P1720" s="79"/>
      <c r="Q1720" s="79" t="s">
        <v>43</v>
      </c>
      <c r="R1720" s="62"/>
    </row>
    <row r="1721" ht="13.8" spans="1:18">
      <c r="A1721" s="58">
        <v>1700</v>
      </c>
      <c r="B1721" s="59">
        <v>45881</v>
      </c>
      <c r="C1721" s="69" t="s">
        <v>49</v>
      </c>
      <c r="D1721" s="61" t="s">
        <v>35</v>
      </c>
      <c r="E1721" s="62" t="s">
        <v>73</v>
      </c>
      <c r="F1721" s="62" t="s">
        <v>36</v>
      </c>
      <c r="G1721" s="62" t="s">
        <v>82</v>
      </c>
      <c r="H1721" s="62" t="s">
        <v>56</v>
      </c>
      <c r="I1721" s="83" t="s">
        <v>1927</v>
      </c>
      <c r="J1721" s="62" t="s">
        <v>40</v>
      </c>
      <c r="K1721" s="67" t="s">
        <v>1928</v>
      </c>
      <c r="L1721" s="83"/>
      <c r="M1721" s="62"/>
      <c r="N1721" s="62"/>
      <c r="O1721" s="64"/>
      <c r="P1721" s="79"/>
      <c r="Q1721" s="79" t="s">
        <v>43</v>
      </c>
      <c r="R1721" s="62"/>
    </row>
    <row r="1722" ht="13.8" spans="1:18">
      <c r="A1722" s="58">
        <v>1701</v>
      </c>
      <c r="B1722" s="59">
        <v>45881</v>
      </c>
      <c r="C1722" s="69" t="s">
        <v>1922</v>
      </c>
      <c r="D1722" s="61" t="s">
        <v>35</v>
      </c>
      <c r="E1722" s="62" t="s">
        <v>73</v>
      </c>
      <c r="F1722" s="62" t="s">
        <v>36</v>
      </c>
      <c r="G1722" s="62" t="s">
        <v>131</v>
      </c>
      <c r="H1722" s="62" t="s">
        <v>56</v>
      </c>
      <c r="I1722" s="83" t="s">
        <v>1929</v>
      </c>
      <c r="J1722" s="62" t="s">
        <v>40</v>
      </c>
      <c r="K1722" s="67" t="s">
        <v>1930</v>
      </c>
      <c r="L1722" s="83"/>
      <c r="M1722" s="62"/>
      <c r="N1722" s="62"/>
      <c r="O1722" s="64"/>
      <c r="P1722" s="79"/>
      <c r="Q1722" s="79" t="s">
        <v>43</v>
      </c>
      <c r="R1722" s="62"/>
    </row>
    <row r="1723" ht="13.8" spans="1:18">
      <c r="A1723" s="58">
        <v>1702</v>
      </c>
      <c r="B1723" s="59">
        <v>45882</v>
      </c>
      <c r="C1723" s="69" t="s">
        <v>49</v>
      </c>
      <c r="D1723" s="61" t="s">
        <v>35</v>
      </c>
      <c r="E1723" s="62" t="s">
        <v>73</v>
      </c>
      <c r="F1723" s="62" t="s">
        <v>36</v>
      </c>
      <c r="G1723" s="62" t="s">
        <v>82</v>
      </c>
      <c r="H1723" s="62" t="s">
        <v>56</v>
      </c>
      <c r="I1723" s="83" t="s">
        <v>1931</v>
      </c>
      <c r="J1723" s="62" t="s">
        <v>40</v>
      </c>
      <c r="K1723" s="67" t="s">
        <v>1932</v>
      </c>
      <c r="L1723" s="83"/>
      <c r="M1723" s="62"/>
      <c r="N1723" s="62"/>
      <c r="O1723" s="64"/>
      <c r="P1723" s="79"/>
      <c r="Q1723" s="79" t="s">
        <v>43</v>
      </c>
      <c r="R1723" s="62"/>
    </row>
    <row r="1724" ht="27.6" spans="1:18">
      <c r="A1724" s="58">
        <v>1703</v>
      </c>
      <c r="B1724" s="59">
        <v>45883</v>
      </c>
      <c r="C1724" s="69" t="s">
        <v>191</v>
      </c>
      <c r="D1724" s="61" t="s">
        <v>35</v>
      </c>
      <c r="E1724" s="62" t="s">
        <v>73</v>
      </c>
      <c r="F1724" s="62" t="s">
        <v>36</v>
      </c>
      <c r="G1724" s="62" t="s">
        <v>61</v>
      </c>
      <c r="H1724" s="62" t="s">
        <v>46</v>
      </c>
      <c r="I1724" s="83" t="s">
        <v>412</v>
      </c>
      <c r="J1724" s="62" t="s">
        <v>40</v>
      </c>
      <c r="K1724" s="67" t="s">
        <v>413</v>
      </c>
      <c r="L1724" s="83"/>
      <c r="M1724" s="62"/>
      <c r="N1724" s="62"/>
      <c r="O1724" s="64"/>
      <c r="P1724" s="79"/>
      <c r="Q1724" s="79" t="s">
        <v>43</v>
      </c>
      <c r="R1724" s="62"/>
    </row>
    <row r="1725" ht="13.8" spans="1:18">
      <c r="A1725" s="58">
        <v>1704</v>
      </c>
      <c r="B1725" s="59">
        <v>45885</v>
      </c>
      <c r="C1725" s="69" t="s">
        <v>2664</v>
      </c>
      <c r="D1725" s="61" t="s">
        <v>35</v>
      </c>
      <c r="E1725" s="62" t="s">
        <v>2665</v>
      </c>
      <c r="F1725" s="62" t="s">
        <v>36</v>
      </c>
      <c r="G1725" s="62" t="s">
        <v>82</v>
      </c>
      <c r="H1725" s="62" t="s">
        <v>56</v>
      </c>
      <c r="I1725" s="83" t="s">
        <v>1934</v>
      </c>
      <c r="J1725" s="62" t="s">
        <v>53</v>
      </c>
      <c r="K1725" s="67" t="s">
        <v>430</v>
      </c>
      <c r="L1725" s="83"/>
      <c r="M1725" s="62"/>
      <c r="N1725" s="62"/>
      <c r="O1725" s="64"/>
      <c r="P1725" s="79"/>
      <c r="Q1725" s="79" t="s">
        <v>43</v>
      </c>
      <c r="R1725" s="62"/>
    </row>
    <row r="1726" ht="13.8" spans="1:18">
      <c r="A1726" s="58">
        <v>1705</v>
      </c>
      <c r="B1726" s="59">
        <v>45886</v>
      </c>
      <c r="C1726" s="69" t="s">
        <v>191</v>
      </c>
      <c r="D1726" s="61" t="s">
        <v>35</v>
      </c>
      <c r="E1726" s="62" t="s">
        <v>73</v>
      </c>
      <c r="F1726" s="62" t="s">
        <v>36</v>
      </c>
      <c r="G1726" s="62" t="s">
        <v>65</v>
      </c>
      <c r="H1726" s="62" t="s">
        <v>94</v>
      </c>
      <c r="I1726" s="83" t="s">
        <v>1935</v>
      </c>
      <c r="J1726" s="62" t="s">
        <v>40</v>
      </c>
      <c r="K1726" s="67" t="s">
        <v>1936</v>
      </c>
      <c r="L1726" s="83"/>
      <c r="M1726" s="62"/>
      <c r="N1726" s="62"/>
      <c r="O1726" s="64"/>
      <c r="P1726" s="79"/>
      <c r="Q1726" s="79" t="s">
        <v>43</v>
      </c>
      <c r="R1726" s="62"/>
    </row>
    <row r="1727" ht="27.6" spans="1:18">
      <c r="A1727" s="58">
        <v>1706</v>
      </c>
      <c r="B1727" s="59">
        <v>45884</v>
      </c>
      <c r="C1727" s="69" t="s">
        <v>1903</v>
      </c>
      <c r="D1727" s="61" t="s">
        <v>35</v>
      </c>
      <c r="E1727" s="62" t="s">
        <v>73</v>
      </c>
      <c r="F1727" s="62" t="s">
        <v>36</v>
      </c>
      <c r="G1727" s="62" t="s">
        <v>93</v>
      </c>
      <c r="H1727" s="62" t="s">
        <v>94</v>
      </c>
      <c r="I1727" s="83" t="s">
        <v>219</v>
      </c>
      <c r="J1727" s="62" t="s">
        <v>91</v>
      </c>
      <c r="K1727" s="67" t="s">
        <v>1937</v>
      </c>
      <c r="L1727" s="83"/>
      <c r="M1727" s="62"/>
      <c r="N1727" s="62"/>
      <c r="O1727" s="64"/>
      <c r="P1727" s="79"/>
      <c r="Q1727" s="79" t="s">
        <v>43</v>
      </c>
      <c r="R1727" s="62"/>
    </row>
    <row r="1728" ht="26.4" spans="1:18">
      <c r="A1728" s="58">
        <v>1707</v>
      </c>
      <c r="B1728" s="59">
        <v>45881</v>
      </c>
      <c r="C1728" s="69" t="s">
        <v>191</v>
      </c>
      <c r="D1728" s="61" t="s">
        <v>35</v>
      </c>
      <c r="E1728" s="62" t="s">
        <v>73</v>
      </c>
      <c r="F1728" s="62" t="s">
        <v>135</v>
      </c>
      <c r="G1728" s="62" t="s">
        <v>45</v>
      </c>
      <c r="H1728" s="62" t="s">
        <v>38</v>
      </c>
      <c r="I1728" s="83" t="s">
        <v>560</v>
      </c>
      <c r="J1728" s="62" t="s">
        <v>137</v>
      </c>
      <c r="K1728" s="67" t="s">
        <v>1959</v>
      </c>
      <c r="L1728" s="83"/>
      <c r="M1728" s="62"/>
      <c r="N1728" s="62"/>
      <c r="O1728" s="64"/>
      <c r="P1728" s="79"/>
      <c r="Q1728" s="79" t="s">
        <v>8</v>
      </c>
      <c r="R1728" s="62"/>
    </row>
    <row r="1729" ht="26.4" spans="1:18">
      <c r="A1729" s="58">
        <v>1708</v>
      </c>
      <c r="B1729" s="59">
        <v>45882</v>
      </c>
      <c r="C1729" s="69" t="s">
        <v>49</v>
      </c>
      <c r="D1729" s="61" t="s">
        <v>35</v>
      </c>
      <c r="E1729" s="62" t="s">
        <v>73</v>
      </c>
      <c r="F1729" s="62" t="s">
        <v>135</v>
      </c>
      <c r="G1729" s="62" t="s">
        <v>61</v>
      </c>
      <c r="H1729" s="62" t="s">
        <v>132</v>
      </c>
      <c r="I1729" s="83" t="s">
        <v>1960</v>
      </c>
      <c r="J1729" s="62" t="s">
        <v>137</v>
      </c>
      <c r="K1729" s="67" t="s">
        <v>194</v>
      </c>
      <c r="L1729" s="83"/>
      <c r="M1729" s="62"/>
      <c r="N1729" s="62"/>
      <c r="O1729" s="64"/>
      <c r="P1729" s="79"/>
      <c r="Q1729" s="79" t="s">
        <v>8</v>
      </c>
      <c r="R1729" s="62"/>
    </row>
    <row r="1730" ht="27.6" spans="1:18">
      <c r="A1730" s="58">
        <v>1709</v>
      </c>
      <c r="B1730" s="59">
        <v>45883</v>
      </c>
      <c r="C1730" s="69" t="s">
        <v>2666</v>
      </c>
      <c r="D1730" s="61" t="s">
        <v>35</v>
      </c>
      <c r="E1730" s="62" t="s">
        <v>2667</v>
      </c>
      <c r="F1730" s="62" t="s">
        <v>50</v>
      </c>
      <c r="G1730" s="62" t="s">
        <v>588</v>
      </c>
      <c r="H1730" s="62" t="s">
        <v>1008</v>
      </c>
      <c r="I1730" s="83" t="s">
        <v>189</v>
      </c>
      <c r="J1730" s="62" t="s">
        <v>40</v>
      </c>
      <c r="K1730" s="67" t="s">
        <v>190</v>
      </c>
      <c r="L1730" s="83"/>
      <c r="M1730" s="62"/>
      <c r="N1730" s="62"/>
      <c r="O1730" s="64"/>
      <c r="P1730" s="79"/>
      <c r="Q1730" s="79" t="s">
        <v>43</v>
      </c>
      <c r="R1730" s="62"/>
    </row>
    <row r="1731" ht="55.2" spans="1:18">
      <c r="A1731" s="58">
        <v>1710</v>
      </c>
      <c r="B1731" s="59">
        <v>45885</v>
      </c>
      <c r="C1731" s="60" t="s">
        <v>1938</v>
      </c>
      <c r="D1731" s="61" t="s">
        <v>35</v>
      </c>
      <c r="E1731" s="62" t="s">
        <v>804</v>
      </c>
      <c r="F1731" s="62" t="s">
        <v>50</v>
      </c>
      <c r="G1731" s="62" t="s">
        <v>131</v>
      </c>
      <c r="H1731" s="62" t="s">
        <v>66</v>
      </c>
      <c r="I1731" s="83" t="s">
        <v>213</v>
      </c>
      <c r="J1731" s="62" t="s">
        <v>40</v>
      </c>
      <c r="K1731" s="67" t="s">
        <v>1311</v>
      </c>
      <c r="L1731" s="83"/>
      <c r="M1731" s="62"/>
      <c r="N1731" s="62"/>
      <c r="O1731" s="64"/>
      <c r="P1731" s="79"/>
      <c r="Q1731" s="79" t="s">
        <v>43</v>
      </c>
      <c r="R1731" s="62"/>
    </row>
    <row r="1732" ht="13.8" spans="1:18">
      <c r="A1732" s="58">
        <v>1711</v>
      </c>
      <c r="B1732" s="59">
        <v>45883</v>
      </c>
      <c r="C1732" s="69" t="s">
        <v>49</v>
      </c>
      <c r="D1732" s="61" t="s">
        <v>35</v>
      </c>
      <c r="E1732" s="62" t="s">
        <v>804</v>
      </c>
      <c r="F1732" s="62" t="s">
        <v>50</v>
      </c>
      <c r="G1732" s="62" t="s">
        <v>1790</v>
      </c>
      <c r="H1732" s="62" t="s">
        <v>66</v>
      </c>
      <c r="I1732" s="83" t="s">
        <v>1312</v>
      </c>
      <c r="J1732" s="62" t="s">
        <v>40</v>
      </c>
      <c r="K1732" s="67" t="s">
        <v>1375</v>
      </c>
      <c r="L1732" s="83"/>
      <c r="M1732" s="62"/>
      <c r="N1732" s="62"/>
      <c r="O1732" s="64"/>
      <c r="P1732" s="79"/>
      <c r="Q1732" s="79" t="s">
        <v>43</v>
      </c>
      <c r="R1732" s="62"/>
    </row>
    <row r="1733" ht="27.6" spans="1:18">
      <c r="A1733" s="58">
        <v>1712</v>
      </c>
      <c r="B1733" s="59">
        <v>45887</v>
      </c>
      <c r="C1733" s="69" t="s">
        <v>198</v>
      </c>
      <c r="D1733" s="61" t="s">
        <v>35</v>
      </c>
      <c r="E1733" s="62" t="s">
        <v>804</v>
      </c>
      <c r="F1733" s="62" t="s">
        <v>50</v>
      </c>
      <c r="G1733" s="62" t="s">
        <v>131</v>
      </c>
      <c r="H1733" s="62" t="s">
        <v>989</v>
      </c>
      <c r="I1733" s="83" t="s">
        <v>1335</v>
      </c>
      <c r="J1733" s="62" t="s">
        <v>91</v>
      </c>
      <c r="K1733" s="67" t="s">
        <v>1336</v>
      </c>
      <c r="L1733" s="83"/>
      <c r="M1733" s="62"/>
      <c r="N1733" s="62"/>
      <c r="O1733" s="64"/>
      <c r="P1733" s="79"/>
      <c r="Q1733" s="79" t="s">
        <v>43</v>
      </c>
      <c r="R1733" s="62"/>
    </row>
    <row r="1734" ht="27.6" spans="1:18">
      <c r="A1734" s="58">
        <v>1713</v>
      </c>
      <c r="B1734" s="59">
        <v>45881</v>
      </c>
      <c r="C1734" s="69" t="s">
        <v>1933</v>
      </c>
      <c r="D1734" s="61" t="s">
        <v>35</v>
      </c>
      <c r="E1734" s="62" t="s">
        <v>804</v>
      </c>
      <c r="F1734" s="62" t="s">
        <v>50</v>
      </c>
      <c r="G1734" s="62" t="s">
        <v>82</v>
      </c>
      <c r="H1734" s="62" t="s">
        <v>51</v>
      </c>
      <c r="I1734" s="83" t="s">
        <v>217</v>
      </c>
      <c r="J1734" s="62" t="s">
        <v>40</v>
      </c>
      <c r="K1734" s="67" t="s">
        <v>218</v>
      </c>
      <c r="L1734" s="83"/>
      <c r="M1734" s="62"/>
      <c r="N1734" s="62"/>
      <c r="O1734" s="64"/>
      <c r="P1734" s="79"/>
      <c r="Q1734" s="79" t="s">
        <v>43</v>
      </c>
      <c r="R1734" s="62"/>
    </row>
    <row r="1735" ht="13.8" spans="1:18">
      <c r="A1735" s="58">
        <v>1714</v>
      </c>
      <c r="B1735" s="59">
        <v>45888</v>
      </c>
      <c r="C1735" s="60" t="s">
        <v>1938</v>
      </c>
      <c r="D1735" s="61" t="s">
        <v>35</v>
      </c>
      <c r="E1735" s="62" t="s">
        <v>73</v>
      </c>
      <c r="F1735" s="62" t="s">
        <v>36</v>
      </c>
      <c r="G1735" s="62" t="s">
        <v>1790</v>
      </c>
      <c r="H1735" s="62" t="s">
        <v>94</v>
      </c>
      <c r="I1735" s="83" t="s">
        <v>1448</v>
      </c>
      <c r="J1735" s="62" t="s">
        <v>40</v>
      </c>
      <c r="K1735" s="67" t="s">
        <v>1939</v>
      </c>
      <c r="L1735" s="83"/>
      <c r="M1735" s="62"/>
      <c r="N1735" s="62"/>
      <c r="O1735" s="64"/>
      <c r="P1735" s="79"/>
      <c r="Q1735" s="79" t="s">
        <v>43</v>
      </c>
      <c r="R1735" s="62"/>
    </row>
    <row r="1736" ht="13.8" spans="1:18">
      <c r="A1736" s="58">
        <v>1715</v>
      </c>
      <c r="B1736" s="59">
        <v>45889</v>
      </c>
      <c r="C1736" s="69" t="s">
        <v>191</v>
      </c>
      <c r="D1736" s="61" t="s">
        <v>35</v>
      </c>
      <c r="E1736" s="62" t="s">
        <v>73</v>
      </c>
      <c r="F1736" s="62" t="s">
        <v>36</v>
      </c>
      <c r="G1736" s="62" t="s">
        <v>65</v>
      </c>
      <c r="H1736" s="62" t="s">
        <v>56</v>
      </c>
      <c r="I1736" s="83" t="s">
        <v>373</v>
      </c>
      <c r="J1736" s="62" t="s">
        <v>40</v>
      </c>
      <c r="K1736" s="67" t="s">
        <v>1940</v>
      </c>
      <c r="L1736" s="83"/>
      <c r="M1736" s="62"/>
      <c r="N1736" s="62"/>
      <c r="O1736" s="64"/>
      <c r="P1736" s="79"/>
      <c r="Q1736" s="79" t="s">
        <v>43</v>
      </c>
      <c r="R1736" s="62"/>
    </row>
    <row r="1737" ht="13.8" spans="1:18">
      <c r="A1737" s="58">
        <v>1716</v>
      </c>
      <c r="B1737" s="59">
        <v>45890</v>
      </c>
      <c r="C1737" s="60" t="s">
        <v>1938</v>
      </c>
      <c r="D1737" s="61" t="s">
        <v>35</v>
      </c>
      <c r="E1737" s="62" t="s">
        <v>73</v>
      </c>
      <c r="F1737" s="62" t="s">
        <v>36</v>
      </c>
      <c r="G1737" s="62" t="s">
        <v>1790</v>
      </c>
      <c r="H1737" s="62" t="s">
        <v>56</v>
      </c>
      <c r="I1737" s="83" t="s">
        <v>1941</v>
      </c>
      <c r="J1737" s="62" t="s">
        <v>40</v>
      </c>
      <c r="K1737" s="67" t="s">
        <v>1942</v>
      </c>
      <c r="L1737" s="83"/>
      <c r="M1737" s="62"/>
      <c r="N1737" s="62"/>
      <c r="O1737" s="64"/>
      <c r="P1737" s="79"/>
      <c r="Q1737" s="79" t="s">
        <v>43</v>
      </c>
      <c r="R1737" s="62"/>
    </row>
    <row r="1738" ht="13.8" spans="1:18">
      <c r="A1738" s="58">
        <v>1717</v>
      </c>
      <c r="B1738" s="59">
        <v>45892</v>
      </c>
      <c r="C1738" s="69" t="s">
        <v>198</v>
      </c>
      <c r="D1738" s="61" t="s">
        <v>35</v>
      </c>
      <c r="E1738" s="62" t="s">
        <v>73</v>
      </c>
      <c r="F1738" s="62" t="s">
        <v>36</v>
      </c>
      <c r="G1738" s="62" t="s">
        <v>82</v>
      </c>
      <c r="H1738" s="62" t="s">
        <v>56</v>
      </c>
      <c r="I1738" s="83" t="s">
        <v>1166</v>
      </c>
      <c r="J1738" s="62" t="s">
        <v>40</v>
      </c>
      <c r="K1738" s="67" t="s">
        <v>1332</v>
      </c>
      <c r="L1738" s="83"/>
      <c r="M1738" s="62"/>
      <c r="N1738" s="62"/>
      <c r="O1738" s="64"/>
      <c r="P1738" s="79"/>
      <c r="Q1738" s="79" t="s">
        <v>43</v>
      </c>
      <c r="R1738" s="62"/>
    </row>
    <row r="1739" ht="13.8" spans="1:18">
      <c r="A1739" s="58">
        <v>1718</v>
      </c>
      <c r="B1739" s="59">
        <v>45893</v>
      </c>
      <c r="C1739" s="69" t="s">
        <v>49</v>
      </c>
      <c r="D1739" s="61" t="s">
        <v>35</v>
      </c>
      <c r="E1739" s="62" t="s">
        <v>73</v>
      </c>
      <c r="F1739" s="62" t="s">
        <v>36</v>
      </c>
      <c r="G1739" s="62" t="s">
        <v>45</v>
      </c>
      <c r="H1739" s="62" t="s">
        <v>94</v>
      </c>
      <c r="I1739" s="83" t="s">
        <v>509</v>
      </c>
      <c r="J1739" s="62" t="s">
        <v>53</v>
      </c>
      <c r="K1739" s="67" t="s">
        <v>1943</v>
      </c>
      <c r="L1739" s="83"/>
      <c r="M1739" s="62"/>
      <c r="N1739" s="62"/>
      <c r="O1739" s="64"/>
      <c r="P1739" s="79"/>
      <c r="Q1739" s="79" t="s">
        <v>43</v>
      </c>
      <c r="R1739" s="62"/>
    </row>
    <row r="1740" ht="13.8" spans="1:18">
      <c r="A1740" s="58">
        <v>1719</v>
      </c>
      <c r="B1740" s="59">
        <v>45894</v>
      </c>
      <c r="C1740" s="69" t="s">
        <v>191</v>
      </c>
      <c r="D1740" s="61" t="s">
        <v>35</v>
      </c>
      <c r="E1740" s="62" t="s">
        <v>73</v>
      </c>
      <c r="F1740" s="62" t="s">
        <v>36</v>
      </c>
      <c r="G1740" s="62" t="s">
        <v>37</v>
      </c>
      <c r="H1740" s="62" t="s">
        <v>132</v>
      </c>
      <c r="I1740" s="83" t="s">
        <v>515</v>
      </c>
      <c r="J1740" s="62" t="s">
        <v>40</v>
      </c>
      <c r="K1740" s="67" t="s">
        <v>1944</v>
      </c>
      <c r="L1740" s="83"/>
      <c r="M1740" s="62"/>
      <c r="N1740" s="62"/>
      <c r="O1740" s="64"/>
      <c r="P1740" s="79"/>
      <c r="Q1740" s="79" t="s">
        <v>43</v>
      </c>
      <c r="R1740" s="62"/>
    </row>
    <row r="1741" ht="13.8" spans="1:18">
      <c r="A1741" s="58">
        <v>1720</v>
      </c>
      <c r="B1741" s="59">
        <v>45890</v>
      </c>
      <c r="C1741" s="69" t="s">
        <v>191</v>
      </c>
      <c r="D1741" s="61" t="s">
        <v>35</v>
      </c>
      <c r="E1741" s="62" t="s">
        <v>73</v>
      </c>
      <c r="F1741" s="62" t="s">
        <v>50</v>
      </c>
      <c r="G1741" s="62" t="s">
        <v>1617</v>
      </c>
      <c r="H1741" s="62" t="s">
        <v>51</v>
      </c>
      <c r="I1741" s="83" t="s">
        <v>2668</v>
      </c>
      <c r="J1741" s="62" t="s">
        <v>91</v>
      </c>
      <c r="K1741" s="67" t="s">
        <v>2669</v>
      </c>
      <c r="L1741" s="83"/>
      <c r="M1741" s="62"/>
      <c r="N1741" s="62"/>
      <c r="O1741" s="64"/>
      <c r="P1741" s="79"/>
      <c r="Q1741" s="79" t="s">
        <v>43</v>
      </c>
      <c r="R1741" s="62"/>
    </row>
    <row r="1742" ht="13.8" spans="1:18">
      <c r="A1742" s="58">
        <v>1721</v>
      </c>
      <c r="B1742" s="59">
        <v>45894</v>
      </c>
      <c r="C1742" s="69" t="s">
        <v>198</v>
      </c>
      <c r="D1742" s="61" t="s">
        <v>35</v>
      </c>
      <c r="E1742" s="62" t="s">
        <v>73</v>
      </c>
      <c r="F1742" s="62" t="s">
        <v>50</v>
      </c>
      <c r="G1742" s="62" t="s">
        <v>61</v>
      </c>
      <c r="H1742" s="62" t="s">
        <v>132</v>
      </c>
      <c r="I1742" s="83" t="s">
        <v>2670</v>
      </c>
      <c r="J1742" s="62" t="s">
        <v>40</v>
      </c>
      <c r="K1742" s="67" t="s">
        <v>2671</v>
      </c>
      <c r="L1742" s="83"/>
      <c r="M1742" s="62"/>
      <c r="N1742" s="62"/>
      <c r="O1742" s="64"/>
      <c r="P1742" s="79"/>
      <c r="Q1742" s="79" t="s">
        <v>43</v>
      </c>
      <c r="R1742" s="62"/>
    </row>
    <row r="1743" ht="13.8" spans="1:18">
      <c r="A1743" s="58">
        <v>1722</v>
      </c>
      <c r="B1743" s="59">
        <v>45895</v>
      </c>
      <c r="C1743" s="69" t="s">
        <v>191</v>
      </c>
      <c r="D1743" s="61" t="s">
        <v>35</v>
      </c>
      <c r="E1743" s="62" t="s">
        <v>804</v>
      </c>
      <c r="F1743" s="62" t="s">
        <v>135</v>
      </c>
      <c r="G1743" s="62" t="s">
        <v>1790</v>
      </c>
      <c r="H1743" s="62" t="s">
        <v>56</v>
      </c>
      <c r="I1743" s="83" t="s">
        <v>2174</v>
      </c>
      <c r="J1743" s="62" t="s">
        <v>137</v>
      </c>
      <c r="K1743" s="67" t="s">
        <v>568</v>
      </c>
      <c r="L1743" s="83"/>
      <c r="M1743" s="62"/>
      <c r="N1743" s="62"/>
      <c r="O1743" s="64"/>
      <c r="P1743" s="79"/>
      <c r="Q1743" s="79" t="s">
        <v>8</v>
      </c>
      <c r="R1743" s="62"/>
    </row>
    <row r="1744" ht="26.4" spans="1:18">
      <c r="A1744" s="58">
        <v>1723</v>
      </c>
      <c r="B1744" s="59">
        <v>45890</v>
      </c>
      <c r="C1744" s="60" t="s">
        <v>1938</v>
      </c>
      <c r="D1744" s="61" t="s">
        <v>35</v>
      </c>
      <c r="E1744" s="62" t="s">
        <v>804</v>
      </c>
      <c r="F1744" s="62" t="s">
        <v>135</v>
      </c>
      <c r="G1744" s="62" t="s">
        <v>82</v>
      </c>
      <c r="H1744" s="62" t="s">
        <v>989</v>
      </c>
      <c r="I1744" s="83" t="s">
        <v>1314</v>
      </c>
      <c r="J1744" s="62" t="s">
        <v>137</v>
      </c>
      <c r="K1744" s="67" t="s">
        <v>194</v>
      </c>
      <c r="L1744" s="83"/>
      <c r="M1744" s="62"/>
      <c r="N1744" s="62"/>
      <c r="O1744" s="64"/>
      <c r="P1744" s="79"/>
      <c r="Q1744" s="79" t="s">
        <v>8</v>
      </c>
      <c r="R1744" s="62"/>
    </row>
    <row r="1745" ht="13.8" spans="1:18">
      <c r="A1745" s="58">
        <v>1724</v>
      </c>
      <c r="B1745" s="59">
        <v>45769</v>
      </c>
      <c r="C1745" s="69" t="s">
        <v>191</v>
      </c>
      <c r="D1745" s="61" t="s">
        <v>35</v>
      </c>
      <c r="E1745" s="62" t="s">
        <v>73</v>
      </c>
      <c r="F1745" s="62" t="s">
        <v>36</v>
      </c>
      <c r="G1745" s="62" t="s">
        <v>82</v>
      </c>
      <c r="H1745" s="62" t="s">
        <v>56</v>
      </c>
      <c r="I1745" s="83" t="s">
        <v>431</v>
      </c>
      <c r="J1745" s="62" t="s">
        <v>40</v>
      </c>
      <c r="K1745" s="67" t="s">
        <v>1409</v>
      </c>
      <c r="L1745" s="83"/>
      <c r="M1745" s="62"/>
      <c r="N1745" s="62"/>
      <c r="O1745" s="64"/>
      <c r="P1745" s="79"/>
      <c r="Q1745" s="79" t="s">
        <v>43</v>
      </c>
      <c r="R1745" s="62"/>
    </row>
    <row r="1746" ht="27.6" spans="1:18">
      <c r="A1746" s="58">
        <v>1725</v>
      </c>
      <c r="B1746" s="59">
        <v>45769</v>
      </c>
      <c r="C1746" s="69" t="s">
        <v>49</v>
      </c>
      <c r="D1746" s="61" t="s">
        <v>35</v>
      </c>
      <c r="E1746" s="62" t="s">
        <v>73</v>
      </c>
      <c r="F1746" s="62" t="s">
        <v>36</v>
      </c>
      <c r="G1746" s="62" t="s">
        <v>45</v>
      </c>
      <c r="H1746" s="62" t="s">
        <v>38</v>
      </c>
      <c r="I1746" s="83" t="s">
        <v>219</v>
      </c>
      <c r="J1746" s="62" t="s">
        <v>91</v>
      </c>
      <c r="K1746" s="67" t="s">
        <v>1411</v>
      </c>
      <c r="L1746" s="83"/>
      <c r="M1746" s="62"/>
      <c r="N1746" s="62"/>
      <c r="O1746" s="64"/>
      <c r="P1746" s="79"/>
      <c r="Q1746" s="79" t="s">
        <v>43</v>
      </c>
      <c r="R1746" s="62"/>
    </row>
    <row r="1747" ht="27.6" spans="1:18">
      <c r="A1747" s="58">
        <v>1726</v>
      </c>
      <c r="B1747" s="59">
        <v>45888</v>
      </c>
      <c r="C1747" s="69" t="s">
        <v>453</v>
      </c>
      <c r="D1747" s="61" t="s">
        <v>35</v>
      </c>
      <c r="E1747" s="62" t="s">
        <v>589</v>
      </c>
      <c r="F1747" s="62" t="s">
        <v>36</v>
      </c>
      <c r="G1747" s="62" t="s">
        <v>1790</v>
      </c>
      <c r="H1747" s="62" t="s">
        <v>46</v>
      </c>
      <c r="I1747" s="83" t="s">
        <v>2219</v>
      </c>
      <c r="J1747" s="62" t="s">
        <v>91</v>
      </c>
      <c r="K1747" s="67" t="s">
        <v>2220</v>
      </c>
      <c r="L1747" s="83"/>
      <c r="M1747" s="62"/>
      <c r="N1747" s="62"/>
      <c r="O1747" s="64"/>
      <c r="P1747" s="79"/>
      <c r="Q1747" s="79" t="s">
        <v>43</v>
      </c>
      <c r="R1747" s="62"/>
    </row>
    <row r="1748" ht="13.8" spans="1:18">
      <c r="A1748" s="58">
        <v>1727</v>
      </c>
      <c r="B1748" s="59">
        <v>45890</v>
      </c>
      <c r="C1748" s="69" t="s">
        <v>198</v>
      </c>
      <c r="D1748" s="61" t="s">
        <v>35</v>
      </c>
      <c r="E1748" s="62" t="s">
        <v>804</v>
      </c>
      <c r="F1748" s="62" t="s">
        <v>50</v>
      </c>
      <c r="G1748" s="62" t="s">
        <v>1790</v>
      </c>
      <c r="H1748" s="62" t="s">
        <v>51</v>
      </c>
      <c r="I1748" s="83" t="s">
        <v>1357</v>
      </c>
      <c r="J1748" s="62" t="s">
        <v>91</v>
      </c>
      <c r="K1748" s="67" t="s">
        <v>570</v>
      </c>
      <c r="L1748" s="83"/>
      <c r="M1748" s="62"/>
      <c r="N1748" s="62"/>
      <c r="O1748" s="64"/>
      <c r="P1748" s="79"/>
      <c r="Q1748" s="79" t="s">
        <v>43</v>
      </c>
      <c r="R1748" s="62"/>
    </row>
    <row r="1749" ht="27.6" spans="1:18">
      <c r="A1749" s="58">
        <v>1728</v>
      </c>
      <c r="B1749" s="59">
        <v>45902</v>
      </c>
      <c r="C1749" s="84" t="s">
        <v>121</v>
      </c>
      <c r="D1749" s="112" t="s">
        <v>60</v>
      </c>
      <c r="E1749" s="65" t="s">
        <v>804</v>
      </c>
      <c r="F1749" s="107" t="s">
        <v>192</v>
      </c>
      <c r="G1749" s="65" t="s">
        <v>1850</v>
      </c>
      <c r="H1749" s="65" t="s">
        <v>51</v>
      </c>
      <c r="I1749" s="86" t="s">
        <v>2672</v>
      </c>
      <c r="J1749" s="65" t="s">
        <v>137</v>
      </c>
      <c r="K1749" s="91" t="s">
        <v>2673</v>
      </c>
      <c r="L1749" s="88"/>
      <c r="M1749" s="65"/>
      <c r="N1749" s="65"/>
      <c r="O1749" s="81"/>
      <c r="P1749" s="82"/>
      <c r="Q1749" s="82" t="s">
        <v>8</v>
      </c>
      <c r="R1749" s="65"/>
    </row>
    <row r="1750" ht="27.6" spans="1:18">
      <c r="A1750" s="58">
        <v>1729</v>
      </c>
      <c r="B1750" s="59">
        <v>45902</v>
      </c>
      <c r="C1750" s="84" t="s">
        <v>121</v>
      </c>
      <c r="D1750" s="112" t="s">
        <v>60</v>
      </c>
      <c r="E1750" s="65" t="s">
        <v>804</v>
      </c>
      <c r="F1750" s="107" t="s">
        <v>192</v>
      </c>
      <c r="G1750" s="65" t="s">
        <v>82</v>
      </c>
      <c r="H1750" s="65" t="s">
        <v>51</v>
      </c>
      <c r="I1750" s="86" t="s">
        <v>2674</v>
      </c>
      <c r="J1750" s="65" t="s">
        <v>137</v>
      </c>
      <c r="K1750" s="91" t="s">
        <v>2675</v>
      </c>
      <c r="L1750" s="88"/>
      <c r="M1750" s="65"/>
      <c r="N1750" s="65"/>
      <c r="O1750" s="81"/>
      <c r="P1750" s="82"/>
      <c r="Q1750" s="82" t="s">
        <v>8</v>
      </c>
      <c r="R1750" s="65"/>
    </row>
    <row r="1751" ht="27.6" spans="1:18">
      <c r="A1751" s="58">
        <v>1730</v>
      </c>
      <c r="B1751" s="59">
        <v>45902</v>
      </c>
      <c r="C1751" s="84" t="s">
        <v>121</v>
      </c>
      <c r="D1751" s="112" t="s">
        <v>60</v>
      </c>
      <c r="E1751" s="65" t="s">
        <v>804</v>
      </c>
      <c r="F1751" s="107" t="s">
        <v>50</v>
      </c>
      <c r="G1751" s="65" t="s">
        <v>45</v>
      </c>
      <c r="H1751" s="65" t="s">
        <v>51</v>
      </c>
      <c r="I1751" s="86" t="s">
        <v>2676</v>
      </c>
      <c r="J1751" s="65" t="s">
        <v>53</v>
      </c>
      <c r="K1751" s="91" t="s">
        <v>2677</v>
      </c>
      <c r="L1751" s="88"/>
      <c r="M1751" s="65"/>
      <c r="N1751" s="65"/>
      <c r="O1751" s="81"/>
      <c r="P1751" s="82"/>
      <c r="Q1751" s="82" t="s">
        <v>43</v>
      </c>
      <c r="R1751" s="65"/>
    </row>
    <row r="1752" ht="41.4" spans="1:18">
      <c r="A1752" s="58">
        <v>1731</v>
      </c>
      <c r="B1752" s="59">
        <v>45902</v>
      </c>
      <c r="C1752" s="84" t="s">
        <v>121</v>
      </c>
      <c r="D1752" s="112" t="s">
        <v>60</v>
      </c>
      <c r="E1752" s="65" t="s">
        <v>804</v>
      </c>
      <c r="F1752" s="107" t="s">
        <v>36</v>
      </c>
      <c r="G1752" s="65" t="s">
        <v>61</v>
      </c>
      <c r="H1752" s="65" t="s">
        <v>56</v>
      </c>
      <c r="I1752" s="86" t="s">
        <v>2678</v>
      </c>
      <c r="J1752" s="65" t="s">
        <v>53</v>
      </c>
      <c r="K1752" s="91" t="s">
        <v>2679</v>
      </c>
      <c r="L1752" s="88" t="s">
        <v>2680</v>
      </c>
      <c r="M1752" s="65"/>
      <c r="N1752" s="65"/>
      <c r="O1752" s="81"/>
      <c r="P1752" s="82"/>
      <c r="Q1752" s="82" t="s">
        <v>43</v>
      </c>
      <c r="R1752" s="65"/>
    </row>
    <row r="1753" ht="41.4" spans="1:18">
      <c r="A1753" s="58">
        <v>1732</v>
      </c>
      <c r="B1753" s="59">
        <v>45899</v>
      </c>
      <c r="C1753" s="84" t="s">
        <v>1608</v>
      </c>
      <c r="D1753" s="112" t="s">
        <v>60</v>
      </c>
      <c r="E1753" s="65" t="s">
        <v>163</v>
      </c>
      <c r="F1753" s="107" t="s">
        <v>36</v>
      </c>
      <c r="G1753" s="65" t="s">
        <v>79</v>
      </c>
      <c r="H1753" s="65" t="s">
        <v>46</v>
      </c>
      <c r="I1753" s="86" t="s">
        <v>2681</v>
      </c>
      <c r="J1753" s="65" t="s">
        <v>88</v>
      </c>
      <c r="K1753" s="91" t="s">
        <v>2682</v>
      </c>
      <c r="L1753" s="88" t="s">
        <v>2683</v>
      </c>
      <c r="M1753" s="65"/>
      <c r="N1753" s="65"/>
      <c r="O1753" s="81"/>
      <c r="P1753" s="82"/>
      <c r="Q1753" s="82" t="s">
        <v>43</v>
      </c>
      <c r="R1753" s="65"/>
    </row>
    <row r="1754" ht="27.6" spans="1:18">
      <c r="A1754" s="58">
        <v>1733</v>
      </c>
      <c r="B1754" s="59">
        <v>45894</v>
      </c>
      <c r="C1754" s="60" t="s">
        <v>100</v>
      </c>
      <c r="D1754" s="112" t="s">
        <v>60</v>
      </c>
      <c r="E1754" s="65" t="s">
        <v>101</v>
      </c>
      <c r="F1754" s="107" t="s">
        <v>36</v>
      </c>
      <c r="G1754" s="65" t="s">
        <v>55</v>
      </c>
      <c r="H1754" s="65" t="s">
        <v>128</v>
      </c>
      <c r="I1754" s="86" t="s">
        <v>2684</v>
      </c>
      <c r="J1754" s="65" t="s">
        <v>88</v>
      </c>
      <c r="K1754" s="91" t="s">
        <v>2685</v>
      </c>
      <c r="L1754" s="88"/>
      <c r="M1754" s="65"/>
      <c r="N1754" s="65"/>
      <c r="O1754" s="81"/>
      <c r="P1754" s="82"/>
      <c r="Q1754" s="82" t="s">
        <v>43</v>
      </c>
      <c r="R1754" s="65"/>
    </row>
    <row r="1755" ht="52.8" spans="1:18">
      <c r="A1755" s="58">
        <v>1734</v>
      </c>
      <c r="B1755" s="59">
        <v>45894</v>
      </c>
      <c r="C1755" s="60" t="s">
        <v>100</v>
      </c>
      <c r="D1755" s="112" t="s">
        <v>60</v>
      </c>
      <c r="E1755" s="65" t="s">
        <v>101</v>
      </c>
      <c r="F1755" s="107" t="s">
        <v>36</v>
      </c>
      <c r="G1755" s="65" t="s">
        <v>55</v>
      </c>
      <c r="H1755" s="65" t="s">
        <v>56</v>
      </c>
      <c r="I1755" s="86" t="s">
        <v>2686</v>
      </c>
      <c r="J1755" s="65" t="s">
        <v>88</v>
      </c>
      <c r="K1755" s="91" t="s">
        <v>2685</v>
      </c>
      <c r="L1755" s="88"/>
      <c r="M1755" s="65"/>
      <c r="N1755" s="65"/>
      <c r="O1755" s="81"/>
      <c r="P1755" s="82"/>
      <c r="Q1755" s="82" t="s">
        <v>43</v>
      </c>
      <c r="R1755" s="65"/>
    </row>
    <row r="1756" ht="27.6" spans="1:18">
      <c r="A1756" s="58">
        <v>1735</v>
      </c>
      <c r="B1756" s="59">
        <v>45901</v>
      </c>
      <c r="C1756" s="84" t="s">
        <v>640</v>
      </c>
      <c r="D1756" s="112" t="s">
        <v>72</v>
      </c>
      <c r="E1756" s="65" t="s">
        <v>804</v>
      </c>
      <c r="F1756" s="107" t="s">
        <v>36</v>
      </c>
      <c r="G1756" s="65" t="s">
        <v>61</v>
      </c>
      <c r="H1756" s="65" t="s">
        <v>94</v>
      </c>
      <c r="I1756" s="86" t="s">
        <v>2687</v>
      </c>
      <c r="J1756" s="65" t="s">
        <v>53</v>
      </c>
      <c r="K1756" s="91" t="s">
        <v>2688</v>
      </c>
      <c r="L1756" s="88" t="s">
        <v>2689</v>
      </c>
      <c r="M1756" s="65"/>
      <c r="N1756" s="65"/>
      <c r="O1756" s="81"/>
      <c r="P1756" s="82"/>
      <c r="Q1756" s="82" t="s">
        <v>43</v>
      </c>
      <c r="R1756" s="65"/>
    </row>
    <row r="1757" ht="27.6" spans="1:18">
      <c r="A1757" s="58">
        <v>1736</v>
      </c>
      <c r="B1757" s="59">
        <v>45902</v>
      </c>
      <c r="C1757" s="84" t="s">
        <v>640</v>
      </c>
      <c r="D1757" s="112" t="s">
        <v>72</v>
      </c>
      <c r="E1757" s="65" t="s">
        <v>804</v>
      </c>
      <c r="F1757" s="107" t="s">
        <v>50</v>
      </c>
      <c r="G1757" s="65" t="s">
        <v>1850</v>
      </c>
      <c r="H1757" s="65" t="s">
        <v>132</v>
      </c>
      <c r="I1757" s="86" t="s">
        <v>2690</v>
      </c>
      <c r="J1757" s="65" t="s">
        <v>53</v>
      </c>
      <c r="K1757" s="91" t="s">
        <v>2691</v>
      </c>
      <c r="L1757" s="88" t="s">
        <v>2689</v>
      </c>
      <c r="M1757" s="65"/>
      <c r="N1757" s="65"/>
      <c r="O1757" s="81"/>
      <c r="P1757" s="82"/>
      <c r="Q1757" s="82" t="s">
        <v>43</v>
      </c>
      <c r="R1757" s="65"/>
    </row>
    <row r="1758" ht="27.6" spans="1:18">
      <c r="A1758" s="58">
        <v>1737</v>
      </c>
      <c r="B1758" s="59">
        <v>45903</v>
      </c>
      <c r="C1758" s="84" t="s">
        <v>640</v>
      </c>
      <c r="D1758" s="112" t="s">
        <v>72</v>
      </c>
      <c r="E1758" s="65" t="s">
        <v>804</v>
      </c>
      <c r="F1758" s="107" t="s">
        <v>36</v>
      </c>
      <c r="G1758" s="65" t="s">
        <v>82</v>
      </c>
      <c r="H1758" s="65" t="s">
        <v>56</v>
      </c>
      <c r="I1758" s="86" t="s">
        <v>2692</v>
      </c>
      <c r="J1758" s="65" t="s">
        <v>53</v>
      </c>
      <c r="K1758" s="91" t="s">
        <v>2693</v>
      </c>
      <c r="L1758" s="88"/>
      <c r="M1758" s="65"/>
      <c r="N1758" s="65"/>
      <c r="O1758" s="81"/>
      <c r="P1758" s="82"/>
      <c r="Q1758" s="82" t="s">
        <v>43</v>
      </c>
      <c r="R1758" s="65"/>
    </row>
    <row r="1759" ht="27.6" spans="1:18">
      <c r="A1759" s="58">
        <v>1738</v>
      </c>
      <c r="B1759" s="59">
        <v>45904</v>
      </c>
      <c r="C1759" s="84" t="s">
        <v>640</v>
      </c>
      <c r="D1759" s="112" t="s">
        <v>72</v>
      </c>
      <c r="E1759" s="65" t="s">
        <v>804</v>
      </c>
      <c r="F1759" s="107" t="s">
        <v>50</v>
      </c>
      <c r="G1759" s="65" t="s">
        <v>45</v>
      </c>
      <c r="H1759" s="65" t="s">
        <v>132</v>
      </c>
      <c r="I1759" s="86" t="s">
        <v>2694</v>
      </c>
      <c r="J1759" s="65" t="s">
        <v>53</v>
      </c>
      <c r="K1759" s="91" t="s">
        <v>2695</v>
      </c>
      <c r="L1759" s="88"/>
      <c r="M1759" s="65"/>
      <c r="N1759" s="65"/>
      <c r="O1759" s="81"/>
      <c r="P1759" s="82"/>
      <c r="Q1759" s="82" t="s">
        <v>43</v>
      </c>
      <c r="R1759" s="65"/>
    </row>
    <row r="1760" ht="27.6" spans="1:18">
      <c r="A1760" s="58">
        <v>1739</v>
      </c>
      <c r="B1760" s="59">
        <v>45906</v>
      </c>
      <c r="C1760" s="84" t="s">
        <v>640</v>
      </c>
      <c r="D1760" s="112" t="s">
        <v>72</v>
      </c>
      <c r="E1760" s="65" t="s">
        <v>804</v>
      </c>
      <c r="F1760" s="107" t="s">
        <v>36</v>
      </c>
      <c r="G1760" s="65" t="s">
        <v>37</v>
      </c>
      <c r="H1760" s="65" t="s">
        <v>56</v>
      </c>
      <c r="I1760" s="86" t="s">
        <v>2696</v>
      </c>
      <c r="J1760" s="65" t="s">
        <v>53</v>
      </c>
      <c r="K1760" s="91" t="s">
        <v>2688</v>
      </c>
      <c r="L1760" s="88"/>
      <c r="M1760" s="65"/>
      <c r="N1760" s="65"/>
      <c r="O1760" s="81"/>
      <c r="P1760" s="82"/>
      <c r="Q1760" s="82" t="s">
        <v>43</v>
      </c>
      <c r="R1760" s="65"/>
    </row>
    <row r="1761" ht="27.6" spans="1:18">
      <c r="A1761" s="58">
        <v>1740</v>
      </c>
      <c r="B1761" s="59">
        <v>45899</v>
      </c>
      <c r="C1761" s="84" t="s">
        <v>640</v>
      </c>
      <c r="D1761" s="112" t="s">
        <v>72</v>
      </c>
      <c r="E1761" s="65" t="s">
        <v>804</v>
      </c>
      <c r="F1761" s="107" t="s">
        <v>36</v>
      </c>
      <c r="G1761" s="65" t="s">
        <v>79</v>
      </c>
      <c r="H1761" s="65" t="s">
        <v>46</v>
      </c>
      <c r="I1761" s="86" t="s">
        <v>2697</v>
      </c>
      <c r="J1761" s="65" t="s">
        <v>53</v>
      </c>
      <c r="K1761" s="91" t="s">
        <v>2698</v>
      </c>
      <c r="L1761" s="88" t="s">
        <v>2699</v>
      </c>
      <c r="M1761" s="65"/>
      <c r="N1761" s="65"/>
      <c r="O1761" s="81"/>
      <c r="P1761" s="82"/>
      <c r="Q1761" s="82" t="s">
        <v>43</v>
      </c>
      <c r="R1761" s="65"/>
    </row>
    <row r="1762" ht="27.6" spans="1:18">
      <c r="A1762" s="58">
        <v>1741</v>
      </c>
      <c r="B1762" s="59">
        <v>45900</v>
      </c>
      <c r="C1762" s="84" t="s">
        <v>640</v>
      </c>
      <c r="D1762" s="112" t="s">
        <v>72</v>
      </c>
      <c r="E1762" s="65" t="s">
        <v>804</v>
      </c>
      <c r="F1762" s="107" t="s">
        <v>36</v>
      </c>
      <c r="G1762" s="65" t="s">
        <v>79</v>
      </c>
      <c r="H1762" s="65" t="s">
        <v>66</v>
      </c>
      <c r="I1762" s="86" t="s">
        <v>2700</v>
      </c>
      <c r="J1762" s="65" t="s">
        <v>53</v>
      </c>
      <c r="K1762" s="91" t="s">
        <v>2701</v>
      </c>
      <c r="L1762" s="88"/>
      <c r="M1762" s="65"/>
      <c r="N1762" s="65"/>
      <c r="O1762" s="81"/>
      <c r="P1762" s="82"/>
      <c r="Q1762" s="82" t="s">
        <v>43</v>
      </c>
      <c r="R1762" s="65"/>
    </row>
    <row r="1763" ht="13.8" spans="1:18">
      <c r="A1763" s="58">
        <v>1742</v>
      </c>
      <c r="B1763" s="59">
        <v>45901</v>
      </c>
      <c r="C1763" s="84" t="s">
        <v>659</v>
      </c>
      <c r="D1763" s="112" t="s">
        <v>72</v>
      </c>
      <c r="E1763" s="65" t="s">
        <v>804</v>
      </c>
      <c r="F1763" s="107" t="s">
        <v>50</v>
      </c>
      <c r="G1763" s="65" t="s">
        <v>65</v>
      </c>
      <c r="H1763" s="65" t="s">
        <v>94</v>
      </c>
      <c r="I1763" s="86" t="s">
        <v>2702</v>
      </c>
      <c r="J1763" s="65" t="s">
        <v>53</v>
      </c>
      <c r="K1763" s="91" t="s">
        <v>1976</v>
      </c>
      <c r="L1763" s="88"/>
      <c r="M1763" s="65"/>
      <c r="N1763" s="65"/>
      <c r="O1763" s="81"/>
      <c r="P1763" s="82"/>
      <c r="Q1763" s="82" t="s">
        <v>43</v>
      </c>
      <c r="R1763" s="65"/>
    </row>
    <row r="1764" ht="26.4" spans="1:18">
      <c r="A1764" s="58">
        <v>1743</v>
      </c>
      <c r="B1764" s="59">
        <v>45902</v>
      </c>
      <c r="C1764" s="84" t="s">
        <v>659</v>
      </c>
      <c r="D1764" s="112" t="s">
        <v>72</v>
      </c>
      <c r="E1764" s="65" t="s">
        <v>804</v>
      </c>
      <c r="F1764" s="107" t="s">
        <v>50</v>
      </c>
      <c r="G1764" s="65" t="s">
        <v>55</v>
      </c>
      <c r="H1764" s="65" t="s">
        <v>94</v>
      </c>
      <c r="I1764" s="86" t="s">
        <v>2703</v>
      </c>
      <c r="J1764" s="65" t="s">
        <v>53</v>
      </c>
      <c r="K1764" s="91" t="s">
        <v>1976</v>
      </c>
      <c r="L1764" s="88"/>
      <c r="M1764" s="65"/>
      <c r="N1764" s="65"/>
      <c r="O1764" s="81"/>
      <c r="P1764" s="82"/>
      <c r="Q1764" s="82" t="s">
        <v>43</v>
      </c>
      <c r="R1764" s="65"/>
    </row>
    <row r="1765" ht="26.4" spans="1:18">
      <c r="A1765" s="58">
        <v>1744</v>
      </c>
      <c r="B1765" s="59">
        <v>45903</v>
      </c>
      <c r="C1765" s="84" t="s">
        <v>659</v>
      </c>
      <c r="D1765" s="112" t="s">
        <v>72</v>
      </c>
      <c r="E1765" s="65" t="s">
        <v>804</v>
      </c>
      <c r="F1765" s="107" t="s">
        <v>50</v>
      </c>
      <c r="G1765" s="65" t="s">
        <v>55</v>
      </c>
      <c r="H1765" s="65" t="s">
        <v>51</v>
      </c>
      <c r="I1765" s="86" t="s">
        <v>2704</v>
      </c>
      <c r="J1765" s="65" t="s">
        <v>53</v>
      </c>
      <c r="K1765" s="91" t="s">
        <v>2705</v>
      </c>
      <c r="L1765" s="88"/>
      <c r="M1765" s="65"/>
      <c r="N1765" s="65"/>
      <c r="O1765" s="81"/>
      <c r="P1765" s="82"/>
      <c r="Q1765" s="82" t="s">
        <v>43</v>
      </c>
      <c r="R1765" s="65"/>
    </row>
    <row r="1766" ht="27.6" spans="1:18">
      <c r="A1766" s="58">
        <v>1745</v>
      </c>
      <c r="B1766" s="59">
        <v>45903</v>
      </c>
      <c r="C1766" s="84" t="s">
        <v>659</v>
      </c>
      <c r="D1766" s="112" t="s">
        <v>72</v>
      </c>
      <c r="E1766" s="65" t="s">
        <v>804</v>
      </c>
      <c r="F1766" s="107" t="s">
        <v>50</v>
      </c>
      <c r="G1766" s="65" t="s">
        <v>55</v>
      </c>
      <c r="H1766" s="65" t="s">
        <v>132</v>
      </c>
      <c r="I1766" s="86" t="s">
        <v>2706</v>
      </c>
      <c r="J1766" s="65" t="s">
        <v>53</v>
      </c>
      <c r="K1766" s="91" t="s">
        <v>2707</v>
      </c>
      <c r="L1766" s="88"/>
      <c r="M1766" s="65"/>
      <c r="N1766" s="65"/>
      <c r="O1766" s="81"/>
      <c r="P1766" s="82"/>
      <c r="Q1766" s="82" t="s">
        <v>43</v>
      </c>
      <c r="R1766" s="65"/>
    </row>
    <row r="1767" ht="13.8" spans="1:18">
      <c r="A1767" s="58">
        <v>1746</v>
      </c>
      <c r="B1767" s="59">
        <v>45899</v>
      </c>
      <c r="C1767" s="84" t="s">
        <v>659</v>
      </c>
      <c r="D1767" s="112" t="s">
        <v>72</v>
      </c>
      <c r="E1767" s="65" t="s">
        <v>804</v>
      </c>
      <c r="F1767" s="107" t="s">
        <v>50</v>
      </c>
      <c r="G1767" s="65" t="s">
        <v>37</v>
      </c>
      <c r="H1767" s="65" t="s">
        <v>46</v>
      </c>
      <c r="I1767" s="86" t="s">
        <v>2708</v>
      </c>
      <c r="J1767" s="65" t="s">
        <v>53</v>
      </c>
      <c r="K1767" s="91" t="s">
        <v>2709</v>
      </c>
      <c r="L1767" s="88"/>
      <c r="M1767" s="65"/>
      <c r="N1767" s="65"/>
      <c r="O1767" s="81"/>
      <c r="P1767" s="82"/>
      <c r="Q1767" s="82" t="s">
        <v>43</v>
      </c>
      <c r="R1767" s="65"/>
    </row>
    <row r="1768" ht="13.8" spans="1:18">
      <c r="A1768" s="58">
        <v>1747</v>
      </c>
      <c r="B1768" s="59">
        <v>45900</v>
      </c>
      <c r="C1768" s="84" t="s">
        <v>659</v>
      </c>
      <c r="D1768" s="112" t="s">
        <v>72</v>
      </c>
      <c r="E1768" s="65" t="s">
        <v>804</v>
      </c>
      <c r="F1768" s="107" t="s">
        <v>50</v>
      </c>
      <c r="G1768" s="65" t="s">
        <v>55</v>
      </c>
      <c r="H1768" s="65" t="s">
        <v>132</v>
      </c>
      <c r="I1768" s="86" t="s">
        <v>2710</v>
      </c>
      <c r="J1768" s="65" t="s">
        <v>53</v>
      </c>
      <c r="K1768" s="91" t="s">
        <v>2711</v>
      </c>
      <c r="L1768" s="88"/>
      <c r="M1768" s="65"/>
      <c r="N1768" s="65"/>
      <c r="O1768" s="81"/>
      <c r="P1768" s="82"/>
      <c r="Q1768" s="82" t="s">
        <v>43</v>
      </c>
      <c r="R1768" s="65"/>
    </row>
    <row r="1769" ht="13.8" spans="1:18">
      <c r="A1769" s="58">
        <v>1748</v>
      </c>
      <c r="B1769" s="59">
        <v>45901</v>
      </c>
      <c r="C1769" s="84" t="s">
        <v>659</v>
      </c>
      <c r="D1769" s="112" t="s">
        <v>72</v>
      </c>
      <c r="E1769" s="65" t="s">
        <v>804</v>
      </c>
      <c r="F1769" s="107" t="s">
        <v>36</v>
      </c>
      <c r="G1769" s="65" t="s">
        <v>55</v>
      </c>
      <c r="H1769" s="65" t="s">
        <v>1008</v>
      </c>
      <c r="I1769" s="86" t="s">
        <v>2712</v>
      </c>
      <c r="J1769" s="65" t="s">
        <v>53</v>
      </c>
      <c r="K1769" s="91" t="s">
        <v>2713</v>
      </c>
      <c r="L1769" s="88"/>
      <c r="M1769" s="65"/>
      <c r="N1769" s="65"/>
      <c r="O1769" s="81"/>
      <c r="P1769" s="82"/>
      <c r="Q1769" s="82" t="s">
        <v>43</v>
      </c>
      <c r="R1769" s="65"/>
    </row>
    <row r="1770" ht="13.8" spans="1:18">
      <c r="A1770" s="58">
        <v>1749</v>
      </c>
      <c r="B1770" s="59">
        <v>45902</v>
      </c>
      <c r="C1770" s="84" t="s">
        <v>659</v>
      </c>
      <c r="D1770" s="112" t="s">
        <v>72</v>
      </c>
      <c r="E1770" s="65" t="s">
        <v>804</v>
      </c>
      <c r="F1770" s="107" t="s">
        <v>36</v>
      </c>
      <c r="G1770" s="65" t="s">
        <v>93</v>
      </c>
      <c r="H1770" s="65" t="s">
        <v>66</v>
      </c>
      <c r="I1770" s="86" t="s">
        <v>2714</v>
      </c>
      <c r="J1770" s="65" t="s">
        <v>53</v>
      </c>
      <c r="K1770" s="91" t="s">
        <v>2705</v>
      </c>
      <c r="L1770" s="88"/>
      <c r="M1770" s="65"/>
      <c r="N1770" s="65"/>
      <c r="O1770" s="81"/>
      <c r="P1770" s="82"/>
      <c r="Q1770" s="82" t="s">
        <v>43</v>
      </c>
      <c r="R1770" s="65"/>
    </row>
    <row r="1771" ht="13.8" spans="1:18">
      <c r="A1771" s="58">
        <v>1750</v>
      </c>
      <c r="B1771" s="59">
        <v>45903</v>
      </c>
      <c r="C1771" s="84" t="s">
        <v>659</v>
      </c>
      <c r="D1771" s="112" t="s">
        <v>72</v>
      </c>
      <c r="E1771" s="65" t="s">
        <v>804</v>
      </c>
      <c r="F1771" s="107" t="s">
        <v>36</v>
      </c>
      <c r="G1771" s="65" t="s">
        <v>55</v>
      </c>
      <c r="H1771" s="65" t="s">
        <v>66</v>
      </c>
      <c r="I1771" s="86" t="s">
        <v>2715</v>
      </c>
      <c r="J1771" s="65" t="s">
        <v>53</v>
      </c>
      <c r="K1771" s="91" t="s">
        <v>2705</v>
      </c>
      <c r="L1771" s="88"/>
      <c r="M1771" s="65"/>
      <c r="N1771" s="65"/>
      <c r="O1771" s="81"/>
      <c r="P1771" s="82"/>
      <c r="Q1771" s="82" t="s">
        <v>43</v>
      </c>
      <c r="R1771" s="65"/>
    </row>
    <row r="1772" ht="27.6" spans="1:18">
      <c r="A1772" s="58">
        <v>1751</v>
      </c>
      <c r="B1772" s="59">
        <v>45906</v>
      </c>
      <c r="C1772" s="84" t="s">
        <v>640</v>
      </c>
      <c r="D1772" s="112" t="s">
        <v>72</v>
      </c>
      <c r="E1772" s="65" t="s">
        <v>804</v>
      </c>
      <c r="F1772" s="107" t="s">
        <v>192</v>
      </c>
      <c r="G1772" s="65" t="s">
        <v>37</v>
      </c>
      <c r="H1772" s="65" t="s">
        <v>132</v>
      </c>
      <c r="I1772" s="86" t="s">
        <v>2716</v>
      </c>
      <c r="J1772" s="65" t="s">
        <v>137</v>
      </c>
      <c r="K1772" s="91" t="s">
        <v>2717</v>
      </c>
      <c r="L1772" s="88"/>
      <c r="M1772" s="65"/>
      <c r="N1772" s="65"/>
      <c r="O1772" s="81"/>
      <c r="P1772" s="82"/>
      <c r="Q1772" s="82" t="s">
        <v>8</v>
      </c>
      <c r="R1772" s="65"/>
    </row>
    <row r="1773" ht="41.4" spans="1:18">
      <c r="A1773" s="58">
        <v>1752</v>
      </c>
      <c r="B1773" s="59">
        <v>45907</v>
      </c>
      <c r="C1773" s="84" t="s">
        <v>640</v>
      </c>
      <c r="D1773" s="112" t="s">
        <v>72</v>
      </c>
      <c r="E1773" s="65" t="s">
        <v>804</v>
      </c>
      <c r="F1773" s="107" t="s">
        <v>36</v>
      </c>
      <c r="G1773" s="65" t="s">
        <v>1790</v>
      </c>
      <c r="H1773" s="65" t="s">
        <v>128</v>
      </c>
      <c r="I1773" s="86" t="s">
        <v>2718</v>
      </c>
      <c r="J1773" s="65" t="s">
        <v>53</v>
      </c>
      <c r="K1773" s="91" t="s">
        <v>2719</v>
      </c>
      <c r="L1773" s="88"/>
      <c r="M1773" s="65"/>
      <c r="N1773" s="65"/>
      <c r="O1773" s="81"/>
      <c r="P1773" s="82"/>
      <c r="Q1773" s="82" t="s">
        <v>43</v>
      </c>
      <c r="R1773" s="65"/>
    </row>
    <row r="1774" ht="41.4" spans="1:18">
      <c r="A1774" s="58">
        <v>1753</v>
      </c>
      <c r="B1774" s="59">
        <v>45908</v>
      </c>
      <c r="C1774" s="84" t="s">
        <v>640</v>
      </c>
      <c r="D1774" s="112" t="s">
        <v>72</v>
      </c>
      <c r="E1774" s="65" t="s">
        <v>804</v>
      </c>
      <c r="F1774" s="107" t="s">
        <v>36</v>
      </c>
      <c r="G1774" s="65" t="s">
        <v>55</v>
      </c>
      <c r="H1774" s="65" t="s">
        <v>56</v>
      </c>
      <c r="I1774" s="86" t="s">
        <v>2720</v>
      </c>
      <c r="J1774" s="65" t="s">
        <v>53</v>
      </c>
      <c r="K1774" s="91" t="s">
        <v>2721</v>
      </c>
      <c r="L1774" s="88"/>
      <c r="M1774" s="65"/>
      <c r="N1774" s="65"/>
      <c r="O1774" s="81"/>
      <c r="P1774" s="82"/>
      <c r="Q1774" s="82" t="s">
        <v>43</v>
      </c>
      <c r="R1774" s="65"/>
    </row>
    <row r="1775" ht="41.4" spans="1:18">
      <c r="A1775" s="58">
        <v>1754</v>
      </c>
      <c r="B1775" s="59">
        <v>45909</v>
      </c>
      <c r="C1775" s="84" t="s">
        <v>640</v>
      </c>
      <c r="D1775" s="112" t="s">
        <v>72</v>
      </c>
      <c r="E1775" s="65" t="s">
        <v>804</v>
      </c>
      <c r="F1775" s="107" t="s">
        <v>36</v>
      </c>
      <c r="G1775" s="65" t="s">
        <v>55</v>
      </c>
      <c r="H1775" s="65" t="s">
        <v>132</v>
      </c>
      <c r="I1775" s="86" t="s">
        <v>2722</v>
      </c>
      <c r="J1775" s="65" t="s">
        <v>53</v>
      </c>
      <c r="K1775" s="91" t="s">
        <v>2721</v>
      </c>
      <c r="L1775" s="88"/>
      <c r="M1775" s="65"/>
      <c r="N1775" s="65"/>
      <c r="O1775" s="81"/>
      <c r="P1775" s="82"/>
      <c r="Q1775" s="82" t="s">
        <v>43</v>
      </c>
      <c r="R1775" s="65"/>
    </row>
    <row r="1776" ht="41.4" spans="1:18">
      <c r="A1776" s="58">
        <v>1755</v>
      </c>
      <c r="B1776" s="59">
        <v>45910</v>
      </c>
      <c r="C1776" s="84" t="s">
        <v>640</v>
      </c>
      <c r="D1776" s="112" t="s">
        <v>72</v>
      </c>
      <c r="E1776" s="65" t="s">
        <v>804</v>
      </c>
      <c r="F1776" s="107" t="s">
        <v>50</v>
      </c>
      <c r="G1776" s="65" t="s">
        <v>37</v>
      </c>
      <c r="H1776" s="65" t="s">
        <v>94</v>
      </c>
      <c r="I1776" s="86" t="s">
        <v>2723</v>
      </c>
      <c r="J1776" s="65" t="s">
        <v>53</v>
      </c>
      <c r="K1776" s="91" t="s">
        <v>2724</v>
      </c>
      <c r="L1776" s="88"/>
      <c r="M1776" s="65"/>
      <c r="N1776" s="65"/>
      <c r="O1776" s="81"/>
      <c r="P1776" s="82"/>
      <c r="Q1776" s="82" t="s">
        <v>43</v>
      </c>
      <c r="R1776" s="65"/>
    </row>
    <row r="1777" ht="27.6" spans="1:18">
      <c r="A1777" s="58">
        <v>1756</v>
      </c>
      <c r="B1777" s="59">
        <v>45911</v>
      </c>
      <c r="C1777" s="84" t="s">
        <v>640</v>
      </c>
      <c r="D1777" s="112" t="s">
        <v>72</v>
      </c>
      <c r="E1777" s="65" t="s">
        <v>804</v>
      </c>
      <c r="F1777" s="107" t="s">
        <v>36</v>
      </c>
      <c r="G1777" s="65" t="s">
        <v>37</v>
      </c>
      <c r="H1777" s="65" t="s">
        <v>94</v>
      </c>
      <c r="I1777" s="86" t="s">
        <v>2725</v>
      </c>
      <c r="J1777" s="65" t="s">
        <v>53</v>
      </c>
      <c r="K1777" s="91" t="s">
        <v>2726</v>
      </c>
      <c r="L1777" s="88"/>
      <c r="M1777" s="65"/>
      <c r="N1777" s="65"/>
      <c r="O1777" s="81"/>
      <c r="P1777" s="82"/>
      <c r="Q1777" s="82" t="s">
        <v>43</v>
      </c>
      <c r="R1777" s="65"/>
    </row>
    <row r="1778" ht="55.2" spans="1:18">
      <c r="A1778" s="58">
        <v>1757</v>
      </c>
      <c r="B1778" s="59">
        <v>45912</v>
      </c>
      <c r="C1778" s="84" t="s">
        <v>640</v>
      </c>
      <c r="D1778" s="112" t="s">
        <v>72</v>
      </c>
      <c r="E1778" s="65" t="s">
        <v>804</v>
      </c>
      <c r="F1778" s="107" t="s">
        <v>36</v>
      </c>
      <c r="G1778" s="65" t="s">
        <v>55</v>
      </c>
      <c r="H1778" s="65" t="s">
        <v>56</v>
      </c>
      <c r="I1778" s="86" t="s">
        <v>2727</v>
      </c>
      <c r="J1778" s="65" t="s">
        <v>53</v>
      </c>
      <c r="K1778" s="91" t="s">
        <v>2728</v>
      </c>
      <c r="L1778" s="88"/>
      <c r="M1778" s="65"/>
      <c r="N1778" s="65"/>
      <c r="O1778" s="81"/>
      <c r="P1778" s="82"/>
      <c r="Q1778" s="82" t="s">
        <v>43</v>
      </c>
      <c r="R1778" s="65"/>
    </row>
    <row r="1779" ht="26.4" spans="1:18">
      <c r="A1779" s="58">
        <v>1758</v>
      </c>
      <c r="B1779" s="59">
        <v>45910</v>
      </c>
      <c r="C1779" s="84" t="s">
        <v>641</v>
      </c>
      <c r="D1779" s="112" t="s">
        <v>72</v>
      </c>
      <c r="E1779" s="65" t="s">
        <v>804</v>
      </c>
      <c r="F1779" s="107" t="s">
        <v>192</v>
      </c>
      <c r="G1779" s="65" t="s">
        <v>79</v>
      </c>
      <c r="H1779" s="65" t="s">
        <v>51</v>
      </c>
      <c r="I1779" s="86" t="s">
        <v>2729</v>
      </c>
      <c r="J1779" s="65" t="s">
        <v>137</v>
      </c>
      <c r="K1779" s="91"/>
      <c r="L1779" s="88"/>
      <c r="M1779" s="65"/>
      <c r="N1779" s="65"/>
      <c r="O1779" s="81"/>
      <c r="P1779" s="82"/>
      <c r="Q1779" s="82" t="s">
        <v>8</v>
      </c>
      <c r="R1779" s="65"/>
    </row>
    <row r="1780" ht="27.6" spans="1:18">
      <c r="A1780" s="58">
        <v>1759</v>
      </c>
      <c r="B1780" s="59">
        <v>45908</v>
      </c>
      <c r="C1780" s="84" t="s">
        <v>641</v>
      </c>
      <c r="D1780" s="112" t="s">
        <v>72</v>
      </c>
      <c r="E1780" s="65" t="s">
        <v>804</v>
      </c>
      <c r="F1780" s="107" t="s">
        <v>50</v>
      </c>
      <c r="G1780" s="65" t="s">
        <v>61</v>
      </c>
      <c r="H1780" s="65" t="s">
        <v>1008</v>
      </c>
      <c r="I1780" s="86" t="s">
        <v>2730</v>
      </c>
      <c r="J1780" s="65" t="s">
        <v>53</v>
      </c>
      <c r="K1780" s="91" t="s">
        <v>2731</v>
      </c>
      <c r="L1780" s="88"/>
      <c r="M1780" s="65"/>
      <c r="N1780" s="65"/>
      <c r="O1780" s="81"/>
      <c r="P1780" s="82"/>
      <c r="Q1780" s="82" t="s">
        <v>43</v>
      </c>
      <c r="R1780" s="65"/>
    </row>
    <row r="1781" ht="27.6" spans="1:18">
      <c r="A1781" s="58">
        <v>1760</v>
      </c>
      <c r="B1781" s="59">
        <v>45910</v>
      </c>
      <c r="C1781" s="84" t="s">
        <v>641</v>
      </c>
      <c r="D1781" s="112" t="s">
        <v>72</v>
      </c>
      <c r="E1781" s="65" t="s">
        <v>804</v>
      </c>
      <c r="F1781" s="107" t="s">
        <v>50</v>
      </c>
      <c r="G1781" s="65" t="s">
        <v>79</v>
      </c>
      <c r="H1781" s="65" t="s">
        <v>132</v>
      </c>
      <c r="I1781" s="86" t="s">
        <v>2732</v>
      </c>
      <c r="J1781" s="65" t="s">
        <v>53</v>
      </c>
      <c r="K1781" s="91" t="s">
        <v>2733</v>
      </c>
      <c r="L1781" s="88" t="s">
        <v>2734</v>
      </c>
      <c r="M1781" s="65"/>
      <c r="N1781" s="65"/>
      <c r="O1781" s="81"/>
      <c r="P1781" s="82"/>
      <c r="Q1781" s="82" t="s">
        <v>43</v>
      </c>
      <c r="R1781" s="65"/>
    </row>
    <row r="1782" ht="27.6" spans="1:18">
      <c r="A1782" s="58">
        <v>1761</v>
      </c>
      <c r="B1782" s="59">
        <v>45907</v>
      </c>
      <c r="C1782" s="84" t="s">
        <v>641</v>
      </c>
      <c r="D1782" s="112" t="s">
        <v>72</v>
      </c>
      <c r="E1782" s="65" t="s">
        <v>804</v>
      </c>
      <c r="F1782" s="107" t="s">
        <v>36</v>
      </c>
      <c r="G1782" s="65" t="s">
        <v>61</v>
      </c>
      <c r="H1782" s="65" t="s">
        <v>46</v>
      </c>
      <c r="I1782" s="86" t="s">
        <v>2735</v>
      </c>
      <c r="J1782" s="65" t="s">
        <v>53</v>
      </c>
      <c r="K1782" s="91" t="s">
        <v>2736</v>
      </c>
      <c r="L1782" s="88"/>
      <c r="M1782" s="65"/>
      <c r="N1782" s="65"/>
      <c r="O1782" s="81"/>
      <c r="P1782" s="82"/>
      <c r="Q1782" s="82" t="s">
        <v>43</v>
      </c>
      <c r="R1782" s="65"/>
    </row>
    <row r="1783" ht="27.6" spans="1:18">
      <c r="A1783" s="58">
        <v>1762</v>
      </c>
      <c r="B1783" s="59">
        <v>45911</v>
      </c>
      <c r="C1783" s="84" t="s">
        <v>641</v>
      </c>
      <c r="D1783" s="112" t="s">
        <v>72</v>
      </c>
      <c r="E1783" s="65" t="s">
        <v>804</v>
      </c>
      <c r="F1783" s="107" t="s">
        <v>36</v>
      </c>
      <c r="G1783" s="65" t="s">
        <v>79</v>
      </c>
      <c r="H1783" s="65" t="s">
        <v>56</v>
      </c>
      <c r="I1783" s="86" t="s">
        <v>2737</v>
      </c>
      <c r="J1783" s="65" t="s">
        <v>53</v>
      </c>
      <c r="K1783" s="91" t="s">
        <v>2738</v>
      </c>
      <c r="L1783" s="88"/>
      <c r="M1783" s="65"/>
      <c r="N1783" s="65"/>
      <c r="O1783" s="81"/>
      <c r="P1783" s="82"/>
      <c r="Q1783" s="82" t="s">
        <v>43</v>
      </c>
      <c r="R1783" s="65"/>
    </row>
    <row r="1784" ht="41.4" spans="1:18">
      <c r="A1784" s="58">
        <v>1763</v>
      </c>
      <c r="B1784" s="59">
        <v>45908</v>
      </c>
      <c r="C1784" s="84" t="s">
        <v>659</v>
      </c>
      <c r="D1784" s="112" t="s">
        <v>72</v>
      </c>
      <c r="E1784" s="65" t="s">
        <v>804</v>
      </c>
      <c r="F1784" s="107" t="s">
        <v>50</v>
      </c>
      <c r="G1784" s="65" t="s">
        <v>82</v>
      </c>
      <c r="H1784" s="65" t="s">
        <v>132</v>
      </c>
      <c r="I1784" s="86" t="s">
        <v>2739</v>
      </c>
      <c r="J1784" s="65" t="s">
        <v>53</v>
      </c>
      <c r="K1784" s="91" t="s">
        <v>2740</v>
      </c>
      <c r="L1784" s="88"/>
      <c r="M1784" s="65"/>
      <c r="N1784" s="65"/>
      <c r="O1784" s="81"/>
      <c r="P1784" s="82"/>
      <c r="Q1784" s="82" t="s">
        <v>43</v>
      </c>
      <c r="R1784" s="65"/>
    </row>
    <row r="1785" ht="13.8" spans="1:18">
      <c r="A1785" s="58">
        <v>1764</v>
      </c>
      <c r="B1785" s="59">
        <v>45906</v>
      </c>
      <c r="C1785" s="84" t="s">
        <v>659</v>
      </c>
      <c r="D1785" s="112" t="s">
        <v>72</v>
      </c>
      <c r="E1785" s="65" t="s">
        <v>804</v>
      </c>
      <c r="F1785" s="107" t="s">
        <v>36</v>
      </c>
      <c r="G1785" s="65" t="s">
        <v>65</v>
      </c>
      <c r="H1785" s="65" t="s">
        <v>56</v>
      </c>
      <c r="I1785" s="86" t="s">
        <v>2741</v>
      </c>
      <c r="J1785" s="65" t="s">
        <v>53</v>
      </c>
      <c r="K1785" s="91" t="s">
        <v>2742</v>
      </c>
      <c r="L1785" s="88"/>
      <c r="M1785" s="65"/>
      <c r="N1785" s="65"/>
      <c r="O1785" s="81"/>
      <c r="P1785" s="82"/>
      <c r="Q1785" s="82" t="s">
        <v>43</v>
      </c>
      <c r="R1785" s="65"/>
    </row>
    <row r="1786" ht="13.8" spans="1:18">
      <c r="A1786" s="58">
        <v>1765</v>
      </c>
      <c r="B1786" s="59">
        <v>45907</v>
      </c>
      <c r="C1786" s="84" t="s">
        <v>659</v>
      </c>
      <c r="D1786" s="112" t="s">
        <v>72</v>
      </c>
      <c r="E1786" s="65" t="s">
        <v>804</v>
      </c>
      <c r="F1786" s="107" t="s">
        <v>36</v>
      </c>
      <c r="G1786" s="65" t="s">
        <v>82</v>
      </c>
      <c r="H1786" s="65" t="s">
        <v>56</v>
      </c>
      <c r="I1786" s="86" t="s">
        <v>2743</v>
      </c>
      <c r="J1786" s="65" t="s">
        <v>53</v>
      </c>
      <c r="K1786" s="91" t="s">
        <v>2705</v>
      </c>
      <c r="L1786" s="88"/>
      <c r="M1786" s="65"/>
      <c r="N1786" s="65"/>
      <c r="O1786" s="81"/>
      <c r="P1786" s="82"/>
      <c r="Q1786" s="82" t="s">
        <v>43</v>
      </c>
      <c r="R1786" s="65"/>
    </row>
    <row r="1787" ht="41.4" spans="1:18">
      <c r="A1787" s="58">
        <v>1766</v>
      </c>
      <c r="B1787" s="59">
        <v>45908</v>
      </c>
      <c r="C1787" s="84" t="s">
        <v>659</v>
      </c>
      <c r="D1787" s="112" t="s">
        <v>72</v>
      </c>
      <c r="E1787" s="65" t="s">
        <v>804</v>
      </c>
      <c r="F1787" s="107" t="s">
        <v>36</v>
      </c>
      <c r="G1787" s="65" t="s">
        <v>82</v>
      </c>
      <c r="H1787" s="65" t="s">
        <v>132</v>
      </c>
      <c r="I1787" s="86" t="s">
        <v>2744</v>
      </c>
      <c r="J1787" s="65" t="s">
        <v>53</v>
      </c>
      <c r="K1787" s="91" t="s">
        <v>2745</v>
      </c>
      <c r="L1787" s="88"/>
      <c r="M1787" s="65"/>
      <c r="N1787" s="65"/>
      <c r="O1787" s="81"/>
      <c r="P1787" s="82"/>
      <c r="Q1787" s="82" t="s">
        <v>43</v>
      </c>
      <c r="R1787" s="65"/>
    </row>
    <row r="1788" ht="13.8" spans="1:18">
      <c r="A1788" s="58">
        <v>1767</v>
      </c>
      <c r="B1788" s="59">
        <v>45909</v>
      </c>
      <c r="C1788" s="84" t="s">
        <v>659</v>
      </c>
      <c r="D1788" s="112" t="s">
        <v>72</v>
      </c>
      <c r="E1788" s="65" t="s">
        <v>804</v>
      </c>
      <c r="F1788" s="107" t="s">
        <v>36</v>
      </c>
      <c r="G1788" s="65" t="s">
        <v>45</v>
      </c>
      <c r="H1788" s="65" t="s">
        <v>132</v>
      </c>
      <c r="I1788" s="86" t="s">
        <v>2746</v>
      </c>
      <c r="J1788" s="65" t="s">
        <v>53</v>
      </c>
      <c r="K1788" s="91" t="s">
        <v>2747</v>
      </c>
      <c r="L1788" s="88"/>
      <c r="M1788" s="65"/>
      <c r="N1788" s="65"/>
      <c r="O1788" s="81"/>
      <c r="P1788" s="82"/>
      <c r="Q1788" s="82" t="s">
        <v>43</v>
      </c>
      <c r="R1788" s="65"/>
    </row>
    <row r="1789" ht="13.8" spans="1:18">
      <c r="A1789" s="58">
        <v>1768</v>
      </c>
      <c r="B1789" s="59">
        <v>45910</v>
      </c>
      <c r="C1789" s="84" t="s">
        <v>659</v>
      </c>
      <c r="D1789" s="112" t="s">
        <v>72</v>
      </c>
      <c r="E1789" s="65" t="s">
        <v>804</v>
      </c>
      <c r="F1789" s="107" t="s">
        <v>36</v>
      </c>
      <c r="G1789" s="65" t="s">
        <v>82</v>
      </c>
      <c r="H1789" s="65" t="s">
        <v>56</v>
      </c>
      <c r="I1789" s="86" t="s">
        <v>2748</v>
      </c>
      <c r="J1789" s="65" t="s">
        <v>53</v>
      </c>
      <c r="K1789" s="91" t="s">
        <v>2705</v>
      </c>
      <c r="L1789" s="88"/>
      <c r="M1789" s="65"/>
      <c r="N1789" s="65"/>
      <c r="O1789" s="81"/>
      <c r="P1789" s="82"/>
      <c r="Q1789" s="82" t="s">
        <v>43</v>
      </c>
      <c r="R1789" s="65"/>
    </row>
    <row r="1790" ht="13.8" spans="1:18">
      <c r="A1790" s="58">
        <v>1769</v>
      </c>
      <c r="B1790" s="59">
        <v>45911</v>
      </c>
      <c r="C1790" s="84" t="s">
        <v>659</v>
      </c>
      <c r="D1790" s="112" t="s">
        <v>72</v>
      </c>
      <c r="E1790" s="65" t="s">
        <v>804</v>
      </c>
      <c r="F1790" s="107" t="s">
        <v>36</v>
      </c>
      <c r="G1790" s="65" t="s">
        <v>45</v>
      </c>
      <c r="H1790" s="65" t="s">
        <v>56</v>
      </c>
      <c r="I1790" s="86" t="s">
        <v>2749</v>
      </c>
      <c r="J1790" s="65" t="s">
        <v>53</v>
      </c>
      <c r="K1790" s="91" t="s">
        <v>2705</v>
      </c>
      <c r="L1790" s="88"/>
      <c r="M1790" s="65"/>
      <c r="N1790" s="65"/>
      <c r="O1790" s="81"/>
      <c r="P1790" s="82"/>
      <c r="Q1790" s="82" t="s">
        <v>43</v>
      </c>
      <c r="R1790" s="65"/>
    </row>
    <row r="1791" ht="41.4" spans="1:18">
      <c r="A1791" s="58">
        <v>1770</v>
      </c>
      <c r="B1791" s="59">
        <v>45900</v>
      </c>
      <c r="C1791" s="84" t="s">
        <v>620</v>
      </c>
      <c r="D1791" s="112" t="s">
        <v>60</v>
      </c>
      <c r="E1791" s="65" t="s">
        <v>621</v>
      </c>
      <c r="F1791" s="107" t="s">
        <v>50</v>
      </c>
      <c r="G1791" s="65" t="s">
        <v>55</v>
      </c>
      <c r="H1791" s="65" t="s">
        <v>56</v>
      </c>
      <c r="I1791" s="86" t="s">
        <v>2750</v>
      </c>
      <c r="J1791" s="65" t="s">
        <v>88</v>
      </c>
      <c r="K1791" s="91" t="s">
        <v>2751</v>
      </c>
      <c r="L1791" s="88" t="s">
        <v>2752</v>
      </c>
      <c r="M1791" s="65"/>
      <c r="N1791" s="65"/>
      <c r="O1791" s="81"/>
      <c r="P1791" s="82"/>
      <c r="Q1791" s="82" t="s">
        <v>43</v>
      </c>
      <c r="R1791" s="65"/>
    </row>
    <row r="1792" ht="13.8" spans="1:18">
      <c r="A1792" s="58">
        <v>1771</v>
      </c>
      <c r="B1792" s="59">
        <v>45901</v>
      </c>
      <c r="C1792" s="84" t="s">
        <v>620</v>
      </c>
      <c r="D1792" s="112" t="s">
        <v>60</v>
      </c>
      <c r="E1792" s="65" t="s">
        <v>621</v>
      </c>
      <c r="F1792" s="107" t="s">
        <v>36</v>
      </c>
      <c r="G1792" s="65" t="s">
        <v>79</v>
      </c>
      <c r="H1792" s="65" t="s">
        <v>94</v>
      </c>
      <c r="I1792" s="86" t="s">
        <v>2753</v>
      </c>
      <c r="J1792" s="65" t="s">
        <v>88</v>
      </c>
      <c r="K1792" s="91" t="s">
        <v>2754</v>
      </c>
      <c r="L1792" s="88" t="s">
        <v>2288</v>
      </c>
      <c r="M1792" s="65"/>
      <c r="N1792" s="65"/>
      <c r="O1792" s="81"/>
      <c r="P1792" s="82"/>
      <c r="Q1792" s="82" t="s">
        <v>43</v>
      </c>
      <c r="R1792" s="65"/>
    </row>
    <row r="1793" ht="27.6" spans="1:18">
      <c r="A1793" s="58">
        <v>1772</v>
      </c>
      <c r="B1793" s="59">
        <v>45901</v>
      </c>
      <c r="C1793" s="84" t="s">
        <v>620</v>
      </c>
      <c r="D1793" s="112" t="s">
        <v>60</v>
      </c>
      <c r="E1793" s="65" t="s">
        <v>621</v>
      </c>
      <c r="F1793" s="107" t="s">
        <v>50</v>
      </c>
      <c r="G1793" s="65" t="s">
        <v>79</v>
      </c>
      <c r="H1793" s="65" t="s">
        <v>94</v>
      </c>
      <c r="I1793" s="86" t="s">
        <v>2755</v>
      </c>
      <c r="J1793" s="65" t="s">
        <v>88</v>
      </c>
      <c r="K1793" s="91" t="s">
        <v>2756</v>
      </c>
      <c r="L1793" s="88" t="s">
        <v>2288</v>
      </c>
      <c r="M1793" s="65"/>
      <c r="N1793" s="65"/>
      <c r="O1793" s="81"/>
      <c r="P1793" s="82"/>
      <c r="Q1793" s="82" t="s">
        <v>43</v>
      </c>
      <c r="R1793" s="65"/>
    </row>
    <row r="1794" ht="27.6" spans="1:18">
      <c r="A1794" s="58">
        <v>1773</v>
      </c>
      <c r="B1794" s="59">
        <v>45908</v>
      </c>
      <c r="C1794" s="84" t="s">
        <v>1668</v>
      </c>
      <c r="D1794" s="112" t="s">
        <v>60</v>
      </c>
      <c r="E1794" s="85" t="s">
        <v>163</v>
      </c>
      <c r="F1794" s="107" t="s">
        <v>36</v>
      </c>
      <c r="G1794" s="65" t="s">
        <v>37</v>
      </c>
      <c r="H1794" s="65" t="s">
        <v>56</v>
      </c>
      <c r="I1794" s="86" t="s">
        <v>2757</v>
      </c>
      <c r="J1794" s="65" t="s">
        <v>88</v>
      </c>
      <c r="K1794" s="91" t="s">
        <v>2758</v>
      </c>
      <c r="L1794" s="88"/>
      <c r="M1794" s="65"/>
      <c r="N1794" s="65"/>
      <c r="O1794" s="81"/>
      <c r="P1794" s="82"/>
      <c r="Q1794" s="82" t="s">
        <v>43</v>
      </c>
      <c r="R1794" s="65"/>
    </row>
    <row r="1795" ht="27.6" spans="1:18">
      <c r="A1795" s="58">
        <v>1774</v>
      </c>
      <c r="B1795" s="59">
        <v>45908</v>
      </c>
      <c r="C1795" s="84" t="s">
        <v>1668</v>
      </c>
      <c r="D1795" s="112" t="s">
        <v>60</v>
      </c>
      <c r="E1795" s="85" t="s">
        <v>163</v>
      </c>
      <c r="F1795" s="107" t="s">
        <v>50</v>
      </c>
      <c r="G1795" s="65" t="s">
        <v>55</v>
      </c>
      <c r="H1795" s="65" t="s">
        <v>51</v>
      </c>
      <c r="I1795" s="86" t="s">
        <v>2759</v>
      </c>
      <c r="J1795" s="65" t="s">
        <v>88</v>
      </c>
      <c r="K1795" s="91" t="s">
        <v>2760</v>
      </c>
      <c r="L1795" s="88" t="s">
        <v>2761</v>
      </c>
      <c r="M1795" s="65"/>
      <c r="N1795" s="65"/>
      <c r="O1795" s="81"/>
      <c r="P1795" s="82"/>
      <c r="Q1795" s="82" t="s">
        <v>43</v>
      </c>
      <c r="R1795" s="65"/>
    </row>
    <row r="1796" ht="41.4" spans="1:18">
      <c r="A1796" s="58">
        <v>1775</v>
      </c>
      <c r="B1796" s="59">
        <v>45909</v>
      </c>
      <c r="C1796" s="84" t="s">
        <v>1668</v>
      </c>
      <c r="D1796" s="112" t="s">
        <v>60</v>
      </c>
      <c r="E1796" s="85" t="s">
        <v>163</v>
      </c>
      <c r="F1796" s="107" t="s">
        <v>36</v>
      </c>
      <c r="G1796" s="65" t="s">
        <v>93</v>
      </c>
      <c r="H1796" s="65" t="s">
        <v>56</v>
      </c>
      <c r="I1796" s="86" t="s">
        <v>2762</v>
      </c>
      <c r="J1796" s="65" t="s">
        <v>88</v>
      </c>
      <c r="K1796" s="91" t="s">
        <v>2763</v>
      </c>
      <c r="L1796" s="88"/>
      <c r="M1796" s="65"/>
      <c r="N1796" s="65"/>
      <c r="O1796" s="81"/>
      <c r="P1796" s="82"/>
      <c r="Q1796" s="82" t="s">
        <v>43</v>
      </c>
      <c r="R1796" s="65"/>
    </row>
    <row r="1797" ht="13.8" spans="1:18">
      <c r="A1797" s="58">
        <v>1776</v>
      </c>
      <c r="B1797" s="59">
        <v>45907</v>
      </c>
      <c r="C1797" s="84" t="s">
        <v>121</v>
      </c>
      <c r="D1797" s="112" t="s">
        <v>60</v>
      </c>
      <c r="E1797" s="85" t="s">
        <v>804</v>
      </c>
      <c r="F1797" s="107" t="s">
        <v>135</v>
      </c>
      <c r="G1797" s="65" t="s">
        <v>1850</v>
      </c>
      <c r="H1797" s="65" t="s">
        <v>51</v>
      </c>
      <c r="I1797" s="86" t="s">
        <v>2764</v>
      </c>
      <c r="J1797" s="65" t="s">
        <v>137</v>
      </c>
      <c r="K1797" s="91" t="s">
        <v>2765</v>
      </c>
      <c r="L1797" s="88"/>
      <c r="M1797" s="65"/>
      <c r="N1797" s="65"/>
      <c r="O1797" s="81"/>
      <c r="P1797" s="82"/>
      <c r="Q1797" s="82" t="s">
        <v>8</v>
      </c>
      <c r="R1797" s="65"/>
    </row>
    <row r="1798" ht="13.8" spans="1:18">
      <c r="A1798" s="58">
        <v>1777</v>
      </c>
      <c r="B1798" s="59">
        <v>45907</v>
      </c>
      <c r="C1798" s="84" t="s">
        <v>121</v>
      </c>
      <c r="D1798" s="112" t="s">
        <v>60</v>
      </c>
      <c r="E1798" s="85" t="s">
        <v>804</v>
      </c>
      <c r="F1798" s="107" t="s">
        <v>135</v>
      </c>
      <c r="G1798" s="65" t="s">
        <v>79</v>
      </c>
      <c r="H1798" s="65" t="s">
        <v>51</v>
      </c>
      <c r="I1798" s="86" t="s">
        <v>2766</v>
      </c>
      <c r="J1798" s="65" t="s">
        <v>137</v>
      </c>
      <c r="K1798" s="91" t="s">
        <v>2767</v>
      </c>
      <c r="L1798" s="88"/>
      <c r="M1798" s="65"/>
      <c r="N1798" s="65"/>
      <c r="O1798" s="81"/>
      <c r="P1798" s="82"/>
      <c r="Q1798" s="82" t="s">
        <v>8</v>
      </c>
      <c r="R1798" s="65"/>
    </row>
    <row r="1799" ht="41.4" spans="1:18">
      <c r="A1799" s="58">
        <v>1778</v>
      </c>
      <c r="B1799" s="59">
        <v>45910</v>
      </c>
      <c r="C1799" s="84" t="s">
        <v>2577</v>
      </c>
      <c r="D1799" s="112" t="s">
        <v>60</v>
      </c>
      <c r="E1799" s="85" t="s">
        <v>86</v>
      </c>
      <c r="F1799" s="107" t="s">
        <v>36</v>
      </c>
      <c r="G1799" s="65" t="s">
        <v>588</v>
      </c>
      <c r="H1799" s="65" t="s">
        <v>94</v>
      </c>
      <c r="I1799" s="86" t="s">
        <v>2768</v>
      </c>
      <c r="J1799" s="65" t="s">
        <v>88</v>
      </c>
      <c r="K1799" s="91" t="s">
        <v>2769</v>
      </c>
      <c r="L1799" s="88"/>
      <c r="M1799" s="65"/>
      <c r="N1799" s="65"/>
      <c r="O1799" s="81"/>
      <c r="P1799" s="82"/>
      <c r="Q1799" s="82" t="s">
        <v>43</v>
      </c>
      <c r="R1799" s="65"/>
    </row>
    <row r="1800" ht="27.6" spans="1:18">
      <c r="A1800" s="58">
        <v>1779</v>
      </c>
      <c r="B1800" s="59">
        <v>45910</v>
      </c>
      <c r="C1800" s="84" t="s">
        <v>2577</v>
      </c>
      <c r="D1800" s="112" t="s">
        <v>60</v>
      </c>
      <c r="E1800" s="85" t="s">
        <v>86</v>
      </c>
      <c r="F1800" s="107" t="s">
        <v>36</v>
      </c>
      <c r="G1800" s="65" t="s">
        <v>588</v>
      </c>
      <c r="H1800" s="65" t="s">
        <v>51</v>
      </c>
      <c r="I1800" s="86" t="s">
        <v>2770</v>
      </c>
      <c r="J1800" s="65" t="s">
        <v>88</v>
      </c>
      <c r="K1800" s="91" t="s">
        <v>2771</v>
      </c>
      <c r="L1800" s="88"/>
      <c r="M1800" s="65"/>
      <c r="N1800" s="65"/>
      <c r="O1800" s="81"/>
      <c r="P1800" s="82"/>
      <c r="Q1800" s="82" t="s">
        <v>43</v>
      </c>
      <c r="R1800" s="65"/>
    </row>
    <row r="1801" ht="26.4" spans="1:18">
      <c r="A1801" s="58">
        <v>1780</v>
      </c>
      <c r="B1801" s="59">
        <v>45905</v>
      </c>
      <c r="C1801" s="59" t="s">
        <v>59</v>
      </c>
      <c r="D1801" s="112" t="s">
        <v>60</v>
      </c>
      <c r="E1801" s="85" t="s">
        <v>163</v>
      </c>
      <c r="F1801" s="107" t="s">
        <v>135</v>
      </c>
      <c r="G1801" s="65" t="s">
        <v>55</v>
      </c>
      <c r="H1801" s="65" t="s">
        <v>56</v>
      </c>
      <c r="I1801" s="86" t="s">
        <v>2772</v>
      </c>
      <c r="J1801" s="65" t="s">
        <v>137</v>
      </c>
      <c r="K1801" s="91" t="s">
        <v>2773</v>
      </c>
      <c r="L1801" s="88"/>
      <c r="M1801" s="65"/>
      <c r="N1801" s="65"/>
      <c r="O1801" s="81"/>
      <c r="P1801" s="82"/>
      <c r="Q1801" s="82" t="s">
        <v>8</v>
      </c>
      <c r="R1801" s="65"/>
    </row>
    <row r="1802" ht="27.6" spans="1:18">
      <c r="A1802" s="58">
        <v>1781</v>
      </c>
      <c r="B1802" s="59">
        <v>45907</v>
      </c>
      <c r="C1802" s="113" t="s">
        <v>121</v>
      </c>
      <c r="D1802" s="112" t="s">
        <v>60</v>
      </c>
      <c r="E1802" s="85" t="s">
        <v>804</v>
      </c>
      <c r="F1802" s="107" t="s">
        <v>36</v>
      </c>
      <c r="G1802" s="65" t="s">
        <v>61</v>
      </c>
      <c r="H1802" s="65" t="s">
        <v>51</v>
      </c>
      <c r="I1802" s="86" t="s">
        <v>2774</v>
      </c>
      <c r="J1802" s="65" t="s">
        <v>88</v>
      </c>
      <c r="K1802" s="91" t="s">
        <v>2775</v>
      </c>
      <c r="L1802" s="88" t="s">
        <v>2766</v>
      </c>
      <c r="M1802" s="65"/>
      <c r="N1802" s="65"/>
      <c r="O1802" s="81"/>
      <c r="P1802" s="82"/>
      <c r="Q1802" s="82" t="s">
        <v>43</v>
      </c>
      <c r="R1802" s="65"/>
    </row>
    <row r="1803" ht="27.6" spans="1:18">
      <c r="A1803" s="58">
        <v>1782</v>
      </c>
      <c r="B1803" s="59">
        <v>45909</v>
      </c>
      <c r="C1803" s="113" t="s">
        <v>121</v>
      </c>
      <c r="D1803" s="112" t="s">
        <v>60</v>
      </c>
      <c r="E1803" s="85" t="s">
        <v>804</v>
      </c>
      <c r="F1803" s="107" t="s">
        <v>50</v>
      </c>
      <c r="G1803" s="65" t="s">
        <v>65</v>
      </c>
      <c r="H1803" s="65" t="s">
        <v>51</v>
      </c>
      <c r="I1803" s="86" t="s">
        <v>2776</v>
      </c>
      <c r="J1803" s="65" t="s">
        <v>88</v>
      </c>
      <c r="K1803" s="91" t="s">
        <v>2777</v>
      </c>
      <c r="L1803" s="88"/>
      <c r="M1803" s="65"/>
      <c r="N1803" s="65"/>
      <c r="O1803" s="81"/>
      <c r="P1803" s="82"/>
      <c r="Q1803" s="82" t="s">
        <v>43</v>
      </c>
      <c r="R1803" s="65"/>
    </row>
    <row r="1804" ht="66" spans="1:18">
      <c r="A1804" s="58">
        <v>1783</v>
      </c>
      <c r="B1804" s="59">
        <v>45908</v>
      </c>
      <c r="C1804" s="60" t="s">
        <v>100</v>
      </c>
      <c r="D1804" s="112" t="s">
        <v>60</v>
      </c>
      <c r="E1804" s="85" t="s">
        <v>101</v>
      </c>
      <c r="F1804" s="107" t="s">
        <v>36</v>
      </c>
      <c r="G1804" s="65" t="s">
        <v>82</v>
      </c>
      <c r="H1804" s="65" t="s">
        <v>128</v>
      </c>
      <c r="I1804" s="86" t="s">
        <v>2778</v>
      </c>
      <c r="J1804" s="65" t="s">
        <v>88</v>
      </c>
      <c r="K1804" s="91" t="s">
        <v>2779</v>
      </c>
      <c r="L1804" s="88" t="s">
        <v>2780</v>
      </c>
      <c r="M1804" s="65"/>
      <c r="N1804" s="65"/>
      <c r="O1804" s="81"/>
      <c r="P1804" s="82"/>
      <c r="Q1804" s="82" t="s">
        <v>43</v>
      </c>
      <c r="R1804" s="65"/>
    </row>
    <row r="1805" ht="158.4" spans="1:18">
      <c r="A1805" s="58">
        <v>1784</v>
      </c>
      <c r="B1805" s="59">
        <v>45908</v>
      </c>
      <c r="C1805" s="60" t="s">
        <v>100</v>
      </c>
      <c r="D1805" s="112" t="s">
        <v>60</v>
      </c>
      <c r="E1805" s="85" t="s">
        <v>101</v>
      </c>
      <c r="F1805" s="107" t="s">
        <v>50</v>
      </c>
      <c r="G1805" s="65" t="s">
        <v>588</v>
      </c>
      <c r="H1805" s="65" t="s">
        <v>51</v>
      </c>
      <c r="I1805" s="86" t="s">
        <v>2781</v>
      </c>
      <c r="J1805" s="65" t="s">
        <v>88</v>
      </c>
      <c r="K1805" s="91" t="s">
        <v>2782</v>
      </c>
      <c r="L1805" s="88" t="s">
        <v>2783</v>
      </c>
      <c r="M1805" s="65"/>
      <c r="N1805" s="65"/>
      <c r="O1805" s="81"/>
      <c r="P1805" s="82"/>
      <c r="Q1805" s="82" t="s">
        <v>43</v>
      </c>
      <c r="R1805" s="65"/>
    </row>
    <row r="1806" ht="13.8" spans="1:18">
      <c r="A1806" s="58">
        <v>1785</v>
      </c>
      <c r="B1806" s="59">
        <v>45915</v>
      </c>
      <c r="C1806" s="113" t="s">
        <v>121</v>
      </c>
      <c r="D1806" s="112" t="s">
        <v>60</v>
      </c>
      <c r="E1806" s="85" t="s">
        <v>804</v>
      </c>
      <c r="F1806" s="107" t="s">
        <v>192</v>
      </c>
      <c r="G1806" s="65" t="s">
        <v>79</v>
      </c>
      <c r="H1806" s="65" t="s">
        <v>51</v>
      </c>
      <c r="I1806" s="86" t="s">
        <v>2784</v>
      </c>
      <c r="J1806" s="65" t="s">
        <v>137</v>
      </c>
      <c r="K1806" s="91" t="s">
        <v>2785</v>
      </c>
      <c r="L1806" s="88"/>
      <c r="M1806" s="65"/>
      <c r="N1806" s="65"/>
      <c r="O1806" s="81"/>
      <c r="P1806" s="82"/>
      <c r="Q1806" s="82" t="s">
        <v>8</v>
      </c>
      <c r="R1806" s="65"/>
    </row>
    <row r="1807" ht="26.4" spans="1:18">
      <c r="A1807" s="58">
        <v>1786</v>
      </c>
      <c r="B1807" s="59">
        <v>45915</v>
      </c>
      <c r="C1807" s="113" t="s">
        <v>121</v>
      </c>
      <c r="D1807" s="112" t="s">
        <v>60</v>
      </c>
      <c r="E1807" s="85" t="s">
        <v>804</v>
      </c>
      <c r="F1807" s="107" t="s">
        <v>135</v>
      </c>
      <c r="G1807" s="65" t="s">
        <v>79</v>
      </c>
      <c r="H1807" s="65" t="s">
        <v>46</v>
      </c>
      <c r="I1807" s="86" t="s">
        <v>2786</v>
      </c>
      <c r="J1807" s="65" t="s">
        <v>137</v>
      </c>
      <c r="K1807" s="91" t="s">
        <v>2787</v>
      </c>
      <c r="L1807" s="88"/>
      <c r="M1807" s="65"/>
      <c r="N1807" s="65"/>
      <c r="O1807" s="81"/>
      <c r="P1807" s="82"/>
      <c r="Q1807" s="82" t="s">
        <v>8</v>
      </c>
      <c r="R1807" s="65"/>
    </row>
    <row r="1808" ht="52.8" spans="1:18">
      <c r="A1808" s="58">
        <v>1787</v>
      </c>
      <c r="B1808" s="59">
        <v>45914</v>
      </c>
      <c r="C1808" s="113" t="s">
        <v>121</v>
      </c>
      <c r="D1808" s="112" t="s">
        <v>60</v>
      </c>
      <c r="E1808" s="85" t="s">
        <v>804</v>
      </c>
      <c r="F1808" s="107" t="s">
        <v>50</v>
      </c>
      <c r="G1808" s="65" t="s">
        <v>37</v>
      </c>
      <c r="H1808" s="65" t="s">
        <v>51</v>
      </c>
      <c r="I1808" s="86" t="s">
        <v>2788</v>
      </c>
      <c r="J1808" s="65" t="s">
        <v>88</v>
      </c>
      <c r="K1808" s="91" t="s">
        <v>2789</v>
      </c>
      <c r="L1808" s="88"/>
      <c r="M1808" s="65"/>
      <c r="N1808" s="65"/>
      <c r="O1808" s="81"/>
      <c r="P1808" s="82"/>
      <c r="Q1808" s="82" t="s">
        <v>43</v>
      </c>
      <c r="R1808" s="65"/>
    </row>
    <row r="1809" ht="41.4" spans="1:18">
      <c r="A1809" s="58">
        <v>1788</v>
      </c>
      <c r="B1809" s="59">
        <v>45914</v>
      </c>
      <c r="C1809" s="113" t="s">
        <v>121</v>
      </c>
      <c r="D1809" s="112" t="s">
        <v>60</v>
      </c>
      <c r="E1809" s="85" t="s">
        <v>804</v>
      </c>
      <c r="F1809" s="107" t="s">
        <v>36</v>
      </c>
      <c r="G1809" s="65" t="s">
        <v>65</v>
      </c>
      <c r="H1809" s="65" t="s">
        <v>94</v>
      </c>
      <c r="I1809" s="86" t="s">
        <v>2790</v>
      </c>
      <c r="J1809" s="65" t="s">
        <v>88</v>
      </c>
      <c r="K1809" s="91" t="s">
        <v>2791</v>
      </c>
      <c r="L1809" s="88"/>
      <c r="M1809" s="65"/>
      <c r="N1809" s="65"/>
      <c r="O1809" s="81"/>
      <c r="P1809" s="82"/>
      <c r="Q1809" s="82" t="s">
        <v>43</v>
      </c>
      <c r="R1809" s="65"/>
    </row>
    <row r="1810" ht="27.6" spans="1:18">
      <c r="A1810" s="58">
        <v>1789</v>
      </c>
      <c r="B1810" s="59">
        <v>45915</v>
      </c>
      <c r="C1810" s="60" t="s">
        <v>100</v>
      </c>
      <c r="D1810" s="112" t="s">
        <v>60</v>
      </c>
      <c r="E1810" s="85" t="s">
        <v>101</v>
      </c>
      <c r="F1810" s="107" t="s">
        <v>36</v>
      </c>
      <c r="G1810" s="65" t="s">
        <v>131</v>
      </c>
      <c r="H1810" s="65" t="s">
        <v>128</v>
      </c>
      <c r="I1810" s="86" t="s">
        <v>2792</v>
      </c>
      <c r="J1810" s="65" t="s">
        <v>88</v>
      </c>
      <c r="K1810" s="91" t="s">
        <v>2793</v>
      </c>
      <c r="L1810" s="88" t="s">
        <v>2794</v>
      </c>
      <c r="M1810" s="65"/>
      <c r="N1810" s="65"/>
      <c r="O1810" s="81"/>
      <c r="P1810" s="82"/>
      <c r="Q1810" s="82" t="s">
        <v>43</v>
      </c>
      <c r="R1810" s="65"/>
    </row>
    <row r="1811" ht="69" spans="1:18">
      <c r="A1811" s="58">
        <v>1790</v>
      </c>
      <c r="B1811" s="59">
        <v>45915</v>
      </c>
      <c r="C1811" s="60" t="s">
        <v>100</v>
      </c>
      <c r="D1811" s="112" t="s">
        <v>60</v>
      </c>
      <c r="E1811" s="85" t="s">
        <v>101</v>
      </c>
      <c r="F1811" s="107" t="s">
        <v>50</v>
      </c>
      <c r="G1811" s="65" t="s">
        <v>55</v>
      </c>
      <c r="H1811" s="65" t="s">
        <v>46</v>
      </c>
      <c r="I1811" s="86" t="s">
        <v>2795</v>
      </c>
      <c r="J1811" s="65" t="s">
        <v>88</v>
      </c>
      <c r="K1811" s="91" t="s">
        <v>2796</v>
      </c>
      <c r="L1811" s="88" t="s">
        <v>2797</v>
      </c>
      <c r="M1811" s="65"/>
      <c r="N1811" s="65"/>
      <c r="O1811" s="81"/>
      <c r="P1811" s="82"/>
      <c r="Q1811" s="82" t="s">
        <v>43</v>
      </c>
      <c r="R1811" s="65"/>
    </row>
    <row r="1812" ht="52.8" spans="1:18">
      <c r="A1812" s="58">
        <v>1791</v>
      </c>
      <c r="B1812" s="59">
        <v>45916</v>
      </c>
      <c r="C1812" s="113" t="s">
        <v>2798</v>
      </c>
      <c r="D1812" s="112" t="s">
        <v>60</v>
      </c>
      <c r="E1812" s="85" t="s">
        <v>163</v>
      </c>
      <c r="F1812" s="107" t="s">
        <v>135</v>
      </c>
      <c r="G1812" s="65" t="s">
        <v>79</v>
      </c>
      <c r="H1812" s="65" t="s">
        <v>51</v>
      </c>
      <c r="I1812" s="86" t="s">
        <v>2799</v>
      </c>
      <c r="J1812" s="65" t="s">
        <v>137</v>
      </c>
      <c r="K1812" s="91" t="s">
        <v>2800</v>
      </c>
      <c r="L1812" s="88"/>
      <c r="M1812" s="65"/>
      <c r="N1812" s="65"/>
      <c r="O1812" s="81"/>
      <c r="P1812" s="82"/>
      <c r="Q1812" s="82" t="s">
        <v>8</v>
      </c>
      <c r="R1812" s="65"/>
    </row>
    <row r="1813" ht="41.4" spans="1:18">
      <c r="A1813" s="58">
        <v>1792</v>
      </c>
      <c r="B1813" s="59">
        <v>45916</v>
      </c>
      <c r="C1813" s="113" t="s">
        <v>2798</v>
      </c>
      <c r="D1813" s="112" t="s">
        <v>60</v>
      </c>
      <c r="E1813" s="85" t="s">
        <v>163</v>
      </c>
      <c r="F1813" s="107" t="s">
        <v>36</v>
      </c>
      <c r="G1813" s="65" t="s">
        <v>79</v>
      </c>
      <c r="H1813" s="65" t="s">
        <v>46</v>
      </c>
      <c r="I1813" s="86" t="s">
        <v>2801</v>
      </c>
      <c r="J1813" s="65" t="s">
        <v>88</v>
      </c>
      <c r="K1813" s="91" t="s">
        <v>2802</v>
      </c>
      <c r="L1813" s="88"/>
      <c r="M1813" s="65"/>
      <c r="N1813" s="65"/>
      <c r="O1813" s="81"/>
      <c r="P1813" s="82"/>
      <c r="Q1813" s="82" t="s">
        <v>43</v>
      </c>
      <c r="R1813" s="65"/>
    </row>
    <row r="1814" ht="26.4" spans="1:18">
      <c r="A1814" s="58">
        <v>1793</v>
      </c>
      <c r="B1814" s="59">
        <v>45916</v>
      </c>
      <c r="C1814" s="113" t="s">
        <v>640</v>
      </c>
      <c r="D1814" s="112" t="s">
        <v>72</v>
      </c>
      <c r="E1814" s="85" t="s">
        <v>804</v>
      </c>
      <c r="F1814" s="107" t="s">
        <v>192</v>
      </c>
      <c r="G1814" s="65" t="s">
        <v>37</v>
      </c>
      <c r="H1814" s="65" t="s">
        <v>94</v>
      </c>
      <c r="I1814" s="86" t="s">
        <v>2803</v>
      </c>
      <c r="J1814" s="65" t="s">
        <v>137</v>
      </c>
      <c r="K1814" s="91"/>
      <c r="L1814" s="88"/>
      <c r="M1814" s="65"/>
      <c r="N1814" s="65"/>
      <c r="O1814" s="81"/>
      <c r="P1814" s="82"/>
      <c r="Q1814" s="82" t="s">
        <v>8</v>
      </c>
      <c r="R1814" s="65"/>
    </row>
    <row r="1815" ht="69" spans="1:18">
      <c r="A1815" s="58">
        <v>1794</v>
      </c>
      <c r="B1815" s="59">
        <v>45916</v>
      </c>
      <c r="C1815" s="113" t="s">
        <v>641</v>
      </c>
      <c r="D1815" s="112" t="s">
        <v>72</v>
      </c>
      <c r="E1815" s="85" t="s">
        <v>804</v>
      </c>
      <c r="F1815" s="107" t="s">
        <v>50</v>
      </c>
      <c r="G1815" s="65" t="s">
        <v>1850</v>
      </c>
      <c r="H1815" s="65" t="s">
        <v>46</v>
      </c>
      <c r="I1815" s="86" t="s">
        <v>2804</v>
      </c>
      <c r="J1815" s="65" t="s">
        <v>53</v>
      </c>
      <c r="K1815" s="91" t="s">
        <v>2805</v>
      </c>
      <c r="L1815" s="88"/>
      <c r="M1815" s="65"/>
      <c r="N1815" s="65"/>
      <c r="O1815" s="81"/>
      <c r="P1815" s="82"/>
      <c r="Q1815" s="82" t="s">
        <v>43</v>
      </c>
      <c r="R1815" s="65"/>
    </row>
    <row r="1816" ht="13.8" spans="1:18">
      <c r="A1816" s="58">
        <v>1795</v>
      </c>
      <c r="B1816" s="59">
        <v>45918</v>
      </c>
      <c r="C1816" s="113" t="s">
        <v>640</v>
      </c>
      <c r="D1816" s="112" t="s">
        <v>72</v>
      </c>
      <c r="E1816" s="85" t="s">
        <v>804</v>
      </c>
      <c r="F1816" s="107" t="s">
        <v>50</v>
      </c>
      <c r="G1816" s="65" t="s">
        <v>37</v>
      </c>
      <c r="H1816" s="65" t="s">
        <v>622</v>
      </c>
      <c r="I1816" s="86" t="s">
        <v>2806</v>
      </c>
      <c r="J1816" s="65" t="s">
        <v>53</v>
      </c>
      <c r="K1816" s="91" t="s">
        <v>2807</v>
      </c>
      <c r="L1816" s="88"/>
      <c r="M1816" s="65"/>
      <c r="N1816" s="65"/>
      <c r="O1816" s="81"/>
      <c r="P1816" s="82"/>
      <c r="Q1816" s="82" t="s">
        <v>43</v>
      </c>
      <c r="R1816" s="65"/>
    </row>
    <row r="1817" ht="27.6" spans="1:18">
      <c r="A1817" s="58">
        <v>1796</v>
      </c>
      <c r="B1817" s="59">
        <v>45914</v>
      </c>
      <c r="C1817" s="113" t="s">
        <v>641</v>
      </c>
      <c r="D1817" s="112" t="s">
        <v>72</v>
      </c>
      <c r="E1817" s="85" t="s">
        <v>804</v>
      </c>
      <c r="F1817" s="107" t="s">
        <v>36</v>
      </c>
      <c r="G1817" s="65" t="s">
        <v>79</v>
      </c>
      <c r="H1817" s="65" t="s">
        <v>38</v>
      </c>
      <c r="I1817" s="86" t="s">
        <v>2808</v>
      </c>
      <c r="J1817" s="65" t="s">
        <v>53</v>
      </c>
      <c r="K1817" s="91" t="s">
        <v>2809</v>
      </c>
      <c r="L1817" s="88" t="s">
        <v>2810</v>
      </c>
      <c r="M1817" s="65"/>
      <c r="N1817" s="65"/>
      <c r="O1817" s="81"/>
      <c r="P1817" s="82"/>
      <c r="Q1817" s="82" t="s">
        <v>43</v>
      </c>
      <c r="R1817" s="65"/>
    </row>
    <row r="1818" ht="27.6" spans="1:18">
      <c r="A1818" s="58">
        <v>1797</v>
      </c>
      <c r="B1818" s="59">
        <v>45914</v>
      </c>
      <c r="C1818" s="113" t="s">
        <v>640</v>
      </c>
      <c r="D1818" s="112" t="s">
        <v>72</v>
      </c>
      <c r="E1818" s="85" t="s">
        <v>804</v>
      </c>
      <c r="F1818" s="107" t="s">
        <v>36</v>
      </c>
      <c r="G1818" s="65" t="s">
        <v>55</v>
      </c>
      <c r="H1818" s="65" t="s">
        <v>38</v>
      </c>
      <c r="I1818" s="86" t="s">
        <v>2811</v>
      </c>
      <c r="J1818" s="65" t="s">
        <v>53</v>
      </c>
      <c r="K1818" s="91" t="s">
        <v>2812</v>
      </c>
      <c r="L1818" s="88"/>
      <c r="M1818" s="65"/>
      <c r="N1818" s="65"/>
      <c r="O1818" s="81"/>
      <c r="P1818" s="82"/>
      <c r="Q1818" s="82" t="s">
        <v>43</v>
      </c>
      <c r="R1818" s="65"/>
    </row>
    <row r="1819" ht="27.6" spans="1:18">
      <c r="A1819" s="58">
        <v>1798</v>
      </c>
      <c r="B1819" s="59">
        <v>45915</v>
      </c>
      <c r="C1819" s="113" t="s">
        <v>641</v>
      </c>
      <c r="D1819" s="112" t="s">
        <v>72</v>
      </c>
      <c r="E1819" s="85" t="s">
        <v>804</v>
      </c>
      <c r="F1819" s="107" t="s">
        <v>36</v>
      </c>
      <c r="G1819" s="65" t="s">
        <v>131</v>
      </c>
      <c r="H1819" s="65" t="s">
        <v>94</v>
      </c>
      <c r="I1819" s="86" t="s">
        <v>2813</v>
      </c>
      <c r="J1819" s="65" t="s">
        <v>53</v>
      </c>
      <c r="K1819" s="91" t="s">
        <v>2814</v>
      </c>
      <c r="L1819" s="88"/>
      <c r="M1819" s="65"/>
      <c r="N1819" s="65"/>
      <c r="O1819" s="81"/>
      <c r="P1819" s="82"/>
      <c r="Q1819" s="82" t="s">
        <v>43</v>
      </c>
      <c r="R1819" s="65"/>
    </row>
    <row r="1820" ht="27.6" spans="1:18">
      <c r="A1820" s="58">
        <v>1799</v>
      </c>
      <c r="B1820" s="59">
        <v>45915</v>
      </c>
      <c r="C1820" s="113" t="s">
        <v>640</v>
      </c>
      <c r="D1820" s="112" t="s">
        <v>72</v>
      </c>
      <c r="E1820" s="85" t="s">
        <v>804</v>
      </c>
      <c r="F1820" s="107" t="s">
        <v>36</v>
      </c>
      <c r="G1820" s="65" t="s">
        <v>37</v>
      </c>
      <c r="H1820" s="65" t="s">
        <v>38</v>
      </c>
      <c r="I1820" s="86" t="s">
        <v>2815</v>
      </c>
      <c r="J1820" s="65" t="s">
        <v>53</v>
      </c>
      <c r="K1820" s="91" t="s">
        <v>2816</v>
      </c>
      <c r="L1820" s="88"/>
      <c r="M1820" s="65"/>
      <c r="N1820" s="65"/>
      <c r="O1820" s="81"/>
      <c r="P1820" s="82"/>
      <c r="Q1820" s="82" t="s">
        <v>43</v>
      </c>
      <c r="R1820" s="65"/>
    </row>
    <row r="1821" ht="27.6" spans="1:18">
      <c r="A1821" s="58">
        <v>1800</v>
      </c>
      <c r="B1821" s="59">
        <v>45917</v>
      </c>
      <c r="C1821" s="113" t="s">
        <v>641</v>
      </c>
      <c r="D1821" s="112" t="s">
        <v>72</v>
      </c>
      <c r="E1821" s="85" t="s">
        <v>804</v>
      </c>
      <c r="F1821" s="107" t="s">
        <v>36</v>
      </c>
      <c r="G1821" s="65" t="s">
        <v>79</v>
      </c>
      <c r="H1821" s="65" t="s">
        <v>56</v>
      </c>
      <c r="I1821" s="86" t="s">
        <v>2817</v>
      </c>
      <c r="J1821" s="65" t="s">
        <v>53</v>
      </c>
      <c r="K1821" s="91" t="s">
        <v>2818</v>
      </c>
      <c r="L1821" s="88"/>
      <c r="M1821" s="65"/>
      <c r="N1821" s="65"/>
      <c r="O1821" s="81"/>
      <c r="P1821" s="82"/>
      <c r="Q1821" s="82" t="s">
        <v>43</v>
      </c>
      <c r="R1821" s="65"/>
    </row>
    <row r="1822" ht="13.8" spans="1:18">
      <c r="A1822" s="58">
        <v>1801</v>
      </c>
      <c r="B1822" s="59">
        <v>45913</v>
      </c>
      <c r="C1822" s="113" t="s">
        <v>659</v>
      </c>
      <c r="D1822" s="112" t="s">
        <v>72</v>
      </c>
      <c r="E1822" s="85" t="s">
        <v>804</v>
      </c>
      <c r="F1822" s="107" t="s">
        <v>36</v>
      </c>
      <c r="G1822" s="65" t="s">
        <v>82</v>
      </c>
      <c r="H1822" s="65" t="s">
        <v>56</v>
      </c>
      <c r="I1822" s="86" t="s">
        <v>2819</v>
      </c>
      <c r="J1822" s="65" t="s">
        <v>53</v>
      </c>
      <c r="K1822" s="91" t="s">
        <v>2705</v>
      </c>
      <c r="L1822" s="88"/>
      <c r="M1822" s="65"/>
      <c r="N1822" s="65"/>
      <c r="O1822" s="81"/>
      <c r="P1822" s="82"/>
      <c r="Q1822" s="82" t="s">
        <v>43</v>
      </c>
      <c r="R1822" s="65"/>
    </row>
    <row r="1823" ht="13.8" spans="1:18">
      <c r="A1823" s="58">
        <v>1802</v>
      </c>
      <c r="B1823" s="59">
        <v>45914</v>
      </c>
      <c r="C1823" s="113" t="s">
        <v>659</v>
      </c>
      <c r="D1823" s="112" t="s">
        <v>72</v>
      </c>
      <c r="E1823" s="85" t="s">
        <v>804</v>
      </c>
      <c r="F1823" s="107" t="s">
        <v>36</v>
      </c>
      <c r="G1823" s="65" t="s">
        <v>45</v>
      </c>
      <c r="H1823" s="65" t="s">
        <v>128</v>
      </c>
      <c r="I1823" s="86" t="s">
        <v>2820</v>
      </c>
      <c r="J1823" s="65" t="s">
        <v>53</v>
      </c>
      <c r="K1823" s="91" t="s">
        <v>2705</v>
      </c>
      <c r="L1823" s="88"/>
      <c r="M1823" s="65"/>
      <c r="N1823" s="65"/>
      <c r="O1823" s="81"/>
      <c r="P1823" s="82"/>
      <c r="Q1823" s="82" t="s">
        <v>43</v>
      </c>
      <c r="R1823" s="65"/>
    </row>
    <row r="1824" ht="26.4" spans="1:18">
      <c r="A1824" s="58">
        <v>1803</v>
      </c>
      <c r="B1824" s="59">
        <v>45915</v>
      </c>
      <c r="C1824" s="113" t="s">
        <v>659</v>
      </c>
      <c r="D1824" s="112" t="s">
        <v>72</v>
      </c>
      <c r="E1824" s="85" t="s">
        <v>804</v>
      </c>
      <c r="F1824" s="107" t="s">
        <v>36</v>
      </c>
      <c r="G1824" s="65" t="s">
        <v>45</v>
      </c>
      <c r="H1824" s="65" t="s">
        <v>56</v>
      </c>
      <c r="I1824" s="86" t="s">
        <v>2821</v>
      </c>
      <c r="J1824" s="65" t="s">
        <v>53</v>
      </c>
      <c r="K1824" s="91" t="s">
        <v>2705</v>
      </c>
      <c r="L1824" s="88"/>
      <c r="M1824" s="65"/>
      <c r="N1824" s="65"/>
      <c r="O1824" s="81"/>
      <c r="P1824" s="82"/>
      <c r="Q1824" s="82" t="s">
        <v>43</v>
      </c>
      <c r="R1824" s="65"/>
    </row>
    <row r="1825" ht="13.8" spans="1:18">
      <c r="A1825" s="58">
        <v>1804</v>
      </c>
      <c r="B1825" s="59">
        <v>45916</v>
      </c>
      <c r="C1825" s="113" t="s">
        <v>659</v>
      </c>
      <c r="D1825" s="112" t="s">
        <v>72</v>
      </c>
      <c r="E1825" s="85" t="s">
        <v>804</v>
      </c>
      <c r="F1825" s="107" t="s">
        <v>36</v>
      </c>
      <c r="G1825" s="65" t="s">
        <v>82</v>
      </c>
      <c r="H1825" s="65" t="s">
        <v>56</v>
      </c>
      <c r="I1825" s="86" t="s">
        <v>2822</v>
      </c>
      <c r="J1825" s="65" t="s">
        <v>53</v>
      </c>
      <c r="K1825" s="91" t="s">
        <v>2705</v>
      </c>
      <c r="L1825" s="88"/>
      <c r="M1825" s="65"/>
      <c r="N1825" s="65"/>
      <c r="O1825" s="81"/>
      <c r="P1825" s="82"/>
      <c r="Q1825" s="82" t="s">
        <v>43</v>
      </c>
      <c r="R1825" s="65"/>
    </row>
    <row r="1826" ht="13.8" spans="1:18">
      <c r="A1826" s="58">
        <v>1805</v>
      </c>
      <c r="B1826" s="59">
        <v>45917</v>
      </c>
      <c r="C1826" s="113" t="s">
        <v>659</v>
      </c>
      <c r="D1826" s="112" t="s">
        <v>72</v>
      </c>
      <c r="E1826" s="85" t="s">
        <v>804</v>
      </c>
      <c r="F1826" s="107" t="s">
        <v>36</v>
      </c>
      <c r="G1826" s="65" t="s">
        <v>65</v>
      </c>
      <c r="H1826" s="65" t="s">
        <v>56</v>
      </c>
      <c r="I1826" s="86" t="s">
        <v>2823</v>
      </c>
      <c r="J1826" s="65" t="s">
        <v>53</v>
      </c>
      <c r="K1826" s="91" t="s">
        <v>2705</v>
      </c>
      <c r="L1826" s="88"/>
      <c r="M1826" s="65"/>
      <c r="N1826" s="65"/>
      <c r="O1826" s="81"/>
      <c r="P1826" s="82"/>
      <c r="Q1826" s="82" t="s">
        <v>43</v>
      </c>
      <c r="R1826" s="65"/>
    </row>
    <row r="1827" ht="13.8" spans="1:18">
      <c r="A1827" s="58">
        <v>1806</v>
      </c>
      <c r="B1827" s="59">
        <v>45918</v>
      </c>
      <c r="C1827" s="113" t="s">
        <v>659</v>
      </c>
      <c r="D1827" s="112" t="s">
        <v>72</v>
      </c>
      <c r="E1827" s="85" t="s">
        <v>804</v>
      </c>
      <c r="F1827" s="107" t="s">
        <v>36</v>
      </c>
      <c r="G1827" s="65" t="s">
        <v>65</v>
      </c>
      <c r="H1827" s="65" t="s">
        <v>51</v>
      </c>
      <c r="I1827" s="86" t="s">
        <v>2824</v>
      </c>
      <c r="J1827" s="65" t="s">
        <v>53</v>
      </c>
      <c r="K1827" s="91" t="s">
        <v>2705</v>
      </c>
      <c r="L1827" s="88"/>
      <c r="M1827" s="65"/>
      <c r="N1827" s="65"/>
      <c r="O1827" s="81"/>
      <c r="P1827" s="82"/>
      <c r="Q1827" s="82" t="s">
        <v>43</v>
      </c>
      <c r="R1827" s="65"/>
    </row>
    <row r="1828" ht="41.4" spans="1:18">
      <c r="A1828" s="58">
        <v>1807</v>
      </c>
      <c r="B1828" s="59">
        <v>45920</v>
      </c>
      <c r="C1828" s="113" t="s">
        <v>1668</v>
      </c>
      <c r="D1828" s="112" t="s">
        <v>60</v>
      </c>
      <c r="E1828" s="85" t="s">
        <v>163</v>
      </c>
      <c r="F1828" s="107" t="s">
        <v>36</v>
      </c>
      <c r="G1828" s="65" t="s">
        <v>79</v>
      </c>
      <c r="H1828" s="65" t="s">
        <v>56</v>
      </c>
      <c r="I1828" s="86" t="s">
        <v>2825</v>
      </c>
      <c r="J1828" s="65" t="s">
        <v>88</v>
      </c>
      <c r="K1828" s="91" t="s">
        <v>2826</v>
      </c>
      <c r="L1828" s="88"/>
      <c r="M1828" s="65"/>
      <c r="N1828" s="65"/>
      <c r="O1828" s="81"/>
      <c r="P1828" s="82"/>
      <c r="Q1828" s="82" t="s">
        <v>43</v>
      </c>
      <c r="R1828" s="65"/>
    </row>
    <row r="1829" ht="41.4" spans="1:18">
      <c r="A1829" s="58">
        <v>1808</v>
      </c>
      <c r="B1829" s="59">
        <v>45923</v>
      </c>
      <c r="C1829" s="113" t="s">
        <v>1668</v>
      </c>
      <c r="D1829" s="112" t="s">
        <v>60</v>
      </c>
      <c r="E1829" s="85" t="s">
        <v>163</v>
      </c>
      <c r="F1829" s="107" t="s">
        <v>36</v>
      </c>
      <c r="G1829" s="65" t="s">
        <v>37</v>
      </c>
      <c r="H1829" s="65" t="s">
        <v>46</v>
      </c>
      <c r="I1829" s="86" t="s">
        <v>2827</v>
      </c>
      <c r="J1829" s="65" t="s">
        <v>88</v>
      </c>
      <c r="K1829" s="91" t="s">
        <v>2828</v>
      </c>
      <c r="L1829" s="88"/>
      <c r="M1829" s="65"/>
      <c r="N1829" s="65"/>
      <c r="O1829" s="81"/>
      <c r="P1829" s="82"/>
      <c r="Q1829" s="82" t="s">
        <v>43</v>
      </c>
      <c r="R1829" s="65"/>
    </row>
    <row r="1830" ht="39.6" spans="1:18">
      <c r="A1830" s="58">
        <v>1809</v>
      </c>
      <c r="B1830" s="59">
        <v>45923</v>
      </c>
      <c r="C1830" s="113" t="s">
        <v>1668</v>
      </c>
      <c r="D1830" s="112" t="s">
        <v>60</v>
      </c>
      <c r="E1830" s="85" t="s">
        <v>163</v>
      </c>
      <c r="F1830" s="107" t="s">
        <v>36</v>
      </c>
      <c r="G1830" s="65" t="s">
        <v>55</v>
      </c>
      <c r="H1830" s="65" t="s">
        <v>128</v>
      </c>
      <c r="I1830" s="86" t="s">
        <v>2829</v>
      </c>
      <c r="J1830" s="65" t="s">
        <v>88</v>
      </c>
      <c r="K1830" s="91" t="s">
        <v>2830</v>
      </c>
      <c r="L1830" s="88"/>
      <c r="M1830" s="65"/>
      <c r="N1830" s="65"/>
      <c r="O1830" s="81"/>
      <c r="P1830" s="82"/>
      <c r="Q1830" s="82" t="s">
        <v>43</v>
      </c>
      <c r="R1830" s="65"/>
    </row>
    <row r="1831" ht="41.4" spans="1:18">
      <c r="A1831" s="58">
        <v>1810</v>
      </c>
      <c r="B1831" s="59">
        <v>45919</v>
      </c>
      <c r="C1831" s="113" t="s">
        <v>59</v>
      </c>
      <c r="D1831" s="112" t="s">
        <v>60</v>
      </c>
      <c r="E1831" s="85" t="s">
        <v>163</v>
      </c>
      <c r="F1831" s="107" t="s">
        <v>36</v>
      </c>
      <c r="G1831" s="65" t="s">
        <v>55</v>
      </c>
      <c r="H1831" s="65" t="s">
        <v>56</v>
      </c>
      <c r="I1831" s="86" t="s">
        <v>2772</v>
      </c>
      <c r="J1831" s="65" t="s">
        <v>88</v>
      </c>
      <c r="K1831" s="91" t="s">
        <v>2831</v>
      </c>
      <c r="L1831" s="88" t="s">
        <v>2832</v>
      </c>
      <c r="M1831" s="65"/>
      <c r="N1831" s="65"/>
      <c r="O1831" s="81"/>
      <c r="P1831" s="82"/>
      <c r="Q1831" s="82" t="s">
        <v>43</v>
      </c>
      <c r="R1831" s="65"/>
    </row>
    <row r="1832" ht="39.6" spans="1:18">
      <c r="A1832" s="58">
        <v>1811</v>
      </c>
      <c r="B1832" s="59">
        <v>45918</v>
      </c>
      <c r="C1832" s="60" t="s">
        <v>100</v>
      </c>
      <c r="D1832" s="112" t="s">
        <v>60</v>
      </c>
      <c r="E1832" s="85" t="s">
        <v>101</v>
      </c>
      <c r="F1832" s="107" t="s">
        <v>36</v>
      </c>
      <c r="G1832" s="65" t="s">
        <v>588</v>
      </c>
      <c r="H1832" s="65" t="s">
        <v>128</v>
      </c>
      <c r="I1832" s="86" t="s">
        <v>2833</v>
      </c>
      <c r="J1832" s="65" t="s">
        <v>88</v>
      </c>
      <c r="K1832" s="91" t="s">
        <v>2834</v>
      </c>
      <c r="L1832" s="88"/>
      <c r="M1832" s="65"/>
      <c r="N1832" s="65"/>
      <c r="O1832" s="81"/>
      <c r="P1832" s="82"/>
      <c r="Q1832" s="82" t="s">
        <v>43</v>
      </c>
      <c r="R1832" s="65"/>
    </row>
    <row r="1833" ht="52.8" spans="1:18">
      <c r="A1833" s="58">
        <v>1812</v>
      </c>
      <c r="B1833" s="59">
        <v>45922</v>
      </c>
      <c r="C1833" s="60" t="s">
        <v>100</v>
      </c>
      <c r="D1833" s="112" t="s">
        <v>60</v>
      </c>
      <c r="E1833" s="85" t="s">
        <v>101</v>
      </c>
      <c r="F1833" s="107" t="s">
        <v>36</v>
      </c>
      <c r="G1833" s="65" t="s">
        <v>79</v>
      </c>
      <c r="H1833" s="65" t="s">
        <v>56</v>
      </c>
      <c r="I1833" s="86" t="s">
        <v>2835</v>
      </c>
      <c r="J1833" s="65" t="s">
        <v>88</v>
      </c>
      <c r="K1833" s="91" t="s">
        <v>2836</v>
      </c>
      <c r="L1833" s="88"/>
      <c r="M1833" s="65"/>
      <c r="N1833" s="65"/>
      <c r="O1833" s="81"/>
      <c r="P1833" s="82"/>
      <c r="Q1833" s="82" t="s">
        <v>43</v>
      </c>
      <c r="R1833" s="65"/>
    </row>
    <row r="1834" ht="66" spans="1:18">
      <c r="A1834" s="58">
        <v>1813</v>
      </c>
      <c r="B1834" s="59">
        <v>45922</v>
      </c>
      <c r="C1834" s="60" t="s">
        <v>100</v>
      </c>
      <c r="D1834" s="112" t="s">
        <v>60</v>
      </c>
      <c r="E1834" s="85" t="s">
        <v>101</v>
      </c>
      <c r="F1834" s="107" t="s">
        <v>36</v>
      </c>
      <c r="G1834" s="65" t="s">
        <v>93</v>
      </c>
      <c r="H1834" s="65" t="s">
        <v>132</v>
      </c>
      <c r="I1834" s="86" t="s">
        <v>2837</v>
      </c>
      <c r="J1834" s="65" t="s">
        <v>88</v>
      </c>
      <c r="K1834" s="91" t="s">
        <v>2838</v>
      </c>
      <c r="L1834" s="88" t="s">
        <v>2839</v>
      </c>
      <c r="M1834" s="65"/>
      <c r="N1834" s="65"/>
      <c r="O1834" s="81"/>
      <c r="P1834" s="82"/>
      <c r="Q1834" s="82" t="s">
        <v>43</v>
      </c>
      <c r="R1834" s="65"/>
    </row>
    <row r="1835" ht="92.4" spans="1:18">
      <c r="A1835" s="58">
        <v>1814</v>
      </c>
      <c r="B1835" s="59">
        <v>45922</v>
      </c>
      <c r="C1835" s="60" t="s">
        <v>100</v>
      </c>
      <c r="D1835" s="112" t="s">
        <v>60</v>
      </c>
      <c r="E1835" s="85" t="s">
        <v>101</v>
      </c>
      <c r="F1835" s="107" t="s">
        <v>50</v>
      </c>
      <c r="G1835" s="65" t="s">
        <v>79</v>
      </c>
      <c r="H1835" s="65" t="s">
        <v>66</v>
      </c>
      <c r="I1835" s="86" t="s">
        <v>2840</v>
      </c>
      <c r="J1835" s="65" t="s">
        <v>88</v>
      </c>
      <c r="K1835" s="91" t="s">
        <v>2841</v>
      </c>
      <c r="L1835" s="88" t="s">
        <v>2842</v>
      </c>
      <c r="M1835" s="65"/>
      <c r="N1835" s="65"/>
      <c r="O1835" s="81"/>
      <c r="P1835" s="82"/>
      <c r="Q1835" s="82" t="s">
        <v>43</v>
      </c>
      <c r="R1835" s="65"/>
    </row>
    <row r="1836" ht="66" spans="1:18">
      <c r="A1836" s="58">
        <v>1815</v>
      </c>
      <c r="B1836" s="59">
        <v>45922</v>
      </c>
      <c r="C1836" s="60" t="s">
        <v>100</v>
      </c>
      <c r="D1836" s="112" t="s">
        <v>60</v>
      </c>
      <c r="E1836" s="85" t="s">
        <v>101</v>
      </c>
      <c r="F1836" s="107" t="s">
        <v>36</v>
      </c>
      <c r="G1836" s="65" t="s">
        <v>79</v>
      </c>
      <c r="H1836" s="65" t="s">
        <v>132</v>
      </c>
      <c r="I1836" s="86" t="s">
        <v>2843</v>
      </c>
      <c r="J1836" s="65" t="s">
        <v>88</v>
      </c>
      <c r="K1836" s="91" t="s">
        <v>2844</v>
      </c>
      <c r="L1836" s="88" t="s">
        <v>2845</v>
      </c>
      <c r="M1836" s="65"/>
      <c r="N1836" s="65"/>
      <c r="O1836" s="81"/>
      <c r="P1836" s="82"/>
      <c r="Q1836" s="82" t="s">
        <v>43</v>
      </c>
      <c r="R1836" s="65"/>
    </row>
    <row r="1837" ht="13.8" spans="1:18">
      <c r="A1837" s="58">
        <v>1816</v>
      </c>
      <c r="B1837" s="59">
        <v>45925</v>
      </c>
      <c r="C1837" s="113" t="s">
        <v>641</v>
      </c>
      <c r="D1837" s="112" t="s">
        <v>72</v>
      </c>
      <c r="E1837" s="85" t="s">
        <v>804</v>
      </c>
      <c r="F1837" s="107" t="s">
        <v>135</v>
      </c>
      <c r="G1837" s="65" t="s">
        <v>61</v>
      </c>
      <c r="H1837" s="65" t="s">
        <v>132</v>
      </c>
      <c r="I1837" s="86" t="s">
        <v>2846</v>
      </c>
      <c r="J1837" s="65" t="s">
        <v>137</v>
      </c>
      <c r="K1837" s="91"/>
      <c r="L1837" s="88"/>
      <c r="M1837" s="65"/>
      <c r="N1837" s="65"/>
      <c r="O1837" s="81"/>
      <c r="P1837" s="82"/>
      <c r="Q1837" s="82" t="s">
        <v>8</v>
      </c>
      <c r="R1837" s="65"/>
    </row>
    <row r="1838" ht="27.6" spans="1:18">
      <c r="A1838" s="58">
        <v>1817</v>
      </c>
      <c r="B1838" s="59">
        <v>45923</v>
      </c>
      <c r="C1838" s="113" t="s">
        <v>640</v>
      </c>
      <c r="D1838" s="112" t="s">
        <v>72</v>
      </c>
      <c r="E1838" s="85" t="s">
        <v>804</v>
      </c>
      <c r="F1838" s="107" t="s">
        <v>135</v>
      </c>
      <c r="G1838" s="65" t="s">
        <v>55</v>
      </c>
      <c r="H1838" s="65" t="s">
        <v>38</v>
      </c>
      <c r="I1838" s="86" t="s">
        <v>2847</v>
      </c>
      <c r="J1838" s="65" t="s">
        <v>137</v>
      </c>
      <c r="K1838" s="91" t="s">
        <v>2848</v>
      </c>
      <c r="L1838" s="88"/>
      <c r="M1838" s="65"/>
      <c r="N1838" s="65"/>
      <c r="O1838" s="81"/>
      <c r="P1838" s="82"/>
      <c r="Q1838" s="82" t="s">
        <v>8</v>
      </c>
      <c r="R1838" s="65"/>
    </row>
    <row r="1839" ht="41.4" spans="1:18">
      <c r="A1839" s="58">
        <v>1818</v>
      </c>
      <c r="B1839" s="59">
        <v>45921</v>
      </c>
      <c r="C1839" s="113" t="s">
        <v>641</v>
      </c>
      <c r="D1839" s="112" t="s">
        <v>72</v>
      </c>
      <c r="E1839" s="85" t="s">
        <v>804</v>
      </c>
      <c r="F1839" s="107" t="s">
        <v>50</v>
      </c>
      <c r="G1839" s="65" t="s">
        <v>79</v>
      </c>
      <c r="H1839" s="65" t="s">
        <v>97</v>
      </c>
      <c r="I1839" s="86" t="s">
        <v>2849</v>
      </c>
      <c r="J1839" s="65" t="s">
        <v>53</v>
      </c>
      <c r="K1839" s="91" t="s">
        <v>2850</v>
      </c>
      <c r="L1839" s="88"/>
      <c r="M1839" s="65"/>
      <c r="N1839" s="65"/>
      <c r="O1839" s="81"/>
      <c r="P1839" s="82"/>
      <c r="Q1839" s="82" t="s">
        <v>43</v>
      </c>
      <c r="R1839" s="65"/>
    </row>
    <row r="1840" ht="27.6" spans="1:18">
      <c r="A1840" s="58">
        <v>1819</v>
      </c>
      <c r="B1840" s="59">
        <v>45924</v>
      </c>
      <c r="C1840" s="113" t="s">
        <v>641</v>
      </c>
      <c r="D1840" s="112" t="s">
        <v>72</v>
      </c>
      <c r="E1840" s="85" t="s">
        <v>804</v>
      </c>
      <c r="F1840" s="107" t="s">
        <v>50</v>
      </c>
      <c r="G1840" s="65" t="s">
        <v>1850</v>
      </c>
      <c r="H1840" s="65" t="s">
        <v>132</v>
      </c>
      <c r="I1840" s="86" t="s">
        <v>2851</v>
      </c>
      <c r="J1840" s="65" t="s">
        <v>53</v>
      </c>
      <c r="K1840" s="91" t="s">
        <v>2852</v>
      </c>
      <c r="L1840" s="88"/>
      <c r="M1840" s="65"/>
      <c r="N1840" s="65"/>
      <c r="O1840" s="81"/>
      <c r="P1840" s="82"/>
      <c r="Q1840" s="82" t="s">
        <v>43</v>
      </c>
      <c r="R1840" s="65"/>
    </row>
    <row r="1841" ht="41.4" spans="1:18">
      <c r="A1841" s="58">
        <v>1820</v>
      </c>
      <c r="B1841" s="59">
        <v>45925</v>
      </c>
      <c r="C1841" s="113" t="s">
        <v>640</v>
      </c>
      <c r="D1841" s="112" t="s">
        <v>72</v>
      </c>
      <c r="E1841" s="85" t="s">
        <v>804</v>
      </c>
      <c r="F1841" s="107" t="s">
        <v>50</v>
      </c>
      <c r="G1841" s="65" t="s">
        <v>55</v>
      </c>
      <c r="H1841" s="65" t="s">
        <v>132</v>
      </c>
      <c r="I1841" s="86" t="s">
        <v>2853</v>
      </c>
      <c r="J1841" s="65" t="s">
        <v>53</v>
      </c>
      <c r="K1841" s="91" t="s">
        <v>2854</v>
      </c>
      <c r="L1841" s="88"/>
      <c r="M1841" s="65"/>
      <c r="N1841" s="65"/>
      <c r="O1841" s="81"/>
      <c r="P1841" s="82"/>
      <c r="Q1841" s="82" t="s">
        <v>43</v>
      </c>
      <c r="R1841" s="65"/>
    </row>
    <row r="1842" ht="41.4" spans="1:18">
      <c r="A1842" s="58">
        <v>1821</v>
      </c>
      <c r="B1842" s="59">
        <v>45924</v>
      </c>
      <c r="C1842" s="113" t="s">
        <v>640</v>
      </c>
      <c r="D1842" s="112" t="s">
        <v>72</v>
      </c>
      <c r="E1842" s="85" t="s">
        <v>804</v>
      </c>
      <c r="F1842" s="107" t="s">
        <v>50</v>
      </c>
      <c r="G1842" s="65" t="s">
        <v>55</v>
      </c>
      <c r="H1842" s="65" t="s">
        <v>51</v>
      </c>
      <c r="I1842" s="86" t="s">
        <v>2855</v>
      </c>
      <c r="J1842" s="65" t="s">
        <v>53</v>
      </c>
      <c r="K1842" s="91" t="s">
        <v>2856</v>
      </c>
      <c r="L1842" s="88"/>
      <c r="M1842" s="65"/>
      <c r="N1842" s="65"/>
      <c r="O1842" s="81"/>
      <c r="P1842" s="82"/>
      <c r="Q1842" s="82" t="s">
        <v>43</v>
      </c>
      <c r="R1842" s="65"/>
    </row>
    <row r="1843" ht="41.4" spans="1:18">
      <c r="A1843" s="58">
        <v>1822</v>
      </c>
      <c r="B1843" s="59">
        <v>45923</v>
      </c>
      <c r="C1843" s="113" t="s">
        <v>640</v>
      </c>
      <c r="D1843" s="112" t="s">
        <v>72</v>
      </c>
      <c r="E1843" s="85" t="s">
        <v>804</v>
      </c>
      <c r="F1843" s="107" t="s">
        <v>50</v>
      </c>
      <c r="G1843" s="65" t="s">
        <v>55</v>
      </c>
      <c r="H1843" s="65" t="s">
        <v>150</v>
      </c>
      <c r="I1843" s="86" t="s">
        <v>2857</v>
      </c>
      <c r="J1843" s="65" t="s">
        <v>53</v>
      </c>
      <c r="K1843" s="91" t="s">
        <v>2858</v>
      </c>
      <c r="L1843" s="88"/>
      <c r="M1843" s="65"/>
      <c r="N1843" s="65"/>
      <c r="O1843" s="81"/>
      <c r="P1843" s="82"/>
      <c r="Q1843" s="82" t="s">
        <v>43</v>
      </c>
      <c r="R1843" s="65"/>
    </row>
    <row r="1844" ht="41.4" spans="1:18">
      <c r="A1844" s="58">
        <v>1823</v>
      </c>
      <c r="B1844" s="59">
        <v>45922</v>
      </c>
      <c r="C1844" s="113" t="s">
        <v>641</v>
      </c>
      <c r="D1844" s="112" t="s">
        <v>72</v>
      </c>
      <c r="E1844" s="85" t="s">
        <v>804</v>
      </c>
      <c r="F1844" s="107" t="s">
        <v>36</v>
      </c>
      <c r="G1844" s="65" t="s">
        <v>79</v>
      </c>
      <c r="H1844" s="65" t="s">
        <v>1008</v>
      </c>
      <c r="I1844" s="86" t="s">
        <v>2859</v>
      </c>
      <c r="J1844" s="65" t="s">
        <v>53</v>
      </c>
      <c r="K1844" s="91" t="s">
        <v>2860</v>
      </c>
      <c r="L1844" s="88"/>
      <c r="M1844" s="65"/>
      <c r="N1844" s="65"/>
      <c r="O1844" s="81"/>
      <c r="P1844" s="82"/>
      <c r="Q1844" s="82" t="s">
        <v>43</v>
      </c>
      <c r="R1844" s="65"/>
    </row>
    <row r="1845" ht="27.6" spans="1:18">
      <c r="A1845" s="58">
        <v>1824</v>
      </c>
      <c r="B1845" s="59">
        <v>45925</v>
      </c>
      <c r="C1845" s="113" t="s">
        <v>641</v>
      </c>
      <c r="D1845" s="112" t="s">
        <v>72</v>
      </c>
      <c r="E1845" s="85" t="s">
        <v>804</v>
      </c>
      <c r="F1845" s="107" t="s">
        <v>36</v>
      </c>
      <c r="G1845" s="65" t="s">
        <v>131</v>
      </c>
      <c r="H1845" s="65" t="s">
        <v>51</v>
      </c>
      <c r="I1845" s="86" t="s">
        <v>2861</v>
      </c>
      <c r="J1845" s="65" t="s">
        <v>53</v>
      </c>
      <c r="K1845" s="91" t="s">
        <v>2862</v>
      </c>
      <c r="L1845" s="88"/>
      <c r="M1845" s="65"/>
      <c r="N1845" s="65"/>
      <c r="O1845" s="81"/>
      <c r="P1845" s="82"/>
      <c r="Q1845" s="82" t="s">
        <v>43</v>
      </c>
      <c r="R1845" s="65"/>
    </row>
    <row r="1846" ht="27.6" spans="1:18">
      <c r="A1846" s="58">
        <v>1825</v>
      </c>
      <c r="B1846" s="59">
        <v>45921</v>
      </c>
      <c r="C1846" s="113" t="s">
        <v>640</v>
      </c>
      <c r="D1846" s="112" t="s">
        <v>72</v>
      </c>
      <c r="E1846" s="85" t="s">
        <v>804</v>
      </c>
      <c r="F1846" s="107" t="s">
        <v>36</v>
      </c>
      <c r="G1846" s="65" t="s">
        <v>37</v>
      </c>
      <c r="H1846" s="65" t="s">
        <v>56</v>
      </c>
      <c r="I1846" s="86" t="s">
        <v>2863</v>
      </c>
      <c r="J1846" s="65" t="s">
        <v>53</v>
      </c>
      <c r="K1846" s="91" t="s">
        <v>2864</v>
      </c>
      <c r="L1846" s="88"/>
      <c r="M1846" s="65"/>
      <c r="N1846" s="65"/>
      <c r="O1846" s="81"/>
      <c r="P1846" s="82"/>
      <c r="Q1846" s="82" t="s">
        <v>43</v>
      </c>
      <c r="R1846" s="65"/>
    </row>
    <row r="1847" ht="13.8" spans="1:18">
      <c r="A1847" s="58">
        <v>1826</v>
      </c>
      <c r="B1847" s="59">
        <v>45920</v>
      </c>
      <c r="C1847" s="113" t="s">
        <v>659</v>
      </c>
      <c r="D1847" s="112" t="s">
        <v>72</v>
      </c>
      <c r="E1847" s="85" t="s">
        <v>804</v>
      </c>
      <c r="F1847" s="107" t="s">
        <v>36</v>
      </c>
      <c r="G1847" s="65" t="s">
        <v>82</v>
      </c>
      <c r="H1847" s="65" t="s">
        <v>46</v>
      </c>
      <c r="I1847" s="86" t="s">
        <v>2865</v>
      </c>
      <c r="J1847" s="65" t="s">
        <v>53</v>
      </c>
      <c r="K1847" s="91" t="s">
        <v>2705</v>
      </c>
      <c r="L1847" s="88"/>
      <c r="M1847" s="65"/>
      <c r="N1847" s="65"/>
      <c r="O1847" s="81"/>
      <c r="P1847" s="82"/>
      <c r="Q1847" s="82" t="s">
        <v>43</v>
      </c>
      <c r="R1847" s="65"/>
    </row>
    <row r="1848" ht="13.8" spans="1:18">
      <c r="A1848" s="58">
        <v>1827</v>
      </c>
      <c r="B1848" s="59">
        <v>45921</v>
      </c>
      <c r="C1848" s="113" t="s">
        <v>659</v>
      </c>
      <c r="D1848" s="112" t="s">
        <v>72</v>
      </c>
      <c r="E1848" s="85" t="s">
        <v>804</v>
      </c>
      <c r="F1848" s="107" t="s">
        <v>36</v>
      </c>
      <c r="G1848" s="65" t="s">
        <v>82</v>
      </c>
      <c r="H1848" s="65" t="s">
        <v>56</v>
      </c>
      <c r="I1848" s="86" t="s">
        <v>2866</v>
      </c>
      <c r="J1848" s="65" t="s">
        <v>53</v>
      </c>
      <c r="K1848" s="91" t="s">
        <v>2705</v>
      </c>
      <c r="L1848" s="88"/>
      <c r="M1848" s="65"/>
      <c r="N1848" s="65"/>
      <c r="O1848" s="81"/>
      <c r="P1848" s="82"/>
      <c r="Q1848" s="82" t="s">
        <v>43</v>
      </c>
      <c r="R1848" s="65"/>
    </row>
    <row r="1849" ht="26.4" spans="1:18">
      <c r="A1849" s="58">
        <v>1828</v>
      </c>
      <c r="B1849" s="59">
        <v>45922</v>
      </c>
      <c r="C1849" s="113" t="s">
        <v>659</v>
      </c>
      <c r="D1849" s="112" t="s">
        <v>72</v>
      </c>
      <c r="E1849" s="85" t="s">
        <v>804</v>
      </c>
      <c r="F1849" s="107" t="s">
        <v>36</v>
      </c>
      <c r="G1849" s="65" t="s">
        <v>82</v>
      </c>
      <c r="H1849" s="65" t="s">
        <v>94</v>
      </c>
      <c r="I1849" s="86" t="s">
        <v>2867</v>
      </c>
      <c r="J1849" s="65" t="s">
        <v>53</v>
      </c>
      <c r="K1849" s="91" t="s">
        <v>2868</v>
      </c>
      <c r="L1849" s="88"/>
      <c r="M1849" s="65"/>
      <c r="N1849" s="65"/>
      <c r="O1849" s="81"/>
      <c r="P1849" s="82"/>
      <c r="Q1849" s="82" t="s">
        <v>43</v>
      </c>
      <c r="R1849" s="65"/>
    </row>
    <row r="1850" ht="26.4" spans="1:18">
      <c r="A1850" s="58">
        <v>1829</v>
      </c>
      <c r="B1850" s="59">
        <v>45923</v>
      </c>
      <c r="C1850" s="113" t="s">
        <v>659</v>
      </c>
      <c r="D1850" s="112" t="s">
        <v>72</v>
      </c>
      <c r="E1850" s="85" t="s">
        <v>804</v>
      </c>
      <c r="F1850" s="107" t="s">
        <v>36</v>
      </c>
      <c r="G1850" s="65" t="s">
        <v>82</v>
      </c>
      <c r="H1850" s="65" t="s">
        <v>132</v>
      </c>
      <c r="I1850" s="86" t="s">
        <v>2869</v>
      </c>
      <c r="J1850" s="65" t="s">
        <v>53</v>
      </c>
      <c r="K1850" s="91" t="s">
        <v>2868</v>
      </c>
      <c r="L1850" s="88"/>
      <c r="M1850" s="65"/>
      <c r="N1850" s="65"/>
      <c r="O1850" s="81"/>
      <c r="P1850" s="82"/>
      <c r="Q1850" s="82" t="s">
        <v>43</v>
      </c>
      <c r="R1850" s="65"/>
    </row>
    <row r="1851" ht="52.8" spans="1:18">
      <c r="A1851" s="58">
        <v>1830</v>
      </c>
      <c r="B1851" s="59">
        <v>45924</v>
      </c>
      <c r="C1851" s="113" t="s">
        <v>659</v>
      </c>
      <c r="D1851" s="112" t="s">
        <v>72</v>
      </c>
      <c r="E1851" s="85" t="s">
        <v>804</v>
      </c>
      <c r="F1851" s="107" t="s">
        <v>36</v>
      </c>
      <c r="G1851" s="65" t="s">
        <v>65</v>
      </c>
      <c r="H1851" s="65" t="s">
        <v>128</v>
      </c>
      <c r="I1851" s="86" t="s">
        <v>2870</v>
      </c>
      <c r="J1851" s="65" t="s">
        <v>53</v>
      </c>
      <c r="K1851" s="91" t="s">
        <v>2705</v>
      </c>
      <c r="L1851" s="88"/>
      <c r="M1851" s="65"/>
      <c r="N1851" s="65"/>
      <c r="O1851" s="81"/>
      <c r="P1851" s="82"/>
      <c r="Q1851" s="82" t="s">
        <v>43</v>
      </c>
      <c r="R1851" s="65"/>
    </row>
    <row r="1852" ht="13.8" spans="1:18">
      <c r="A1852" s="58">
        <v>1831</v>
      </c>
      <c r="B1852" s="114">
        <v>45902</v>
      </c>
      <c r="C1852" s="115" t="s">
        <v>1903</v>
      </c>
      <c r="D1852" s="62" t="s">
        <v>35</v>
      </c>
      <c r="E1852" s="116" t="s">
        <v>804</v>
      </c>
      <c r="F1852" s="62" t="s">
        <v>36</v>
      </c>
      <c r="G1852" s="62" t="s">
        <v>82</v>
      </c>
      <c r="H1852" s="62" t="s">
        <v>94</v>
      </c>
      <c r="I1852" s="83" t="s">
        <v>451</v>
      </c>
      <c r="J1852" s="62" t="s">
        <v>40</v>
      </c>
      <c r="K1852" s="67" t="s">
        <v>452</v>
      </c>
      <c r="L1852" s="70"/>
      <c r="M1852" s="62"/>
      <c r="N1852" s="62"/>
      <c r="O1852" s="64"/>
      <c r="P1852" s="79"/>
      <c r="Q1852" s="73" t="s">
        <v>43</v>
      </c>
      <c r="R1852" s="62"/>
    </row>
    <row r="1853" ht="13.8" spans="1:18">
      <c r="A1853" s="58">
        <v>1832</v>
      </c>
      <c r="B1853" s="117">
        <v>45903</v>
      </c>
      <c r="C1853" s="115" t="s">
        <v>2871</v>
      </c>
      <c r="D1853" s="62" t="s">
        <v>35</v>
      </c>
      <c r="E1853" s="116" t="s">
        <v>804</v>
      </c>
      <c r="F1853" s="105" t="s">
        <v>36</v>
      </c>
      <c r="G1853" s="62" t="s">
        <v>131</v>
      </c>
      <c r="H1853" s="62" t="s">
        <v>46</v>
      </c>
      <c r="I1853" s="83" t="s">
        <v>434</v>
      </c>
      <c r="J1853" s="62" t="s">
        <v>40</v>
      </c>
      <c r="K1853" s="67" t="s">
        <v>435</v>
      </c>
      <c r="L1853" s="70"/>
      <c r="M1853" s="62"/>
      <c r="N1853" s="62"/>
      <c r="O1853" s="64"/>
      <c r="P1853" s="79"/>
      <c r="Q1853" s="62" t="s">
        <v>43</v>
      </c>
      <c r="R1853" s="62"/>
    </row>
    <row r="1854" ht="13.8" spans="1:18">
      <c r="A1854" s="58">
        <v>1833</v>
      </c>
      <c r="B1854" s="117">
        <v>45904</v>
      </c>
      <c r="C1854" s="115" t="s">
        <v>1933</v>
      </c>
      <c r="D1854" s="62" t="s">
        <v>35</v>
      </c>
      <c r="E1854" s="116" t="s">
        <v>804</v>
      </c>
      <c r="F1854" s="105" t="s">
        <v>36</v>
      </c>
      <c r="G1854" s="62" t="s">
        <v>61</v>
      </c>
      <c r="H1854" s="62" t="s">
        <v>46</v>
      </c>
      <c r="I1854" s="83" t="s">
        <v>1026</v>
      </c>
      <c r="J1854" s="62" t="s">
        <v>40</v>
      </c>
      <c r="K1854" s="67" t="s">
        <v>1027</v>
      </c>
      <c r="L1854" s="70"/>
      <c r="M1854" s="62"/>
      <c r="N1854" s="62"/>
      <c r="O1854" s="64"/>
      <c r="P1854" s="79"/>
      <c r="Q1854" s="62" t="s">
        <v>43</v>
      </c>
      <c r="R1854" s="62"/>
    </row>
    <row r="1855" ht="26.4" spans="1:18">
      <c r="A1855" s="58">
        <v>1834</v>
      </c>
      <c r="B1855" s="117">
        <v>45904</v>
      </c>
      <c r="C1855" s="115" t="s">
        <v>49</v>
      </c>
      <c r="D1855" s="62" t="s">
        <v>35</v>
      </c>
      <c r="E1855" s="116" t="s">
        <v>804</v>
      </c>
      <c r="F1855" s="105" t="s">
        <v>36</v>
      </c>
      <c r="G1855" s="62" t="s">
        <v>1790</v>
      </c>
      <c r="H1855" s="62" t="s">
        <v>66</v>
      </c>
      <c r="I1855" s="83" t="s">
        <v>1072</v>
      </c>
      <c r="J1855" s="62" t="s">
        <v>40</v>
      </c>
      <c r="K1855" s="67" t="s">
        <v>1073</v>
      </c>
      <c r="L1855" s="70"/>
      <c r="M1855" s="62"/>
      <c r="N1855" s="62"/>
      <c r="O1855" s="64"/>
      <c r="P1855" s="79"/>
      <c r="Q1855" s="62" t="s">
        <v>43</v>
      </c>
      <c r="R1855" s="62"/>
    </row>
    <row r="1856" ht="27.6" spans="1:18">
      <c r="A1856" s="58">
        <v>1835</v>
      </c>
      <c r="B1856" s="117">
        <v>45906</v>
      </c>
      <c r="C1856" s="115" t="s">
        <v>191</v>
      </c>
      <c r="D1856" s="62" t="s">
        <v>35</v>
      </c>
      <c r="E1856" s="116" t="s">
        <v>804</v>
      </c>
      <c r="F1856" s="105" t="s">
        <v>36</v>
      </c>
      <c r="G1856" s="62" t="s">
        <v>45</v>
      </c>
      <c r="H1856" s="62" t="s">
        <v>128</v>
      </c>
      <c r="I1856" s="83" t="s">
        <v>1081</v>
      </c>
      <c r="J1856" s="62" t="s">
        <v>40</v>
      </c>
      <c r="K1856" s="67" t="s">
        <v>207</v>
      </c>
      <c r="L1856" s="70"/>
      <c r="M1856" s="62"/>
      <c r="N1856" s="62"/>
      <c r="O1856" s="64"/>
      <c r="P1856" s="79"/>
      <c r="Q1856" s="62" t="s">
        <v>43</v>
      </c>
      <c r="R1856" s="62"/>
    </row>
    <row r="1857" ht="27.6" spans="1:18">
      <c r="A1857" s="58">
        <v>1836</v>
      </c>
      <c r="B1857" s="117">
        <v>45907</v>
      </c>
      <c r="C1857" s="115" t="s">
        <v>2666</v>
      </c>
      <c r="D1857" s="62" t="s">
        <v>35</v>
      </c>
      <c r="E1857" s="116" t="s">
        <v>2667</v>
      </c>
      <c r="F1857" s="105" t="s">
        <v>36</v>
      </c>
      <c r="G1857" s="62" t="s">
        <v>588</v>
      </c>
      <c r="H1857" s="62" t="s">
        <v>56</v>
      </c>
      <c r="I1857" s="83" t="s">
        <v>1210</v>
      </c>
      <c r="J1857" s="62" t="s">
        <v>91</v>
      </c>
      <c r="K1857" s="67" t="s">
        <v>2160</v>
      </c>
      <c r="L1857" s="70"/>
      <c r="M1857" s="62"/>
      <c r="N1857" s="62"/>
      <c r="O1857" s="64"/>
      <c r="P1857" s="79"/>
      <c r="Q1857" s="62" t="s">
        <v>43</v>
      </c>
      <c r="R1857" s="62"/>
    </row>
    <row r="1858" ht="27.6" spans="1:18">
      <c r="A1858" s="58">
        <v>1837</v>
      </c>
      <c r="B1858" s="117">
        <v>45908</v>
      </c>
      <c r="C1858" s="69" t="s">
        <v>1076</v>
      </c>
      <c r="D1858" s="62" t="s">
        <v>35</v>
      </c>
      <c r="E1858" s="116" t="s">
        <v>1077</v>
      </c>
      <c r="F1858" s="105" t="s">
        <v>36</v>
      </c>
      <c r="G1858" s="62" t="s">
        <v>1790</v>
      </c>
      <c r="H1858" s="62" t="s">
        <v>56</v>
      </c>
      <c r="I1858" s="83" t="s">
        <v>2161</v>
      </c>
      <c r="J1858" s="62" t="s">
        <v>40</v>
      </c>
      <c r="K1858" s="67" t="s">
        <v>2162</v>
      </c>
      <c r="L1858" s="70"/>
      <c r="M1858" s="62"/>
      <c r="N1858" s="62"/>
      <c r="O1858" s="64"/>
      <c r="P1858" s="79"/>
      <c r="Q1858" s="62" t="s">
        <v>43</v>
      </c>
      <c r="R1858" s="62"/>
    </row>
    <row r="1859" ht="27.6" spans="1:18">
      <c r="A1859" s="58">
        <v>1838</v>
      </c>
      <c r="B1859" s="117">
        <v>45902</v>
      </c>
      <c r="C1859" s="115" t="s">
        <v>2872</v>
      </c>
      <c r="D1859" s="62" t="s">
        <v>35</v>
      </c>
      <c r="E1859" s="116" t="s">
        <v>804</v>
      </c>
      <c r="F1859" s="105" t="s">
        <v>36</v>
      </c>
      <c r="G1859" s="62" t="s">
        <v>61</v>
      </c>
      <c r="H1859" s="62" t="s">
        <v>56</v>
      </c>
      <c r="I1859" s="83" t="s">
        <v>2163</v>
      </c>
      <c r="J1859" s="62" t="s">
        <v>40</v>
      </c>
      <c r="K1859" s="67" t="s">
        <v>1162</v>
      </c>
      <c r="L1859" s="70"/>
      <c r="M1859" s="62"/>
      <c r="N1859" s="62"/>
      <c r="O1859" s="64"/>
      <c r="P1859" s="79"/>
      <c r="Q1859" s="62" t="s">
        <v>43</v>
      </c>
      <c r="R1859" s="62"/>
    </row>
    <row r="1860" ht="27.6" spans="1:18">
      <c r="A1860" s="58">
        <v>1839</v>
      </c>
      <c r="B1860" s="117">
        <v>45903</v>
      </c>
      <c r="C1860" s="115" t="s">
        <v>1903</v>
      </c>
      <c r="D1860" s="62" t="s">
        <v>35</v>
      </c>
      <c r="E1860" s="116" t="s">
        <v>804</v>
      </c>
      <c r="F1860" s="105" t="s">
        <v>36</v>
      </c>
      <c r="G1860" s="62" t="s">
        <v>82</v>
      </c>
      <c r="H1860" s="62" t="s">
        <v>128</v>
      </c>
      <c r="I1860" s="83" t="s">
        <v>1208</v>
      </c>
      <c r="J1860" s="62" t="s">
        <v>40</v>
      </c>
      <c r="K1860" s="67" t="s">
        <v>2164</v>
      </c>
      <c r="L1860" s="70"/>
      <c r="M1860" s="62"/>
      <c r="N1860" s="62"/>
      <c r="O1860" s="64"/>
      <c r="P1860" s="79"/>
      <c r="Q1860" s="62" t="s">
        <v>43</v>
      </c>
      <c r="R1860" s="62"/>
    </row>
    <row r="1861" ht="13.8" spans="1:18">
      <c r="A1861" s="58">
        <v>1840</v>
      </c>
      <c r="B1861" s="117">
        <v>45904</v>
      </c>
      <c r="C1861" s="115" t="s">
        <v>2871</v>
      </c>
      <c r="D1861" s="62" t="s">
        <v>35</v>
      </c>
      <c r="E1861" s="116" t="s">
        <v>804</v>
      </c>
      <c r="F1861" s="105" t="s">
        <v>36</v>
      </c>
      <c r="G1861" s="62" t="s">
        <v>131</v>
      </c>
      <c r="H1861" s="62" t="s">
        <v>128</v>
      </c>
      <c r="I1861" s="83" t="s">
        <v>2165</v>
      </c>
      <c r="J1861" s="62" t="s">
        <v>40</v>
      </c>
      <c r="K1861" s="67" t="s">
        <v>2166</v>
      </c>
      <c r="L1861" s="70"/>
      <c r="M1861" s="62"/>
      <c r="N1861" s="62"/>
      <c r="O1861" s="64"/>
      <c r="P1861" s="79"/>
      <c r="Q1861" s="62" t="s">
        <v>43</v>
      </c>
      <c r="R1861" s="62"/>
    </row>
    <row r="1862" ht="27.6" spans="1:18">
      <c r="A1862" s="58">
        <v>1841</v>
      </c>
      <c r="B1862" s="117">
        <v>45904</v>
      </c>
      <c r="C1862" s="115" t="s">
        <v>2872</v>
      </c>
      <c r="D1862" s="61" t="s">
        <v>35</v>
      </c>
      <c r="E1862" s="62" t="s">
        <v>73</v>
      </c>
      <c r="F1862" s="105" t="s">
        <v>135</v>
      </c>
      <c r="G1862" s="62" t="s">
        <v>61</v>
      </c>
      <c r="H1862" s="62" t="s">
        <v>132</v>
      </c>
      <c r="I1862" s="66" t="s">
        <v>319</v>
      </c>
      <c r="J1862" s="62" t="s">
        <v>137</v>
      </c>
      <c r="K1862" s="67" t="s">
        <v>204</v>
      </c>
      <c r="L1862" s="70"/>
      <c r="M1862" s="62"/>
      <c r="N1862" s="62"/>
      <c r="O1862" s="69"/>
      <c r="P1862" s="59"/>
      <c r="Q1862" s="62" t="s">
        <v>8</v>
      </c>
      <c r="R1862" s="62"/>
    </row>
    <row r="1863" ht="26.4" spans="1:18">
      <c r="A1863" s="58">
        <v>1842</v>
      </c>
      <c r="B1863" s="117">
        <v>45906</v>
      </c>
      <c r="C1863" s="115" t="s">
        <v>2664</v>
      </c>
      <c r="D1863" s="62" t="s">
        <v>35</v>
      </c>
      <c r="E1863" s="116" t="s">
        <v>804</v>
      </c>
      <c r="F1863" s="105" t="s">
        <v>192</v>
      </c>
      <c r="G1863" s="62" t="s">
        <v>1790</v>
      </c>
      <c r="H1863" s="62" t="s">
        <v>51</v>
      </c>
      <c r="I1863" s="83" t="s">
        <v>321</v>
      </c>
      <c r="J1863" s="62" t="s">
        <v>137</v>
      </c>
      <c r="K1863" s="67" t="s">
        <v>1874</v>
      </c>
      <c r="L1863" s="70"/>
      <c r="M1863" s="62"/>
      <c r="N1863" s="62"/>
      <c r="O1863" s="64"/>
      <c r="P1863" s="79"/>
      <c r="Q1863" s="62" t="s">
        <v>8</v>
      </c>
      <c r="R1863" s="62"/>
    </row>
    <row r="1864" ht="13.8" spans="1:18">
      <c r="A1864" s="58">
        <v>1843</v>
      </c>
      <c r="B1864" s="117">
        <v>45907</v>
      </c>
      <c r="C1864" s="115" t="s">
        <v>2871</v>
      </c>
      <c r="D1864" s="62" t="s">
        <v>35</v>
      </c>
      <c r="E1864" s="96" t="s">
        <v>804</v>
      </c>
      <c r="F1864" s="105" t="s">
        <v>192</v>
      </c>
      <c r="G1864" s="62" t="s">
        <v>259</v>
      </c>
      <c r="H1864" s="62" t="s">
        <v>51</v>
      </c>
      <c r="I1864" s="83" t="s">
        <v>2458</v>
      </c>
      <c r="J1864" s="62" t="s">
        <v>137</v>
      </c>
      <c r="K1864" s="67" t="s">
        <v>194</v>
      </c>
      <c r="L1864" s="70"/>
      <c r="M1864" s="62"/>
      <c r="N1864" s="62"/>
      <c r="O1864" s="64"/>
      <c r="P1864" s="79"/>
      <c r="Q1864" s="62" t="s">
        <v>8</v>
      </c>
      <c r="R1864" s="62"/>
    </row>
    <row r="1865" ht="27.6" spans="1:18">
      <c r="A1865" s="58">
        <v>1844</v>
      </c>
      <c r="B1865" s="117">
        <v>45908</v>
      </c>
      <c r="C1865" s="115" t="s">
        <v>1933</v>
      </c>
      <c r="D1865" s="62" t="s">
        <v>35</v>
      </c>
      <c r="E1865" s="96" t="s">
        <v>804</v>
      </c>
      <c r="F1865" s="105" t="s">
        <v>135</v>
      </c>
      <c r="G1865" s="62" t="s">
        <v>1790</v>
      </c>
      <c r="H1865" s="62" t="s">
        <v>1008</v>
      </c>
      <c r="I1865" s="83" t="s">
        <v>2459</v>
      </c>
      <c r="J1865" s="62" t="s">
        <v>137</v>
      </c>
      <c r="K1865" s="67" t="s">
        <v>2459</v>
      </c>
      <c r="L1865" s="70"/>
      <c r="M1865" s="62"/>
      <c r="N1865" s="62"/>
      <c r="O1865" s="64"/>
      <c r="P1865" s="79"/>
      <c r="Q1865" s="62" t="s">
        <v>8</v>
      </c>
      <c r="R1865" s="62"/>
    </row>
    <row r="1866" ht="13.8" spans="1:18">
      <c r="A1866" s="58">
        <v>1845</v>
      </c>
      <c r="B1866" s="117">
        <v>45909</v>
      </c>
      <c r="C1866" s="115" t="s">
        <v>2664</v>
      </c>
      <c r="D1866" s="62" t="s">
        <v>35</v>
      </c>
      <c r="E1866" s="116" t="s">
        <v>589</v>
      </c>
      <c r="F1866" s="105" t="s">
        <v>50</v>
      </c>
      <c r="G1866" s="62" t="s">
        <v>1790</v>
      </c>
      <c r="H1866" s="62" t="s">
        <v>51</v>
      </c>
      <c r="I1866" s="78" t="s">
        <v>2225</v>
      </c>
      <c r="J1866" s="62" t="s">
        <v>91</v>
      </c>
      <c r="K1866" s="67" t="s">
        <v>2226</v>
      </c>
      <c r="L1866" s="70"/>
      <c r="M1866" s="62"/>
      <c r="N1866" s="62"/>
      <c r="O1866" s="64"/>
      <c r="P1866" s="79"/>
      <c r="Q1866" s="62" t="s">
        <v>43</v>
      </c>
      <c r="R1866" s="62"/>
    </row>
    <row r="1867" ht="13.8" spans="1:18">
      <c r="A1867" s="58">
        <v>1846</v>
      </c>
      <c r="B1867" s="117">
        <v>45903</v>
      </c>
      <c r="C1867" s="115" t="s">
        <v>2871</v>
      </c>
      <c r="D1867" s="62" t="s">
        <v>35</v>
      </c>
      <c r="E1867" s="116" t="s">
        <v>804</v>
      </c>
      <c r="F1867" s="105" t="s">
        <v>50</v>
      </c>
      <c r="G1867" s="62" t="s">
        <v>131</v>
      </c>
      <c r="H1867" s="62" t="s">
        <v>51</v>
      </c>
      <c r="I1867" s="78" t="s">
        <v>221</v>
      </c>
      <c r="J1867" s="62" t="s">
        <v>91</v>
      </c>
      <c r="K1867" s="67" t="s">
        <v>570</v>
      </c>
      <c r="L1867" s="70"/>
      <c r="M1867" s="62"/>
      <c r="N1867" s="62"/>
      <c r="O1867" s="64"/>
      <c r="P1867" s="79"/>
      <c r="Q1867" s="62" t="s">
        <v>43</v>
      </c>
      <c r="R1867" s="62"/>
    </row>
    <row r="1868" ht="13.8" spans="1:18">
      <c r="A1868" s="58">
        <v>1847</v>
      </c>
      <c r="B1868" s="117">
        <v>45909</v>
      </c>
      <c r="C1868" s="115" t="s">
        <v>1933</v>
      </c>
      <c r="D1868" s="62" t="s">
        <v>35</v>
      </c>
      <c r="E1868" s="116" t="s">
        <v>804</v>
      </c>
      <c r="F1868" s="105" t="s">
        <v>36</v>
      </c>
      <c r="G1868" s="62" t="s">
        <v>45</v>
      </c>
      <c r="H1868" s="62" t="s">
        <v>56</v>
      </c>
      <c r="I1868" s="78" t="s">
        <v>2185</v>
      </c>
      <c r="J1868" s="62" t="s">
        <v>40</v>
      </c>
      <c r="K1868" s="67" t="s">
        <v>438</v>
      </c>
      <c r="L1868" s="70"/>
      <c r="M1868" s="62"/>
      <c r="N1868" s="62"/>
      <c r="O1868" s="64"/>
      <c r="P1868" s="79"/>
      <c r="Q1868" s="62" t="s">
        <v>43</v>
      </c>
      <c r="R1868" s="62"/>
    </row>
    <row r="1869" ht="27.6" spans="1:18">
      <c r="A1869" s="58">
        <v>1848</v>
      </c>
      <c r="B1869" s="117">
        <v>45910</v>
      </c>
      <c r="C1869" s="115" t="s">
        <v>49</v>
      </c>
      <c r="D1869" s="62" t="s">
        <v>35</v>
      </c>
      <c r="E1869" s="116" t="s">
        <v>804</v>
      </c>
      <c r="F1869" s="105" t="s">
        <v>36</v>
      </c>
      <c r="G1869" s="62" t="s">
        <v>82</v>
      </c>
      <c r="H1869" s="62" t="s">
        <v>128</v>
      </c>
      <c r="I1869" s="78" t="s">
        <v>511</v>
      </c>
      <c r="J1869" s="62" t="s">
        <v>40</v>
      </c>
      <c r="K1869" s="67" t="s">
        <v>512</v>
      </c>
      <c r="L1869" s="70"/>
      <c r="M1869" s="62"/>
      <c r="N1869" s="62"/>
      <c r="O1869" s="64"/>
      <c r="P1869" s="79"/>
      <c r="Q1869" s="62" t="s">
        <v>43</v>
      </c>
      <c r="R1869" s="62"/>
    </row>
    <row r="1870" ht="27.6" spans="1:18">
      <c r="A1870" s="58">
        <v>1849</v>
      </c>
      <c r="B1870" s="117">
        <v>45911</v>
      </c>
      <c r="C1870" s="115" t="s">
        <v>191</v>
      </c>
      <c r="D1870" s="62" t="s">
        <v>35</v>
      </c>
      <c r="E1870" s="116" t="s">
        <v>804</v>
      </c>
      <c r="F1870" s="105" t="s">
        <v>36</v>
      </c>
      <c r="G1870" s="62" t="s">
        <v>131</v>
      </c>
      <c r="H1870" s="62" t="s">
        <v>132</v>
      </c>
      <c r="I1870" s="78" t="s">
        <v>521</v>
      </c>
      <c r="J1870" s="62" t="s">
        <v>40</v>
      </c>
      <c r="K1870" s="67" t="s">
        <v>522</v>
      </c>
      <c r="L1870" s="70"/>
      <c r="M1870" s="62"/>
      <c r="N1870" s="62"/>
      <c r="O1870" s="64"/>
      <c r="P1870" s="79"/>
      <c r="Q1870" s="62" t="s">
        <v>43</v>
      </c>
      <c r="R1870" s="62"/>
    </row>
    <row r="1871" ht="13.8" spans="1:18">
      <c r="A1871" s="58">
        <v>1850</v>
      </c>
      <c r="B1871" s="117">
        <v>45911</v>
      </c>
      <c r="C1871" s="115" t="s">
        <v>2666</v>
      </c>
      <c r="D1871" s="62" t="s">
        <v>35</v>
      </c>
      <c r="E1871" s="116" t="s">
        <v>2667</v>
      </c>
      <c r="F1871" s="105" t="s">
        <v>36</v>
      </c>
      <c r="G1871" s="62" t="s">
        <v>61</v>
      </c>
      <c r="H1871" s="62" t="s">
        <v>56</v>
      </c>
      <c r="I1871" s="78" t="s">
        <v>523</v>
      </c>
      <c r="J1871" s="62" t="s">
        <v>40</v>
      </c>
      <c r="K1871" s="67" t="s">
        <v>524</v>
      </c>
      <c r="L1871" s="70"/>
      <c r="M1871" s="62"/>
      <c r="N1871" s="62"/>
      <c r="O1871" s="64"/>
      <c r="P1871" s="79"/>
      <c r="Q1871" s="62" t="s">
        <v>43</v>
      </c>
      <c r="R1871" s="62"/>
    </row>
    <row r="1872" ht="27.6" spans="1:18">
      <c r="A1872" s="58">
        <v>1851</v>
      </c>
      <c r="B1872" s="117">
        <v>45913</v>
      </c>
      <c r="C1872" s="115" t="s">
        <v>49</v>
      </c>
      <c r="D1872" s="62" t="s">
        <v>35</v>
      </c>
      <c r="E1872" s="116" t="s">
        <v>804</v>
      </c>
      <c r="F1872" s="105" t="s">
        <v>36</v>
      </c>
      <c r="G1872" s="62" t="s">
        <v>1790</v>
      </c>
      <c r="H1872" s="62" t="s">
        <v>46</v>
      </c>
      <c r="I1872" s="78" t="s">
        <v>1447</v>
      </c>
      <c r="J1872" s="62" t="s">
        <v>40</v>
      </c>
      <c r="K1872" s="67" t="s">
        <v>544</v>
      </c>
      <c r="L1872" s="70"/>
      <c r="M1872" s="62"/>
      <c r="N1872" s="62"/>
      <c r="O1872" s="64"/>
      <c r="P1872" s="79"/>
      <c r="Q1872" s="62" t="s">
        <v>43</v>
      </c>
      <c r="R1872" s="62"/>
    </row>
    <row r="1873" ht="27.6" spans="1:18">
      <c r="A1873" s="58">
        <v>1852</v>
      </c>
      <c r="B1873" s="117">
        <v>45914</v>
      </c>
      <c r="C1873" s="115" t="s">
        <v>2872</v>
      </c>
      <c r="D1873" s="62" t="s">
        <v>35</v>
      </c>
      <c r="E1873" s="116" t="s">
        <v>804</v>
      </c>
      <c r="F1873" s="105" t="s">
        <v>36</v>
      </c>
      <c r="G1873" s="62" t="s">
        <v>45</v>
      </c>
      <c r="H1873" s="62" t="s">
        <v>132</v>
      </c>
      <c r="I1873" s="78" t="s">
        <v>545</v>
      </c>
      <c r="J1873" s="62" t="s">
        <v>40</v>
      </c>
      <c r="K1873" s="67" t="s">
        <v>546</v>
      </c>
      <c r="L1873" s="70"/>
      <c r="M1873" s="62"/>
      <c r="N1873" s="62"/>
      <c r="O1873" s="64"/>
      <c r="P1873" s="79"/>
      <c r="Q1873" s="62" t="s">
        <v>43</v>
      </c>
      <c r="R1873" s="62"/>
    </row>
    <row r="1874" ht="27.6" spans="1:18">
      <c r="A1874" s="58">
        <v>1853</v>
      </c>
      <c r="B1874" s="117">
        <v>45915</v>
      </c>
      <c r="C1874" s="115" t="s">
        <v>1903</v>
      </c>
      <c r="D1874" s="62" t="s">
        <v>35</v>
      </c>
      <c r="E1874" s="116" t="s">
        <v>804</v>
      </c>
      <c r="F1874" s="105" t="s">
        <v>36</v>
      </c>
      <c r="G1874" s="62" t="s">
        <v>588</v>
      </c>
      <c r="H1874" s="62" t="s">
        <v>46</v>
      </c>
      <c r="I1874" s="78" t="s">
        <v>558</v>
      </c>
      <c r="J1874" s="62" t="s">
        <v>40</v>
      </c>
      <c r="K1874" s="67" t="s">
        <v>559</v>
      </c>
      <c r="L1874" s="70"/>
      <c r="M1874" s="62"/>
      <c r="N1874" s="62"/>
      <c r="O1874" s="64"/>
      <c r="P1874" s="79"/>
      <c r="Q1874" s="62" t="s">
        <v>43</v>
      </c>
      <c r="R1874" s="62"/>
    </row>
    <row r="1875" ht="27.6" spans="1:18">
      <c r="A1875" s="58">
        <v>1854</v>
      </c>
      <c r="B1875" s="117">
        <v>45909</v>
      </c>
      <c r="C1875" s="115" t="s">
        <v>2871</v>
      </c>
      <c r="D1875" s="62" t="s">
        <v>35</v>
      </c>
      <c r="E1875" s="116" t="s">
        <v>804</v>
      </c>
      <c r="F1875" s="105" t="s">
        <v>36</v>
      </c>
      <c r="G1875" s="62" t="s">
        <v>1790</v>
      </c>
      <c r="H1875" s="62" t="s">
        <v>46</v>
      </c>
      <c r="I1875" s="78" t="s">
        <v>563</v>
      </c>
      <c r="J1875" s="62" t="s">
        <v>40</v>
      </c>
      <c r="K1875" s="67" t="s">
        <v>564</v>
      </c>
      <c r="L1875" s="70"/>
      <c r="M1875" s="62"/>
      <c r="N1875" s="62"/>
      <c r="O1875" s="64"/>
      <c r="P1875" s="79"/>
      <c r="Q1875" s="62" t="s">
        <v>43</v>
      </c>
      <c r="R1875" s="62"/>
    </row>
    <row r="1876" ht="27.6" spans="1:18">
      <c r="A1876" s="58">
        <v>1855</v>
      </c>
      <c r="B1876" s="117">
        <v>45910</v>
      </c>
      <c r="C1876" s="115" t="s">
        <v>1933</v>
      </c>
      <c r="D1876" s="62" t="s">
        <v>35</v>
      </c>
      <c r="E1876" s="116" t="s">
        <v>804</v>
      </c>
      <c r="F1876" s="105" t="s">
        <v>36</v>
      </c>
      <c r="G1876" s="62" t="s">
        <v>61</v>
      </c>
      <c r="H1876" s="62" t="s">
        <v>46</v>
      </c>
      <c r="I1876" s="78" t="s">
        <v>346</v>
      </c>
      <c r="J1876" s="62" t="s">
        <v>40</v>
      </c>
      <c r="K1876" s="67" t="s">
        <v>2186</v>
      </c>
      <c r="L1876" s="70"/>
      <c r="M1876" s="62"/>
      <c r="N1876" s="62"/>
      <c r="O1876" s="64"/>
      <c r="P1876" s="79"/>
      <c r="Q1876" s="62" t="s">
        <v>43</v>
      </c>
      <c r="R1876" s="62"/>
    </row>
    <row r="1877" ht="13.8" spans="1:18">
      <c r="A1877" s="58">
        <v>1856</v>
      </c>
      <c r="B1877" s="117">
        <v>45911</v>
      </c>
      <c r="C1877" s="115" t="s">
        <v>49</v>
      </c>
      <c r="D1877" s="62" t="s">
        <v>35</v>
      </c>
      <c r="E1877" s="116" t="s">
        <v>804</v>
      </c>
      <c r="F1877" s="105" t="s">
        <v>36</v>
      </c>
      <c r="G1877" s="62" t="s">
        <v>82</v>
      </c>
      <c r="H1877" s="62" t="s">
        <v>56</v>
      </c>
      <c r="I1877" s="78" t="s">
        <v>1149</v>
      </c>
      <c r="J1877" s="62" t="s">
        <v>40</v>
      </c>
      <c r="K1877" s="67" t="s">
        <v>1150</v>
      </c>
      <c r="L1877" s="70"/>
      <c r="M1877" s="62"/>
      <c r="N1877" s="62"/>
      <c r="O1877" s="64"/>
      <c r="P1877" s="79"/>
      <c r="Q1877" s="62" t="s">
        <v>43</v>
      </c>
      <c r="R1877" s="62"/>
    </row>
    <row r="1878" ht="13.8" spans="1:18">
      <c r="A1878" s="58">
        <v>1857</v>
      </c>
      <c r="B1878" s="117">
        <v>45911</v>
      </c>
      <c r="C1878" s="115" t="s">
        <v>2666</v>
      </c>
      <c r="D1878" s="62" t="s">
        <v>35</v>
      </c>
      <c r="E1878" s="116" t="s">
        <v>2667</v>
      </c>
      <c r="F1878" s="105" t="s">
        <v>36</v>
      </c>
      <c r="G1878" s="62" t="s">
        <v>131</v>
      </c>
      <c r="H1878" s="62" t="s">
        <v>56</v>
      </c>
      <c r="I1878" s="78" t="s">
        <v>1035</v>
      </c>
      <c r="J1878" s="62" t="s">
        <v>40</v>
      </c>
      <c r="K1878" s="67" t="s">
        <v>1438</v>
      </c>
      <c r="L1878" s="70"/>
      <c r="M1878" s="62"/>
      <c r="N1878" s="62"/>
      <c r="O1878" s="64"/>
      <c r="P1878" s="79"/>
      <c r="Q1878" s="62" t="s">
        <v>43</v>
      </c>
      <c r="R1878" s="62"/>
    </row>
    <row r="1879" ht="27.6" spans="1:18">
      <c r="A1879" s="58">
        <v>1858</v>
      </c>
      <c r="B1879" s="117">
        <v>45913</v>
      </c>
      <c r="C1879" s="115" t="s">
        <v>49</v>
      </c>
      <c r="D1879" s="61" t="s">
        <v>35</v>
      </c>
      <c r="E1879" s="62" t="s">
        <v>73</v>
      </c>
      <c r="F1879" s="105" t="s">
        <v>135</v>
      </c>
      <c r="G1879" s="62" t="s">
        <v>45</v>
      </c>
      <c r="H1879" s="62" t="s">
        <v>94</v>
      </c>
      <c r="I1879" s="66" t="s">
        <v>1945</v>
      </c>
      <c r="J1879" s="62" t="s">
        <v>137</v>
      </c>
      <c r="K1879" s="67" t="s">
        <v>554</v>
      </c>
      <c r="L1879" s="70"/>
      <c r="M1879" s="62"/>
      <c r="N1879" s="62"/>
      <c r="O1879" s="69"/>
      <c r="P1879" s="59"/>
      <c r="Q1879" s="62" t="s">
        <v>8</v>
      </c>
      <c r="R1879" s="62"/>
    </row>
    <row r="1880" ht="13.8" spans="1:18">
      <c r="A1880" s="58">
        <v>1859</v>
      </c>
      <c r="B1880" s="117">
        <v>45914</v>
      </c>
      <c r="C1880" s="115" t="s">
        <v>49</v>
      </c>
      <c r="D1880" s="62" t="s">
        <v>35</v>
      </c>
      <c r="E1880" s="96" t="s">
        <v>804</v>
      </c>
      <c r="F1880" s="105" t="s">
        <v>192</v>
      </c>
      <c r="G1880" s="62" t="s">
        <v>588</v>
      </c>
      <c r="H1880" s="62" t="s">
        <v>51</v>
      </c>
      <c r="I1880" s="83" t="s">
        <v>2458</v>
      </c>
      <c r="J1880" s="62" t="s">
        <v>137</v>
      </c>
      <c r="K1880" s="67" t="s">
        <v>194</v>
      </c>
      <c r="L1880" s="70"/>
      <c r="M1880" s="62"/>
      <c r="N1880" s="62"/>
      <c r="O1880" s="64"/>
      <c r="P1880" s="79"/>
      <c r="Q1880" s="62" t="s">
        <v>8</v>
      </c>
      <c r="R1880" s="62"/>
    </row>
    <row r="1881" ht="27.6" spans="1:18">
      <c r="A1881" s="58">
        <v>1860</v>
      </c>
      <c r="B1881" s="117">
        <v>45915</v>
      </c>
      <c r="C1881" s="115" t="s">
        <v>49</v>
      </c>
      <c r="D1881" s="62" t="s">
        <v>35</v>
      </c>
      <c r="E1881" s="96" t="s">
        <v>804</v>
      </c>
      <c r="F1881" s="105" t="s">
        <v>135</v>
      </c>
      <c r="G1881" s="62" t="s">
        <v>131</v>
      </c>
      <c r="H1881" s="62" t="s">
        <v>1008</v>
      </c>
      <c r="I1881" s="83" t="s">
        <v>2459</v>
      </c>
      <c r="J1881" s="62" t="s">
        <v>137</v>
      </c>
      <c r="K1881" s="67" t="s">
        <v>2459</v>
      </c>
      <c r="L1881" s="70"/>
      <c r="M1881" s="62"/>
      <c r="N1881" s="62"/>
      <c r="O1881" s="64"/>
      <c r="P1881" s="79"/>
      <c r="Q1881" s="62" t="s">
        <v>8</v>
      </c>
      <c r="R1881" s="62"/>
    </row>
    <row r="1882" ht="27.6" spans="1:18">
      <c r="A1882" s="58">
        <v>1861</v>
      </c>
      <c r="B1882" s="117">
        <v>45914</v>
      </c>
      <c r="C1882" s="115" t="s">
        <v>1933</v>
      </c>
      <c r="D1882" s="62" t="s">
        <v>35</v>
      </c>
      <c r="E1882" s="116" t="s">
        <v>804</v>
      </c>
      <c r="F1882" s="105" t="s">
        <v>50</v>
      </c>
      <c r="G1882" s="62" t="s">
        <v>1790</v>
      </c>
      <c r="H1882" s="62" t="s">
        <v>51</v>
      </c>
      <c r="I1882" s="78" t="s">
        <v>2227</v>
      </c>
      <c r="J1882" s="62" t="s">
        <v>91</v>
      </c>
      <c r="K1882" s="67" t="s">
        <v>2228</v>
      </c>
      <c r="L1882" s="70"/>
      <c r="M1882" s="62"/>
      <c r="N1882" s="62"/>
      <c r="O1882" s="64"/>
      <c r="P1882" s="79"/>
      <c r="Q1882" s="62" t="s">
        <v>43</v>
      </c>
      <c r="R1882" s="62"/>
    </row>
    <row r="1883" ht="13.8" spans="1:18">
      <c r="A1883" s="58">
        <v>1862</v>
      </c>
      <c r="B1883" s="117">
        <v>45916</v>
      </c>
      <c r="C1883" s="115" t="s">
        <v>191</v>
      </c>
      <c r="D1883" s="62" t="s">
        <v>35</v>
      </c>
      <c r="E1883" s="116" t="s">
        <v>804</v>
      </c>
      <c r="F1883" s="105" t="s">
        <v>36</v>
      </c>
      <c r="G1883" s="62" t="s">
        <v>45</v>
      </c>
      <c r="H1883" s="62" t="s">
        <v>2663</v>
      </c>
      <c r="I1883" s="78" t="s">
        <v>455</v>
      </c>
      <c r="J1883" s="62" t="s">
        <v>40</v>
      </c>
      <c r="K1883" s="67" t="s">
        <v>456</v>
      </c>
      <c r="L1883" s="70"/>
      <c r="M1883" s="62"/>
      <c r="N1883" s="62"/>
      <c r="O1883" s="64"/>
      <c r="P1883" s="79"/>
      <c r="Q1883" s="62" t="s">
        <v>43</v>
      </c>
      <c r="R1883" s="62"/>
    </row>
    <row r="1884" ht="13.8" spans="1:18">
      <c r="A1884" s="58">
        <v>1863</v>
      </c>
      <c r="B1884" s="117">
        <v>45917</v>
      </c>
      <c r="C1884" s="115" t="s">
        <v>49</v>
      </c>
      <c r="D1884" s="62" t="s">
        <v>35</v>
      </c>
      <c r="E1884" s="116" t="s">
        <v>804</v>
      </c>
      <c r="F1884" s="105" t="s">
        <v>36</v>
      </c>
      <c r="G1884" s="62" t="s">
        <v>82</v>
      </c>
      <c r="H1884" s="62" t="s">
        <v>2663</v>
      </c>
      <c r="I1884" s="78" t="s">
        <v>1965</v>
      </c>
      <c r="J1884" s="62" t="s">
        <v>40</v>
      </c>
      <c r="K1884" s="67" t="s">
        <v>1966</v>
      </c>
      <c r="L1884" s="70"/>
      <c r="M1884" s="62"/>
      <c r="N1884" s="62"/>
      <c r="O1884" s="64"/>
      <c r="P1884" s="79"/>
      <c r="Q1884" s="62" t="s">
        <v>43</v>
      </c>
      <c r="R1884" s="62"/>
    </row>
    <row r="1885" ht="13.8" spans="1:18">
      <c r="A1885" s="58">
        <v>1864</v>
      </c>
      <c r="B1885" s="117">
        <v>45918</v>
      </c>
      <c r="C1885" s="115" t="s">
        <v>2872</v>
      </c>
      <c r="D1885" s="63" t="s">
        <v>35</v>
      </c>
      <c r="E1885" s="116" t="s">
        <v>804</v>
      </c>
      <c r="F1885" s="105" t="s">
        <v>36</v>
      </c>
      <c r="G1885" s="62" t="s">
        <v>131</v>
      </c>
      <c r="H1885" s="62" t="s">
        <v>56</v>
      </c>
      <c r="I1885" s="78" t="s">
        <v>1176</v>
      </c>
      <c r="J1885" s="62" t="s">
        <v>40</v>
      </c>
      <c r="K1885" s="67" t="s">
        <v>2187</v>
      </c>
      <c r="L1885" s="70"/>
      <c r="M1885" s="62"/>
      <c r="N1885" s="62"/>
      <c r="O1885" s="64"/>
      <c r="P1885" s="79"/>
      <c r="Q1885" s="62" t="s">
        <v>43</v>
      </c>
      <c r="R1885" s="62"/>
    </row>
    <row r="1886" ht="13.8" spans="1:18">
      <c r="A1886" s="58">
        <v>1865</v>
      </c>
      <c r="B1886" s="117">
        <v>45918</v>
      </c>
      <c r="C1886" s="115" t="s">
        <v>1903</v>
      </c>
      <c r="D1886" s="62" t="s">
        <v>35</v>
      </c>
      <c r="E1886" s="116" t="s">
        <v>804</v>
      </c>
      <c r="F1886" s="105" t="s">
        <v>36</v>
      </c>
      <c r="G1886" s="62" t="s">
        <v>61</v>
      </c>
      <c r="H1886" s="62" t="s">
        <v>56</v>
      </c>
      <c r="I1886" s="78" t="s">
        <v>1882</v>
      </c>
      <c r="J1886" s="62" t="s">
        <v>40</v>
      </c>
      <c r="K1886" s="67" t="s">
        <v>1025</v>
      </c>
      <c r="L1886" s="70"/>
      <c r="M1886" s="62"/>
      <c r="N1886" s="62"/>
      <c r="O1886" s="64"/>
      <c r="P1886" s="79"/>
      <c r="Q1886" s="62" t="s">
        <v>43</v>
      </c>
      <c r="R1886" s="62"/>
    </row>
    <row r="1887" ht="13.8" spans="1:18">
      <c r="A1887" s="58">
        <v>1866</v>
      </c>
      <c r="B1887" s="117">
        <v>45920</v>
      </c>
      <c r="C1887" s="115" t="s">
        <v>2871</v>
      </c>
      <c r="D1887" s="62" t="s">
        <v>35</v>
      </c>
      <c r="E1887" s="116" t="s">
        <v>804</v>
      </c>
      <c r="F1887" s="105" t="s">
        <v>36</v>
      </c>
      <c r="G1887" s="62" t="s">
        <v>1790</v>
      </c>
      <c r="H1887" s="62" t="s">
        <v>2663</v>
      </c>
      <c r="I1887" s="78" t="s">
        <v>1380</v>
      </c>
      <c r="J1887" s="62" t="s">
        <v>40</v>
      </c>
      <c r="K1887" s="67" t="s">
        <v>2188</v>
      </c>
      <c r="L1887" s="70"/>
      <c r="M1887" s="62"/>
      <c r="N1887" s="62"/>
      <c r="O1887" s="64"/>
      <c r="P1887" s="79"/>
      <c r="Q1887" s="62" t="s">
        <v>43</v>
      </c>
      <c r="R1887" s="62"/>
    </row>
    <row r="1888" ht="27.6" spans="1:18">
      <c r="A1888" s="58">
        <v>1867</v>
      </c>
      <c r="B1888" s="117">
        <v>45921</v>
      </c>
      <c r="C1888" s="115" t="s">
        <v>1933</v>
      </c>
      <c r="D1888" s="62" t="s">
        <v>35</v>
      </c>
      <c r="E1888" s="116" t="s">
        <v>804</v>
      </c>
      <c r="F1888" s="105" t="s">
        <v>36</v>
      </c>
      <c r="G1888" s="62" t="s">
        <v>45</v>
      </c>
      <c r="H1888" s="62" t="s">
        <v>2663</v>
      </c>
      <c r="I1888" s="78" t="s">
        <v>2189</v>
      </c>
      <c r="J1888" s="62" t="s">
        <v>40</v>
      </c>
      <c r="K1888" s="67" t="s">
        <v>2190</v>
      </c>
      <c r="L1888" s="70"/>
      <c r="M1888" s="62"/>
      <c r="N1888" s="62"/>
      <c r="O1888" s="64"/>
      <c r="P1888" s="79"/>
      <c r="Q1888" s="62" t="s">
        <v>43</v>
      </c>
      <c r="R1888" s="62"/>
    </row>
    <row r="1889" ht="13.8" spans="1:18">
      <c r="A1889" s="58">
        <v>1868</v>
      </c>
      <c r="B1889" s="117">
        <v>45922</v>
      </c>
      <c r="C1889" s="115" t="s">
        <v>49</v>
      </c>
      <c r="D1889" s="62" t="s">
        <v>35</v>
      </c>
      <c r="E1889" s="116" t="s">
        <v>804</v>
      </c>
      <c r="F1889" s="105" t="s">
        <v>36</v>
      </c>
      <c r="G1889" s="62" t="s">
        <v>588</v>
      </c>
      <c r="H1889" s="62" t="s">
        <v>132</v>
      </c>
      <c r="I1889" s="78" t="s">
        <v>1916</v>
      </c>
      <c r="J1889" s="62" t="s">
        <v>40</v>
      </c>
      <c r="K1889" s="67" t="s">
        <v>2191</v>
      </c>
      <c r="L1889" s="70"/>
      <c r="M1889" s="62"/>
      <c r="N1889" s="62"/>
      <c r="O1889" s="64"/>
      <c r="P1889" s="79"/>
      <c r="Q1889" s="62" t="s">
        <v>43</v>
      </c>
      <c r="R1889" s="62"/>
    </row>
    <row r="1890" ht="13.8" spans="1:18">
      <c r="A1890" s="58">
        <v>1869</v>
      </c>
      <c r="B1890" s="117">
        <v>45916</v>
      </c>
      <c r="C1890" s="115" t="s">
        <v>191</v>
      </c>
      <c r="D1890" s="62" t="s">
        <v>35</v>
      </c>
      <c r="E1890" s="116" t="s">
        <v>804</v>
      </c>
      <c r="F1890" s="105" t="s">
        <v>36</v>
      </c>
      <c r="G1890" s="62" t="s">
        <v>1790</v>
      </c>
      <c r="H1890" s="62" t="s">
        <v>128</v>
      </c>
      <c r="I1890" s="78" t="s">
        <v>2192</v>
      </c>
      <c r="J1890" s="62" t="s">
        <v>40</v>
      </c>
      <c r="K1890" s="67" t="s">
        <v>2193</v>
      </c>
      <c r="L1890" s="70"/>
      <c r="M1890" s="62"/>
      <c r="N1890" s="62"/>
      <c r="O1890" s="64"/>
      <c r="P1890" s="79"/>
      <c r="Q1890" s="62" t="s">
        <v>43</v>
      </c>
      <c r="R1890" s="62"/>
    </row>
    <row r="1891" ht="13.8" spans="1:18">
      <c r="A1891" s="58">
        <v>1870</v>
      </c>
      <c r="B1891" s="117">
        <v>45917</v>
      </c>
      <c r="C1891" s="115" t="s">
        <v>2666</v>
      </c>
      <c r="D1891" s="62" t="s">
        <v>35</v>
      </c>
      <c r="E1891" s="116" t="s">
        <v>2667</v>
      </c>
      <c r="F1891" s="105" t="s">
        <v>36</v>
      </c>
      <c r="G1891" s="62" t="s">
        <v>61</v>
      </c>
      <c r="H1891" s="62" t="s">
        <v>128</v>
      </c>
      <c r="I1891" s="78" t="s">
        <v>2194</v>
      </c>
      <c r="J1891" s="62" t="s">
        <v>40</v>
      </c>
      <c r="K1891" s="67" t="s">
        <v>2195</v>
      </c>
      <c r="L1891" s="70"/>
      <c r="M1891" s="62"/>
      <c r="N1891" s="62"/>
      <c r="O1891" s="64"/>
      <c r="P1891" s="79"/>
      <c r="Q1891" s="62" t="s">
        <v>43</v>
      </c>
      <c r="R1891" s="62"/>
    </row>
    <row r="1892" ht="27.6" spans="1:18">
      <c r="A1892" s="58">
        <v>1871</v>
      </c>
      <c r="B1892" s="117">
        <v>45918</v>
      </c>
      <c r="C1892" s="115" t="s">
        <v>49</v>
      </c>
      <c r="D1892" s="62" t="s">
        <v>35</v>
      </c>
      <c r="E1892" s="116" t="s">
        <v>804</v>
      </c>
      <c r="F1892" s="105" t="s">
        <v>36</v>
      </c>
      <c r="G1892" s="62" t="s">
        <v>82</v>
      </c>
      <c r="H1892" s="62" t="s">
        <v>128</v>
      </c>
      <c r="I1892" s="78" t="s">
        <v>2196</v>
      </c>
      <c r="J1892" s="62" t="s">
        <v>40</v>
      </c>
      <c r="K1892" s="67" t="s">
        <v>2197</v>
      </c>
      <c r="L1892" s="70"/>
      <c r="M1892" s="62"/>
      <c r="N1892" s="62"/>
      <c r="O1892" s="64"/>
      <c r="P1892" s="79"/>
      <c r="Q1892" s="62" t="s">
        <v>43</v>
      </c>
      <c r="R1892" s="62"/>
    </row>
    <row r="1893" ht="27.6" spans="1:18">
      <c r="A1893" s="58">
        <v>1872</v>
      </c>
      <c r="B1893" s="117">
        <v>45918</v>
      </c>
      <c r="C1893" s="115" t="s">
        <v>2872</v>
      </c>
      <c r="D1893" s="62" t="s">
        <v>35</v>
      </c>
      <c r="E1893" s="116" t="s">
        <v>804</v>
      </c>
      <c r="F1893" s="105" t="s">
        <v>36</v>
      </c>
      <c r="G1893" s="62" t="s">
        <v>131</v>
      </c>
      <c r="H1893" s="62" t="s">
        <v>132</v>
      </c>
      <c r="I1893" s="78" t="s">
        <v>2198</v>
      </c>
      <c r="J1893" s="62" t="s">
        <v>40</v>
      </c>
      <c r="K1893" s="67" t="s">
        <v>2199</v>
      </c>
      <c r="L1893" s="70"/>
      <c r="M1893" s="62"/>
      <c r="N1893" s="62"/>
      <c r="O1893" s="64"/>
      <c r="P1893" s="79"/>
      <c r="Q1893" s="62" t="s">
        <v>43</v>
      </c>
      <c r="R1893" s="62"/>
    </row>
    <row r="1894" ht="13.8" spans="1:18">
      <c r="A1894" s="58">
        <v>1873</v>
      </c>
      <c r="B1894" s="117">
        <v>45920</v>
      </c>
      <c r="C1894" s="115" t="s">
        <v>1903</v>
      </c>
      <c r="D1894" s="62" t="s">
        <v>35</v>
      </c>
      <c r="E1894" s="116" t="s">
        <v>804</v>
      </c>
      <c r="F1894" s="105" t="s">
        <v>36</v>
      </c>
      <c r="G1894" s="62" t="s">
        <v>45</v>
      </c>
      <c r="H1894" s="62" t="s">
        <v>56</v>
      </c>
      <c r="I1894" s="78" t="s">
        <v>431</v>
      </c>
      <c r="J1894" s="62" t="s">
        <v>40</v>
      </c>
      <c r="K1894" s="67" t="s">
        <v>2200</v>
      </c>
      <c r="L1894" s="70"/>
      <c r="M1894" s="62"/>
      <c r="N1894" s="62"/>
      <c r="O1894" s="64"/>
      <c r="P1894" s="79"/>
      <c r="Q1894" s="62" t="s">
        <v>43</v>
      </c>
      <c r="R1894" s="62"/>
    </row>
    <row r="1895" ht="27.6" spans="1:18">
      <c r="A1895" s="58">
        <v>1874</v>
      </c>
      <c r="B1895" s="117">
        <v>45921</v>
      </c>
      <c r="C1895" s="115" t="s">
        <v>2871</v>
      </c>
      <c r="D1895" s="62" t="s">
        <v>35</v>
      </c>
      <c r="E1895" s="116" t="s">
        <v>804</v>
      </c>
      <c r="F1895" s="105" t="s">
        <v>36</v>
      </c>
      <c r="G1895" s="62" t="s">
        <v>82</v>
      </c>
      <c r="H1895" s="62" t="s">
        <v>128</v>
      </c>
      <c r="I1895" s="78" t="s">
        <v>2201</v>
      </c>
      <c r="J1895" s="62" t="s">
        <v>40</v>
      </c>
      <c r="K1895" s="67" t="s">
        <v>2202</v>
      </c>
      <c r="L1895" s="70"/>
      <c r="M1895" s="62"/>
      <c r="N1895" s="62"/>
      <c r="O1895" s="64"/>
      <c r="P1895" s="79"/>
      <c r="Q1895" s="62" t="s">
        <v>43</v>
      </c>
      <c r="R1895" s="62"/>
    </row>
    <row r="1896" ht="27.6" spans="1:18">
      <c r="A1896" s="58">
        <v>1875</v>
      </c>
      <c r="B1896" s="117">
        <v>45922</v>
      </c>
      <c r="C1896" s="115" t="s">
        <v>191</v>
      </c>
      <c r="D1896" s="62" t="s">
        <v>35</v>
      </c>
      <c r="E1896" s="116" t="s">
        <v>804</v>
      </c>
      <c r="F1896" s="105" t="s">
        <v>50</v>
      </c>
      <c r="G1896" s="62" t="s">
        <v>588</v>
      </c>
      <c r="H1896" s="62" t="s">
        <v>94</v>
      </c>
      <c r="I1896" s="83" t="s">
        <v>339</v>
      </c>
      <c r="J1896" s="62" t="s">
        <v>40</v>
      </c>
      <c r="K1896" s="67" t="s">
        <v>340</v>
      </c>
      <c r="L1896" s="70"/>
      <c r="M1896" s="62"/>
      <c r="N1896" s="62"/>
      <c r="O1896" s="64"/>
      <c r="P1896" s="79"/>
      <c r="Q1896" s="62" t="s">
        <v>43</v>
      </c>
      <c r="R1896" s="62"/>
    </row>
    <row r="1897" ht="13.8" spans="1:18">
      <c r="A1897" s="58">
        <v>1876</v>
      </c>
      <c r="B1897" s="117">
        <v>45916</v>
      </c>
      <c r="C1897" s="115" t="s">
        <v>34</v>
      </c>
      <c r="D1897" s="62" t="s">
        <v>35</v>
      </c>
      <c r="E1897" s="116" t="s">
        <v>2665</v>
      </c>
      <c r="F1897" s="105" t="s">
        <v>50</v>
      </c>
      <c r="G1897" s="62" t="s">
        <v>61</v>
      </c>
      <c r="H1897" s="62" t="s">
        <v>51</v>
      </c>
      <c r="I1897" s="83" t="s">
        <v>352</v>
      </c>
      <c r="J1897" s="62" t="s">
        <v>91</v>
      </c>
      <c r="K1897" s="67" t="s">
        <v>353</v>
      </c>
      <c r="L1897" s="70"/>
      <c r="M1897" s="62"/>
      <c r="N1897" s="62"/>
      <c r="O1897" s="64"/>
      <c r="P1897" s="79"/>
      <c r="Q1897" s="62" t="s">
        <v>43</v>
      </c>
      <c r="R1897" s="62"/>
    </row>
    <row r="1898" ht="13.8" spans="1:18">
      <c r="A1898" s="58">
        <v>1877</v>
      </c>
      <c r="B1898" s="117">
        <v>45917</v>
      </c>
      <c r="C1898" s="115" t="s">
        <v>49</v>
      </c>
      <c r="D1898" s="62" t="s">
        <v>35</v>
      </c>
      <c r="E1898" s="116" t="s">
        <v>804</v>
      </c>
      <c r="F1898" s="105" t="s">
        <v>135</v>
      </c>
      <c r="G1898" s="62" t="s">
        <v>45</v>
      </c>
      <c r="H1898" s="62" t="s">
        <v>38</v>
      </c>
      <c r="I1898" s="120" t="s">
        <v>448</v>
      </c>
      <c r="J1898" s="62" t="s">
        <v>137</v>
      </c>
      <c r="K1898" s="98" t="s">
        <v>449</v>
      </c>
      <c r="L1898" s="121"/>
      <c r="M1898" s="116"/>
      <c r="N1898" s="116"/>
      <c r="O1898" s="95"/>
      <c r="P1898" s="122"/>
      <c r="Q1898" s="62" t="s">
        <v>8</v>
      </c>
      <c r="R1898" s="62"/>
    </row>
    <row r="1899" ht="13.8" spans="1:18">
      <c r="A1899" s="58">
        <v>1878</v>
      </c>
      <c r="B1899" s="117">
        <v>45918</v>
      </c>
      <c r="C1899" s="115" t="s">
        <v>198</v>
      </c>
      <c r="D1899" s="62" t="s">
        <v>35</v>
      </c>
      <c r="E1899" s="116" t="s">
        <v>804</v>
      </c>
      <c r="F1899" s="105" t="s">
        <v>135</v>
      </c>
      <c r="G1899" s="62" t="s">
        <v>1790</v>
      </c>
      <c r="H1899" s="62" t="s">
        <v>94</v>
      </c>
      <c r="I1899" s="120" t="s">
        <v>2461</v>
      </c>
      <c r="J1899" s="62" t="s">
        <v>137</v>
      </c>
      <c r="K1899" s="98" t="s">
        <v>2157</v>
      </c>
      <c r="L1899" s="121"/>
      <c r="M1899" s="116"/>
      <c r="N1899" s="116"/>
      <c r="O1899" s="95"/>
      <c r="P1899" s="122"/>
      <c r="Q1899" s="62" t="s">
        <v>8</v>
      </c>
      <c r="R1899" s="62"/>
    </row>
    <row r="1900" ht="27.6" spans="1:18">
      <c r="A1900" s="58">
        <v>1879</v>
      </c>
      <c r="B1900" s="117">
        <v>45918</v>
      </c>
      <c r="C1900" s="115" t="s">
        <v>49</v>
      </c>
      <c r="D1900" s="61" t="s">
        <v>35</v>
      </c>
      <c r="E1900" s="62" t="s">
        <v>73</v>
      </c>
      <c r="F1900" s="105" t="s">
        <v>135</v>
      </c>
      <c r="G1900" s="62" t="s">
        <v>45</v>
      </c>
      <c r="H1900" s="62" t="s">
        <v>132</v>
      </c>
      <c r="I1900" s="66" t="s">
        <v>319</v>
      </c>
      <c r="J1900" s="62" t="s">
        <v>137</v>
      </c>
      <c r="K1900" s="67" t="s">
        <v>204</v>
      </c>
      <c r="L1900" s="70"/>
      <c r="M1900" s="62"/>
      <c r="N1900" s="62"/>
      <c r="O1900" s="69"/>
      <c r="P1900" s="59"/>
      <c r="Q1900" s="62" t="s">
        <v>8</v>
      </c>
      <c r="R1900" s="62"/>
    </row>
    <row r="1901" ht="26.4" spans="1:18">
      <c r="A1901" s="58">
        <v>1880</v>
      </c>
      <c r="B1901" s="117">
        <v>45920</v>
      </c>
      <c r="C1901" s="115" t="s">
        <v>1903</v>
      </c>
      <c r="D1901" s="62" t="s">
        <v>35</v>
      </c>
      <c r="E1901" s="116" t="s">
        <v>804</v>
      </c>
      <c r="F1901" s="105" t="s">
        <v>192</v>
      </c>
      <c r="G1901" s="62" t="s">
        <v>131</v>
      </c>
      <c r="H1901" s="62" t="s">
        <v>51</v>
      </c>
      <c r="I1901" s="83" t="s">
        <v>321</v>
      </c>
      <c r="J1901" s="62" t="s">
        <v>137</v>
      </c>
      <c r="K1901" s="67" t="s">
        <v>1874</v>
      </c>
      <c r="L1901" s="70"/>
      <c r="M1901" s="62"/>
      <c r="N1901" s="62"/>
      <c r="O1901" s="64"/>
      <c r="P1901" s="79"/>
      <c r="Q1901" s="62" t="s">
        <v>8</v>
      </c>
      <c r="R1901" s="62"/>
    </row>
    <row r="1902" ht="27.6" spans="1:18">
      <c r="A1902" s="58">
        <v>1881</v>
      </c>
      <c r="B1902" s="117">
        <v>45923</v>
      </c>
      <c r="C1902" s="115" t="s">
        <v>1933</v>
      </c>
      <c r="D1902" s="62" t="s">
        <v>35</v>
      </c>
      <c r="E1902" s="116" t="s">
        <v>804</v>
      </c>
      <c r="F1902" s="105" t="s">
        <v>36</v>
      </c>
      <c r="G1902" s="62" t="s">
        <v>131</v>
      </c>
      <c r="H1902" s="62" t="s">
        <v>94</v>
      </c>
      <c r="I1902" s="78" t="s">
        <v>1948</v>
      </c>
      <c r="J1902" s="62" t="s">
        <v>40</v>
      </c>
      <c r="K1902" s="67" t="s">
        <v>2203</v>
      </c>
      <c r="L1902" s="70"/>
      <c r="M1902" s="62"/>
      <c r="N1902" s="62"/>
      <c r="O1902" s="64"/>
      <c r="P1902" s="79"/>
      <c r="Q1902" s="62" t="s">
        <v>43</v>
      </c>
      <c r="R1902" s="62"/>
    </row>
    <row r="1903" ht="13.8" spans="1:18">
      <c r="A1903" s="58">
        <v>1882</v>
      </c>
      <c r="B1903" s="117">
        <v>45924</v>
      </c>
      <c r="C1903" s="115" t="s">
        <v>49</v>
      </c>
      <c r="D1903" s="62" t="s">
        <v>35</v>
      </c>
      <c r="E1903" s="116" t="s">
        <v>804</v>
      </c>
      <c r="F1903" s="105" t="s">
        <v>36</v>
      </c>
      <c r="G1903" s="62" t="s">
        <v>61</v>
      </c>
      <c r="H1903" s="62" t="s">
        <v>94</v>
      </c>
      <c r="I1903" s="78" t="s">
        <v>1163</v>
      </c>
      <c r="J1903" s="62" t="s">
        <v>40</v>
      </c>
      <c r="K1903" s="67" t="s">
        <v>1164</v>
      </c>
      <c r="L1903" s="70"/>
      <c r="M1903" s="62"/>
      <c r="N1903" s="62"/>
      <c r="O1903" s="64"/>
      <c r="P1903" s="79"/>
      <c r="Q1903" s="62" t="s">
        <v>43</v>
      </c>
      <c r="R1903" s="62"/>
    </row>
    <row r="1904" ht="13.8" spans="1:18">
      <c r="A1904" s="58">
        <v>1883</v>
      </c>
      <c r="B1904" s="117">
        <v>45925</v>
      </c>
      <c r="C1904" s="115" t="s">
        <v>191</v>
      </c>
      <c r="D1904" s="62" t="s">
        <v>35</v>
      </c>
      <c r="E1904" s="116" t="s">
        <v>804</v>
      </c>
      <c r="F1904" s="105" t="s">
        <v>36</v>
      </c>
      <c r="G1904" s="62" t="s">
        <v>1790</v>
      </c>
      <c r="H1904" s="62" t="s">
        <v>2663</v>
      </c>
      <c r="I1904" s="78" t="s">
        <v>2204</v>
      </c>
      <c r="J1904" s="62" t="s">
        <v>40</v>
      </c>
      <c r="K1904" s="67" t="s">
        <v>2205</v>
      </c>
      <c r="L1904" s="70"/>
      <c r="M1904" s="62"/>
      <c r="N1904" s="62"/>
      <c r="O1904" s="64"/>
      <c r="P1904" s="79"/>
      <c r="Q1904" s="62" t="s">
        <v>43</v>
      </c>
      <c r="R1904" s="62"/>
    </row>
    <row r="1905" ht="27.6" spans="1:18">
      <c r="A1905" s="58">
        <v>1884</v>
      </c>
      <c r="B1905" s="117">
        <v>45925</v>
      </c>
      <c r="C1905" s="115" t="s">
        <v>191</v>
      </c>
      <c r="D1905" s="62" t="s">
        <v>35</v>
      </c>
      <c r="E1905" s="116" t="s">
        <v>804</v>
      </c>
      <c r="F1905" s="105" t="s">
        <v>36</v>
      </c>
      <c r="G1905" s="62" t="s">
        <v>45</v>
      </c>
      <c r="H1905" s="62" t="s">
        <v>132</v>
      </c>
      <c r="I1905" s="78" t="s">
        <v>2206</v>
      </c>
      <c r="J1905" s="62" t="s">
        <v>40</v>
      </c>
      <c r="K1905" s="67" t="s">
        <v>2207</v>
      </c>
      <c r="L1905" s="70"/>
      <c r="M1905" s="62"/>
      <c r="N1905" s="62"/>
      <c r="O1905" s="64"/>
      <c r="P1905" s="79"/>
      <c r="Q1905" s="62" t="s">
        <v>43</v>
      </c>
      <c r="R1905" s="62"/>
    </row>
    <row r="1906" ht="13.8" spans="1:18">
      <c r="A1906" s="58">
        <v>1885</v>
      </c>
      <c r="B1906" s="117">
        <v>45927</v>
      </c>
      <c r="C1906" s="115" t="s">
        <v>49</v>
      </c>
      <c r="D1906" s="62" t="s">
        <v>35</v>
      </c>
      <c r="E1906" s="116" t="s">
        <v>804</v>
      </c>
      <c r="F1906" s="105" t="s">
        <v>36</v>
      </c>
      <c r="G1906" s="62" t="s">
        <v>588</v>
      </c>
      <c r="H1906" s="62" t="s">
        <v>128</v>
      </c>
      <c r="I1906" s="78" t="s">
        <v>2208</v>
      </c>
      <c r="J1906" s="62" t="s">
        <v>40</v>
      </c>
      <c r="K1906" s="67" t="s">
        <v>2209</v>
      </c>
      <c r="L1906" s="70"/>
      <c r="M1906" s="62"/>
      <c r="N1906" s="62"/>
      <c r="O1906" s="64"/>
      <c r="P1906" s="79"/>
      <c r="Q1906" s="62" t="s">
        <v>43</v>
      </c>
      <c r="R1906" s="62"/>
    </row>
    <row r="1907" ht="41.4" spans="1:18">
      <c r="A1907" s="58">
        <v>1886</v>
      </c>
      <c r="B1907" s="117">
        <v>45928</v>
      </c>
      <c r="C1907" s="115" t="s">
        <v>34</v>
      </c>
      <c r="D1907" s="62" t="s">
        <v>35</v>
      </c>
      <c r="E1907" s="116" t="s">
        <v>2665</v>
      </c>
      <c r="F1907" s="105" t="s">
        <v>50</v>
      </c>
      <c r="G1907" s="62" t="s">
        <v>45</v>
      </c>
      <c r="H1907" s="62" t="s">
        <v>51</v>
      </c>
      <c r="I1907" s="78" t="s">
        <v>2229</v>
      </c>
      <c r="J1907" s="62" t="s">
        <v>91</v>
      </c>
      <c r="K1907" s="67" t="s">
        <v>2230</v>
      </c>
      <c r="L1907" s="70"/>
      <c r="M1907" s="62"/>
      <c r="N1907" s="62"/>
      <c r="O1907" s="64"/>
      <c r="P1907" s="79"/>
      <c r="Q1907" s="62" t="s">
        <v>43</v>
      </c>
      <c r="R1907" s="62"/>
    </row>
    <row r="1908" ht="13.8" spans="1:18">
      <c r="A1908" s="58">
        <v>1887</v>
      </c>
      <c r="B1908" s="117">
        <v>45929</v>
      </c>
      <c r="C1908" s="115" t="s">
        <v>2872</v>
      </c>
      <c r="D1908" s="62" t="s">
        <v>35</v>
      </c>
      <c r="E1908" s="116" t="s">
        <v>804</v>
      </c>
      <c r="F1908" s="105" t="s">
        <v>50</v>
      </c>
      <c r="G1908" s="62" t="s">
        <v>131</v>
      </c>
      <c r="H1908" s="62" t="s">
        <v>51</v>
      </c>
      <c r="I1908" s="83" t="s">
        <v>370</v>
      </c>
      <c r="J1908" s="62" t="s">
        <v>91</v>
      </c>
      <c r="K1908" s="67" t="s">
        <v>371</v>
      </c>
      <c r="L1908" s="70"/>
      <c r="M1908" s="62"/>
      <c r="N1908" s="62"/>
      <c r="O1908" s="64"/>
      <c r="P1908" s="79"/>
      <c r="Q1908" s="62" t="s">
        <v>43</v>
      </c>
      <c r="R1908" s="62"/>
    </row>
    <row r="1909" ht="27.6" spans="1:18">
      <c r="A1909" s="58">
        <v>1888</v>
      </c>
      <c r="B1909" s="117">
        <v>45923</v>
      </c>
      <c r="C1909" s="115" t="s">
        <v>49</v>
      </c>
      <c r="D1909" s="62" t="s">
        <v>35</v>
      </c>
      <c r="E1909" s="116" t="s">
        <v>804</v>
      </c>
      <c r="F1909" s="105" t="s">
        <v>135</v>
      </c>
      <c r="G1909" s="62" t="s">
        <v>588</v>
      </c>
      <c r="H1909" s="62" t="s">
        <v>94</v>
      </c>
      <c r="I1909" s="120" t="s">
        <v>2218</v>
      </c>
      <c r="J1909" s="62" t="s">
        <v>137</v>
      </c>
      <c r="K1909" s="98" t="s">
        <v>1449</v>
      </c>
      <c r="L1909" s="121"/>
      <c r="M1909" s="116"/>
      <c r="N1909" s="116"/>
      <c r="O1909" s="95"/>
      <c r="P1909" s="122"/>
      <c r="Q1909" s="62" t="s">
        <v>8</v>
      </c>
      <c r="R1909" s="62"/>
    </row>
    <row r="1910" ht="27.6" spans="1:18">
      <c r="A1910" s="58">
        <v>1889</v>
      </c>
      <c r="B1910" s="117">
        <v>45924</v>
      </c>
      <c r="C1910" s="69" t="s">
        <v>1076</v>
      </c>
      <c r="D1910" s="62" t="s">
        <v>35</v>
      </c>
      <c r="E1910" s="116" t="s">
        <v>1077</v>
      </c>
      <c r="F1910" s="105" t="s">
        <v>36</v>
      </c>
      <c r="G1910" s="62" t="s">
        <v>82</v>
      </c>
      <c r="H1910" s="62" t="s">
        <v>128</v>
      </c>
      <c r="I1910" s="78" t="s">
        <v>2196</v>
      </c>
      <c r="J1910" s="62" t="s">
        <v>40</v>
      </c>
      <c r="K1910" s="67" t="s">
        <v>2197</v>
      </c>
      <c r="L1910" s="70"/>
      <c r="M1910" s="62"/>
      <c r="N1910" s="62"/>
      <c r="O1910" s="64"/>
      <c r="P1910" s="79"/>
      <c r="Q1910" s="62" t="s">
        <v>43</v>
      </c>
      <c r="R1910" s="62"/>
    </row>
    <row r="1911" ht="27.6" spans="1:18">
      <c r="A1911" s="58">
        <v>1890</v>
      </c>
      <c r="B1911" s="117">
        <v>45925</v>
      </c>
      <c r="C1911" s="115" t="s">
        <v>191</v>
      </c>
      <c r="D1911" s="62" t="s">
        <v>35</v>
      </c>
      <c r="E1911" s="116" t="s">
        <v>804</v>
      </c>
      <c r="F1911" s="105" t="s">
        <v>36</v>
      </c>
      <c r="G1911" s="62" t="s">
        <v>131</v>
      </c>
      <c r="H1911" s="62" t="s">
        <v>132</v>
      </c>
      <c r="I1911" s="78" t="s">
        <v>2198</v>
      </c>
      <c r="J1911" s="62" t="s">
        <v>40</v>
      </c>
      <c r="K1911" s="67" t="s">
        <v>2199</v>
      </c>
      <c r="L1911" s="70"/>
      <c r="M1911" s="62"/>
      <c r="N1911" s="62"/>
      <c r="O1911" s="64"/>
      <c r="P1911" s="79"/>
      <c r="Q1911" s="62" t="s">
        <v>43</v>
      </c>
      <c r="R1911" s="62"/>
    </row>
    <row r="1912" ht="13.8" spans="1:18">
      <c r="A1912" s="58">
        <v>1891</v>
      </c>
      <c r="B1912" s="117">
        <v>45925</v>
      </c>
      <c r="C1912" s="115" t="s">
        <v>2872</v>
      </c>
      <c r="D1912" s="62" t="s">
        <v>35</v>
      </c>
      <c r="E1912" s="116" t="s">
        <v>804</v>
      </c>
      <c r="F1912" s="105" t="s">
        <v>36</v>
      </c>
      <c r="G1912" s="62" t="s">
        <v>588</v>
      </c>
      <c r="H1912" s="62" t="s">
        <v>56</v>
      </c>
      <c r="I1912" s="78" t="s">
        <v>431</v>
      </c>
      <c r="J1912" s="62" t="s">
        <v>40</v>
      </c>
      <c r="K1912" s="67" t="s">
        <v>2200</v>
      </c>
      <c r="L1912" s="70"/>
      <c r="M1912" s="62"/>
      <c r="N1912" s="62"/>
      <c r="O1912" s="64"/>
      <c r="P1912" s="79"/>
      <c r="Q1912" s="62" t="s">
        <v>43</v>
      </c>
      <c r="R1912" s="62"/>
    </row>
    <row r="1913" ht="27.6" spans="1:18">
      <c r="A1913" s="58">
        <v>1892</v>
      </c>
      <c r="B1913" s="117">
        <v>45927</v>
      </c>
      <c r="C1913" s="115" t="s">
        <v>191</v>
      </c>
      <c r="D1913" s="62" t="s">
        <v>35</v>
      </c>
      <c r="E1913" s="116" t="s">
        <v>804</v>
      </c>
      <c r="F1913" s="105" t="s">
        <v>36</v>
      </c>
      <c r="G1913" s="62" t="s">
        <v>45</v>
      </c>
      <c r="H1913" s="62" t="s">
        <v>128</v>
      </c>
      <c r="I1913" s="78" t="s">
        <v>2201</v>
      </c>
      <c r="J1913" s="62" t="s">
        <v>40</v>
      </c>
      <c r="K1913" s="67" t="s">
        <v>2202</v>
      </c>
      <c r="L1913" s="70"/>
      <c r="M1913" s="62"/>
      <c r="N1913" s="62"/>
      <c r="O1913" s="64"/>
      <c r="P1913" s="79"/>
      <c r="Q1913" s="62" t="s">
        <v>43</v>
      </c>
      <c r="R1913" s="65"/>
    </row>
    <row r="1914" ht="27.6" spans="1:18">
      <c r="A1914" s="58">
        <v>1893</v>
      </c>
      <c r="B1914" s="117">
        <v>45931</v>
      </c>
      <c r="C1914" s="118" t="s">
        <v>640</v>
      </c>
      <c r="D1914" s="65" t="s">
        <v>72</v>
      </c>
      <c r="E1914" s="119" t="s">
        <v>804</v>
      </c>
      <c r="F1914" s="105" t="s">
        <v>36</v>
      </c>
      <c r="G1914" s="65" t="s">
        <v>65</v>
      </c>
      <c r="H1914" s="65" t="s">
        <v>46</v>
      </c>
      <c r="I1914" s="80" t="s">
        <v>2873</v>
      </c>
      <c r="J1914" s="65" t="s">
        <v>53</v>
      </c>
      <c r="K1914" s="91" t="s">
        <v>2874</v>
      </c>
      <c r="L1914" s="87" t="s">
        <v>2875</v>
      </c>
      <c r="M1914" s="65"/>
      <c r="N1914" s="65"/>
      <c r="O1914" s="81"/>
      <c r="P1914" s="82"/>
      <c r="Q1914" s="65" t="s">
        <v>43</v>
      </c>
      <c r="R1914" s="65"/>
    </row>
    <row r="1915" ht="27.6" spans="1:18">
      <c r="A1915" s="58">
        <v>1894</v>
      </c>
      <c r="B1915" s="117">
        <v>45932</v>
      </c>
      <c r="C1915" s="118" t="s">
        <v>640</v>
      </c>
      <c r="D1915" s="65" t="s">
        <v>72</v>
      </c>
      <c r="E1915" s="119" t="s">
        <v>804</v>
      </c>
      <c r="F1915" s="107" t="s">
        <v>192</v>
      </c>
      <c r="G1915" s="65" t="s">
        <v>55</v>
      </c>
      <c r="H1915" s="65" t="s">
        <v>56</v>
      </c>
      <c r="I1915" s="80" t="s">
        <v>2876</v>
      </c>
      <c r="J1915" s="65" t="s">
        <v>137</v>
      </c>
      <c r="K1915" s="91" t="s">
        <v>2877</v>
      </c>
      <c r="L1915" s="87"/>
      <c r="M1915" s="65"/>
      <c r="N1915" s="65"/>
      <c r="O1915" s="81"/>
      <c r="P1915" s="82"/>
      <c r="Q1915" s="65" t="s">
        <v>8</v>
      </c>
      <c r="R1915" s="65"/>
    </row>
    <row r="1916" ht="55.2" spans="1:18">
      <c r="A1916" s="58">
        <v>1895</v>
      </c>
      <c r="B1916" s="117">
        <v>45927</v>
      </c>
      <c r="C1916" s="118" t="s">
        <v>640</v>
      </c>
      <c r="D1916" s="65" t="s">
        <v>72</v>
      </c>
      <c r="E1916" s="119" t="s">
        <v>804</v>
      </c>
      <c r="F1916" s="107" t="s">
        <v>36</v>
      </c>
      <c r="G1916" s="65" t="s">
        <v>37</v>
      </c>
      <c r="H1916" s="65" t="s">
        <v>56</v>
      </c>
      <c r="I1916" s="80" t="s">
        <v>2878</v>
      </c>
      <c r="J1916" s="65" t="s">
        <v>53</v>
      </c>
      <c r="K1916" s="91" t="s">
        <v>2879</v>
      </c>
      <c r="L1916" s="87"/>
      <c r="M1916" s="65"/>
      <c r="N1916" s="65"/>
      <c r="O1916" s="81"/>
      <c r="P1916" s="82"/>
      <c r="Q1916" s="65" t="s">
        <v>43</v>
      </c>
      <c r="R1916" s="65"/>
    </row>
    <row r="1917" ht="39.6" spans="1:18">
      <c r="A1917" s="58">
        <v>1896</v>
      </c>
      <c r="B1917" s="117">
        <v>45928</v>
      </c>
      <c r="C1917" s="118" t="s">
        <v>640</v>
      </c>
      <c r="D1917" s="65" t="s">
        <v>72</v>
      </c>
      <c r="E1917" s="119" t="s">
        <v>804</v>
      </c>
      <c r="F1917" s="107" t="s">
        <v>36</v>
      </c>
      <c r="G1917" s="65" t="s">
        <v>55</v>
      </c>
      <c r="H1917" s="65" t="s">
        <v>128</v>
      </c>
      <c r="I1917" s="80" t="s">
        <v>2880</v>
      </c>
      <c r="J1917" s="65" t="s">
        <v>53</v>
      </c>
      <c r="K1917" s="91" t="s">
        <v>2881</v>
      </c>
      <c r="L1917" s="87" t="s">
        <v>2882</v>
      </c>
      <c r="M1917" s="65"/>
      <c r="N1917" s="65"/>
      <c r="O1917" s="81"/>
      <c r="P1917" s="82"/>
      <c r="Q1917" s="65" t="s">
        <v>43</v>
      </c>
      <c r="R1917" s="65"/>
    </row>
    <row r="1918" ht="55.2" spans="1:18">
      <c r="A1918" s="58">
        <v>1897</v>
      </c>
      <c r="B1918" s="117">
        <v>45929</v>
      </c>
      <c r="C1918" s="118" t="s">
        <v>640</v>
      </c>
      <c r="D1918" s="65" t="s">
        <v>72</v>
      </c>
      <c r="E1918" s="119" t="s">
        <v>804</v>
      </c>
      <c r="F1918" s="107" t="s">
        <v>36</v>
      </c>
      <c r="G1918" s="65" t="s">
        <v>55</v>
      </c>
      <c r="H1918" s="65" t="s">
        <v>128</v>
      </c>
      <c r="I1918" s="80" t="s">
        <v>2883</v>
      </c>
      <c r="J1918" s="65" t="s">
        <v>53</v>
      </c>
      <c r="K1918" s="91" t="s">
        <v>2884</v>
      </c>
      <c r="L1918" s="87"/>
      <c r="M1918" s="65"/>
      <c r="N1918" s="65"/>
      <c r="O1918" s="81"/>
      <c r="P1918" s="82"/>
      <c r="Q1918" s="65" t="s">
        <v>43</v>
      </c>
      <c r="R1918" s="65"/>
    </row>
    <row r="1919" ht="39.6" spans="1:18">
      <c r="A1919" s="58">
        <v>1898</v>
      </c>
      <c r="B1919" s="117">
        <v>45930</v>
      </c>
      <c r="C1919" s="118" t="s">
        <v>640</v>
      </c>
      <c r="D1919" s="65" t="s">
        <v>72</v>
      </c>
      <c r="E1919" s="119" t="s">
        <v>804</v>
      </c>
      <c r="F1919" s="107" t="s">
        <v>50</v>
      </c>
      <c r="G1919" s="65" t="s">
        <v>55</v>
      </c>
      <c r="H1919" s="65" t="s">
        <v>94</v>
      </c>
      <c r="I1919" s="80" t="s">
        <v>2885</v>
      </c>
      <c r="J1919" s="65" t="s">
        <v>53</v>
      </c>
      <c r="K1919" s="91" t="s">
        <v>2886</v>
      </c>
      <c r="L1919" s="87" t="s">
        <v>2887</v>
      </c>
      <c r="M1919" s="65"/>
      <c r="N1919" s="65"/>
      <c r="O1919" s="81"/>
      <c r="P1919" s="82"/>
      <c r="Q1919" s="65" t="s">
        <v>43</v>
      </c>
      <c r="R1919" s="65"/>
    </row>
    <row r="1920" ht="39.6" spans="1:18">
      <c r="A1920" s="58">
        <v>1899</v>
      </c>
      <c r="B1920" s="117">
        <v>45930</v>
      </c>
      <c r="C1920" s="118" t="s">
        <v>640</v>
      </c>
      <c r="D1920" s="65" t="s">
        <v>72</v>
      </c>
      <c r="E1920" s="119" t="s">
        <v>804</v>
      </c>
      <c r="F1920" s="107" t="s">
        <v>50</v>
      </c>
      <c r="G1920" s="65" t="s">
        <v>55</v>
      </c>
      <c r="H1920" s="65" t="s">
        <v>622</v>
      </c>
      <c r="I1920" s="80" t="s">
        <v>2885</v>
      </c>
      <c r="J1920" s="65" t="s">
        <v>53</v>
      </c>
      <c r="K1920" s="91" t="s">
        <v>2886</v>
      </c>
      <c r="L1920" s="87" t="s">
        <v>2887</v>
      </c>
      <c r="M1920" s="65"/>
      <c r="N1920" s="65"/>
      <c r="O1920" s="81"/>
      <c r="P1920" s="82"/>
      <c r="Q1920" s="65" t="s">
        <v>43</v>
      </c>
      <c r="R1920" s="65"/>
    </row>
    <row r="1921" ht="13.8" spans="1:18">
      <c r="A1921" s="58">
        <v>1900</v>
      </c>
      <c r="B1921" s="117">
        <v>45931</v>
      </c>
      <c r="C1921" s="118" t="s">
        <v>659</v>
      </c>
      <c r="D1921" s="65" t="s">
        <v>72</v>
      </c>
      <c r="E1921" s="119" t="s">
        <v>804</v>
      </c>
      <c r="F1921" s="107" t="s">
        <v>36</v>
      </c>
      <c r="G1921" s="65" t="s">
        <v>82</v>
      </c>
      <c r="H1921" s="65" t="s">
        <v>56</v>
      </c>
      <c r="I1921" s="80" t="s">
        <v>2888</v>
      </c>
      <c r="J1921" s="65" t="s">
        <v>53</v>
      </c>
      <c r="K1921" s="91" t="s">
        <v>2705</v>
      </c>
      <c r="L1921" s="87"/>
      <c r="M1921" s="65"/>
      <c r="N1921" s="65"/>
      <c r="O1921" s="81"/>
      <c r="P1921" s="82"/>
      <c r="Q1921" s="65" t="s">
        <v>43</v>
      </c>
      <c r="R1921" s="65"/>
    </row>
    <row r="1922" ht="13.8" spans="1:18">
      <c r="A1922" s="58">
        <v>1901</v>
      </c>
      <c r="B1922" s="117">
        <v>45931</v>
      </c>
      <c r="C1922" s="118" t="s">
        <v>659</v>
      </c>
      <c r="D1922" s="65" t="s">
        <v>72</v>
      </c>
      <c r="E1922" s="119" t="s">
        <v>804</v>
      </c>
      <c r="F1922" s="107" t="s">
        <v>36</v>
      </c>
      <c r="G1922" s="65" t="s">
        <v>61</v>
      </c>
      <c r="H1922" s="65" t="s">
        <v>56</v>
      </c>
      <c r="I1922" s="80" t="s">
        <v>2889</v>
      </c>
      <c r="J1922" s="65" t="s">
        <v>53</v>
      </c>
      <c r="K1922" s="91" t="s">
        <v>2705</v>
      </c>
      <c r="L1922" s="87"/>
      <c r="M1922" s="65"/>
      <c r="N1922" s="65"/>
      <c r="O1922" s="81"/>
      <c r="P1922" s="82"/>
      <c r="Q1922" s="65" t="s">
        <v>43</v>
      </c>
      <c r="R1922" s="65"/>
    </row>
    <row r="1923" ht="27.6" spans="1:18">
      <c r="A1923" s="58">
        <v>1902</v>
      </c>
      <c r="B1923" s="117">
        <v>45931</v>
      </c>
      <c r="C1923" s="118" t="s">
        <v>659</v>
      </c>
      <c r="D1923" s="65" t="s">
        <v>72</v>
      </c>
      <c r="E1923" s="119" t="s">
        <v>804</v>
      </c>
      <c r="F1923" s="107" t="s">
        <v>36</v>
      </c>
      <c r="G1923" s="65" t="s">
        <v>79</v>
      </c>
      <c r="H1923" s="65" t="s">
        <v>56</v>
      </c>
      <c r="I1923" s="80" t="s">
        <v>2890</v>
      </c>
      <c r="J1923" s="65" t="s">
        <v>53</v>
      </c>
      <c r="K1923" s="91" t="s">
        <v>2891</v>
      </c>
      <c r="L1923" s="87"/>
      <c r="M1923" s="65"/>
      <c r="N1923" s="65"/>
      <c r="O1923" s="81"/>
      <c r="P1923" s="82"/>
      <c r="Q1923" s="65" t="s">
        <v>43</v>
      </c>
      <c r="R1923" s="65"/>
    </row>
    <row r="1924" ht="26.4" spans="1:18">
      <c r="A1924" s="58">
        <v>1903</v>
      </c>
      <c r="B1924" s="117">
        <v>45932</v>
      </c>
      <c r="C1924" s="118" t="s">
        <v>659</v>
      </c>
      <c r="D1924" s="65" t="s">
        <v>72</v>
      </c>
      <c r="E1924" s="119" t="s">
        <v>804</v>
      </c>
      <c r="F1924" s="107" t="s">
        <v>36</v>
      </c>
      <c r="G1924" s="65" t="s">
        <v>79</v>
      </c>
      <c r="H1924" s="65" t="s">
        <v>1008</v>
      </c>
      <c r="I1924" s="80" t="s">
        <v>2892</v>
      </c>
      <c r="J1924" s="65" t="s">
        <v>53</v>
      </c>
      <c r="K1924" s="91" t="s">
        <v>2893</v>
      </c>
      <c r="L1924" s="87"/>
      <c r="M1924" s="65"/>
      <c r="N1924" s="65"/>
      <c r="O1924" s="81"/>
      <c r="P1924" s="82"/>
      <c r="Q1924" s="65" t="s">
        <v>43</v>
      </c>
      <c r="R1924" s="65"/>
    </row>
    <row r="1925" ht="26.4" spans="1:18">
      <c r="A1925" s="58">
        <v>1904</v>
      </c>
      <c r="B1925" s="117">
        <v>45932</v>
      </c>
      <c r="C1925" s="118" t="s">
        <v>659</v>
      </c>
      <c r="D1925" s="65" t="s">
        <v>72</v>
      </c>
      <c r="E1925" s="119" t="s">
        <v>804</v>
      </c>
      <c r="F1925" s="107" t="s">
        <v>36</v>
      </c>
      <c r="G1925" s="65" t="s">
        <v>79</v>
      </c>
      <c r="H1925" s="65" t="s">
        <v>989</v>
      </c>
      <c r="I1925" s="80" t="s">
        <v>2894</v>
      </c>
      <c r="J1925" s="65" t="s">
        <v>53</v>
      </c>
      <c r="K1925" s="91" t="s">
        <v>2893</v>
      </c>
      <c r="L1925" s="87"/>
      <c r="M1925" s="65"/>
      <c r="N1925" s="65"/>
      <c r="O1925" s="81"/>
      <c r="P1925" s="82"/>
      <c r="Q1925" s="65" t="s">
        <v>43</v>
      </c>
      <c r="R1925" s="65"/>
    </row>
    <row r="1926" ht="26.4" spans="1:18">
      <c r="A1926" s="58">
        <v>1905</v>
      </c>
      <c r="B1926" s="117">
        <v>45932</v>
      </c>
      <c r="C1926" s="118" t="s">
        <v>659</v>
      </c>
      <c r="D1926" s="65" t="s">
        <v>72</v>
      </c>
      <c r="E1926" s="119" t="s">
        <v>804</v>
      </c>
      <c r="F1926" s="107" t="s">
        <v>36</v>
      </c>
      <c r="G1926" s="65" t="s">
        <v>79</v>
      </c>
      <c r="H1926" s="65" t="s">
        <v>56</v>
      </c>
      <c r="I1926" s="80" t="s">
        <v>2895</v>
      </c>
      <c r="J1926" s="65" t="s">
        <v>53</v>
      </c>
      <c r="K1926" s="91" t="s">
        <v>2893</v>
      </c>
      <c r="L1926" s="87"/>
      <c r="M1926" s="65"/>
      <c r="N1926" s="65"/>
      <c r="O1926" s="81"/>
      <c r="P1926" s="82"/>
      <c r="Q1926" s="65" t="s">
        <v>43</v>
      </c>
      <c r="R1926" s="65"/>
    </row>
    <row r="1927" ht="26.4" spans="1:18">
      <c r="A1927" s="58">
        <v>1906</v>
      </c>
      <c r="B1927" s="117">
        <v>45932</v>
      </c>
      <c r="C1927" s="118" t="s">
        <v>659</v>
      </c>
      <c r="D1927" s="65" t="s">
        <v>72</v>
      </c>
      <c r="E1927" s="119" t="s">
        <v>804</v>
      </c>
      <c r="F1927" s="107" t="s">
        <v>36</v>
      </c>
      <c r="G1927" s="65" t="s">
        <v>79</v>
      </c>
      <c r="H1927" s="65" t="s">
        <v>144</v>
      </c>
      <c r="I1927" s="80" t="s">
        <v>2896</v>
      </c>
      <c r="J1927" s="65" t="s">
        <v>53</v>
      </c>
      <c r="K1927" s="91" t="s">
        <v>2893</v>
      </c>
      <c r="L1927" s="87"/>
      <c r="M1927" s="65"/>
      <c r="N1927" s="65"/>
      <c r="O1927" s="81"/>
      <c r="P1927" s="82"/>
      <c r="Q1927" s="65" t="s">
        <v>43</v>
      </c>
      <c r="R1927" s="65"/>
    </row>
    <row r="1928" ht="13.8" spans="1:18">
      <c r="A1928" s="58">
        <v>1907</v>
      </c>
      <c r="B1928" s="117">
        <v>45927</v>
      </c>
      <c r="C1928" s="118" t="s">
        <v>659</v>
      </c>
      <c r="D1928" s="65" t="s">
        <v>72</v>
      </c>
      <c r="E1928" s="119" t="s">
        <v>804</v>
      </c>
      <c r="F1928" s="107" t="s">
        <v>36</v>
      </c>
      <c r="G1928" s="65" t="s">
        <v>93</v>
      </c>
      <c r="H1928" s="65" t="s">
        <v>38</v>
      </c>
      <c r="I1928" s="80" t="s">
        <v>2897</v>
      </c>
      <c r="J1928" s="65" t="s">
        <v>53</v>
      </c>
      <c r="K1928" s="91" t="s">
        <v>2893</v>
      </c>
      <c r="L1928" s="87"/>
      <c r="M1928" s="65"/>
      <c r="N1928" s="65"/>
      <c r="O1928" s="81"/>
      <c r="P1928" s="82"/>
      <c r="Q1928" s="65" t="s">
        <v>43</v>
      </c>
      <c r="R1928" s="65"/>
    </row>
    <row r="1929" ht="13.8" spans="1:18">
      <c r="A1929" s="58">
        <v>1908</v>
      </c>
      <c r="B1929" s="117">
        <v>45928</v>
      </c>
      <c r="C1929" s="118" t="s">
        <v>659</v>
      </c>
      <c r="D1929" s="65" t="s">
        <v>72</v>
      </c>
      <c r="E1929" s="119" t="s">
        <v>804</v>
      </c>
      <c r="F1929" s="107" t="s">
        <v>36</v>
      </c>
      <c r="G1929" s="65" t="s">
        <v>93</v>
      </c>
      <c r="H1929" s="65" t="s">
        <v>128</v>
      </c>
      <c r="I1929" s="80" t="s">
        <v>2898</v>
      </c>
      <c r="J1929" s="65" t="s">
        <v>53</v>
      </c>
      <c r="K1929" s="91" t="s">
        <v>2893</v>
      </c>
      <c r="L1929" s="87"/>
      <c r="M1929" s="65"/>
      <c r="N1929" s="65"/>
      <c r="O1929" s="81"/>
      <c r="P1929" s="82"/>
      <c r="Q1929" s="65" t="s">
        <v>43</v>
      </c>
      <c r="R1929" s="65"/>
    </row>
    <row r="1930" ht="13.8" spans="1:18">
      <c r="A1930" s="58">
        <v>1909</v>
      </c>
      <c r="B1930" s="117">
        <v>45929</v>
      </c>
      <c r="C1930" s="118" t="s">
        <v>659</v>
      </c>
      <c r="D1930" s="65" t="s">
        <v>72</v>
      </c>
      <c r="E1930" s="119" t="s">
        <v>804</v>
      </c>
      <c r="F1930" s="107" t="s">
        <v>36</v>
      </c>
      <c r="G1930" s="65" t="s">
        <v>82</v>
      </c>
      <c r="H1930" s="65" t="s">
        <v>38</v>
      </c>
      <c r="I1930" s="80" t="s">
        <v>2899</v>
      </c>
      <c r="J1930" s="65" t="s">
        <v>53</v>
      </c>
      <c r="K1930" s="91" t="s">
        <v>2893</v>
      </c>
      <c r="L1930" s="87"/>
      <c r="M1930" s="65"/>
      <c r="N1930" s="65"/>
      <c r="O1930" s="81"/>
      <c r="P1930" s="82"/>
      <c r="Q1930" s="65" t="s">
        <v>43</v>
      </c>
      <c r="R1930" s="65"/>
    </row>
    <row r="1931" ht="26.4" spans="1:18">
      <c r="A1931" s="58">
        <v>1910</v>
      </c>
      <c r="B1931" s="117">
        <v>45930</v>
      </c>
      <c r="C1931" s="118" t="s">
        <v>659</v>
      </c>
      <c r="D1931" s="65" t="s">
        <v>72</v>
      </c>
      <c r="E1931" s="119" t="s">
        <v>804</v>
      </c>
      <c r="F1931" s="107" t="s">
        <v>36</v>
      </c>
      <c r="G1931" s="65" t="s">
        <v>82</v>
      </c>
      <c r="H1931" s="65" t="s">
        <v>56</v>
      </c>
      <c r="I1931" s="80" t="s">
        <v>2900</v>
      </c>
      <c r="J1931" s="65" t="s">
        <v>53</v>
      </c>
      <c r="K1931" s="91" t="s">
        <v>2893</v>
      </c>
      <c r="L1931" s="87"/>
      <c r="M1931" s="65"/>
      <c r="N1931" s="65"/>
      <c r="O1931" s="81"/>
      <c r="P1931" s="82"/>
      <c r="Q1931" s="65" t="s">
        <v>43</v>
      </c>
      <c r="R1931" s="65"/>
    </row>
    <row r="1932" ht="13.8" spans="1:18">
      <c r="A1932" s="58">
        <v>1911</v>
      </c>
      <c r="B1932" s="117">
        <v>45930</v>
      </c>
      <c r="C1932" s="118" t="s">
        <v>659</v>
      </c>
      <c r="D1932" s="65" t="s">
        <v>72</v>
      </c>
      <c r="E1932" s="119" t="s">
        <v>804</v>
      </c>
      <c r="F1932" s="107" t="s">
        <v>36</v>
      </c>
      <c r="G1932" s="65" t="s">
        <v>65</v>
      </c>
      <c r="H1932" s="65" t="s">
        <v>56</v>
      </c>
      <c r="I1932" s="80" t="s">
        <v>2901</v>
      </c>
      <c r="J1932" s="65" t="s">
        <v>53</v>
      </c>
      <c r="K1932" s="91" t="s">
        <v>2893</v>
      </c>
      <c r="L1932" s="87"/>
      <c r="M1932" s="65"/>
      <c r="N1932" s="65"/>
      <c r="O1932" s="81"/>
      <c r="P1932" s="82"/>
      <c r="Q1932" s="65" t="s">
        <v>43</v>
      </c>
      <c r="R1932" s="65"/>
    </row>
    <row r="1933" ht="41.4" spans="1:18">
      <c r="A1933" s="58">
        <v>1912</v>
      </c>
      <c r="B1933" s="117">
        <v>45928</v>
      </c>
      <c r="C1933" s="118" t="s">
        <v>620</v>
      </c>
      <c r="D1933" s="65" t="s">
        <v>60</v>
      </c>
      <c r="E1933" s="65" t="s">
        <v>621</v>
      </c>
      <c r="F1933" s="107" t="s">
        <v>36</v>
      </c>
      <c r="G1933" s="65" t="s">
        <v>55</v>
      </c>
      <c r="H1933" s="65" t="s">
        <v>622</v>
      </c>
      <c r="I1933" s="80" t="s">
        <v>2902</v>
      </c>
      <c r="J1933" s="65" t="s">
        <v>88</v>
      </c>
      <c r="K1933" s="91" t="s">
        <v>2751</v>
      </c>
      <c r="L1933" s="87" t="s">
        <v>2903</v>
      </c>
      <c r="M1933" s="65"/>
      <c r="N1933" s="65"/>
      <c r="O1933" s="81"/>
      <c r="P1933" s="82"/>
      <c r="Q1933" s="65" t="s">
        <v>43</v>
      </c>
      <c r="R1933" s="65"/>
    </row>
    <row r="1934" ht="41.4" spans="1:18">
      <c r="A1934" s="58">
        <v>1913</v>
      </c>
      <c r="B1934" s="117">
        <v>45927</v>
      </c>
      <c r="C1934" s="118" t="s">
        <v>620</v>
      </c>
      <c r="D1934" s="65" t="s">
        <v>60</v>
      </c>
      <c r="E1934" s="65" t="s">
        <v>621</v>
      </c>
      <c r="F1934" s="107" t="s">
        <v>50</v>
      </c>
      <c r="G1934" s="65" t="s">
        <v>79</v>
      </c>
      <c r="H1934" s="65" t="s">
        <v>94</v>
      </c>
      <c r="I1934" s="80" t="s">
        <v>2755</v>
      </c>
      <c r="J1934" s="65" t="s">
        <v>88</v>
      </c>
      <c r="K1934" s="91" t="s">
        <v>2904</v>
      </c>
      <c r="L1934" s="87" t="s">
        <v>2288</v>
      </c>
      <c r="M1934" s="65"/>
      <c r="N1934" s="65"/>
      <c r="O1934" s="81"/>
      <c r="P1934" s="82"/>
      <c r="Q1934" s="65" t="s">
        <v>43</v>
      </c>
      <c r="R1934" s="65"/>
    </row>
    <row r="1935" ht="26.4" spans="1:18">
      <c r="A1935" s="58">
        <v>1914</v>
      </c>
      <c r="B1935" s="117">
        <v>45933</v>
      </c>
      <c r="C1935" s="118" t="s">
        <v>620</v>
      </c>
      <c r="D1935" s="65" t="s">
        <v>60</v>
      </c>
      <c r="E1935" s="65" t="s">
        <v>621</v>
      </c>
      <c r="F1935" s="107" t="s">
        <v>36</v>
      </c>
      <c r="G1935" s="65" t="s">
        <v>899</v>
      </c>
      <c r="H1935" s="65" t="s">
        <v>1008</v>
      </c>
      <c r="I1935" s="80" t="s">
        <v>2905</v>
      </c>
      <c r="J1935" s="65" t="s">
        <v>88</v>
      </c>
      <c r="K1935" s="91" t="s">
        <v>2906</v>
      </c>
      <c r="L1935" s="87" t="s">
        <v>2907</v>
      </c>
      <c r="M1935" s="65"/>
      <c r="N1935" s="65"/>
      <c r="O1935" s="81"/>
      <c r="P1935" s="82"/>
      <c r="Q1935" s="65" t="s">
        <v>43</v>
      </c>
      <c r="R1935" s="65"/>
    </row>
    <row r="1936" ht="41.4" spans="1:18">
      <c r="A1936" s="58">
        <v>1915</v>
      </c>
      <c r="B1936" s="117">
        <v>45937</v>
      </c>
      <c r="C1936" s="118" t="s">
        <v>597</v>
      </c>
      <c r="D1936" s="65" t="s">
        <v>60</v>
      </c>
      <c r="E1936" s="119" t="s">
        <v>804</v>
      </c>
      <c r="F1936" s="107" t="s">
        <v>36</v>
      </c>
      <c r="G1936" s="65" t="s">
        <v>55</v>
      </c>
      <c r="H1936" s="65" t="s">
        <v>94</v>
      </c>
      <c r="I1936" s="80" t="s">
        <v>2908</v>
      </c>
      <c r="J1936" s="65" t="s">
        <v>88</v>
      </c>
      <c r="K1936" s="91" t="s">
        <v>2909</v>
      </c>
      <c r="L1936" s="87" t="s">
        <v>2910</v>
      </c>
      <c r="M1936" s="65"/>
      <c r="N1936" s="65"/>
      <c r="O1936" s="81"/>
      <c r="P1936" s="82"/>
      <c r="Q1936" s="65" t="s">
        <v>43</v>
      </c>
      <c r="R1936" s="65"/>
    </row>
    <row r="1937" ht="27.6" spans="1:18">
      <c r="A1937" s="58">
        <v>1916</v>
      </c>
      <c r="B1937" s="117">
        <v>45937</v>
      </c>
      <c r="C1937" s="118" t="s">
        <v>597</v>
      </c>
      <c r="D1937" s="65" t="s">
        <v>60</v>
      </c>
      <c r="E1937" s="119" t="s">
        <v>804</v>
      </c>
      <c r="F1937" s="107" t="s">
        <v>36</v>
      </c>
      <c r="G1937" s="65" t="s">
        <v>61</v>
      </c>
      <c r="H1937" s="65" t="s">
        <v>56</v>
      </c>
      <c r="I1937" s="80" t="s">
        <v>2911</v>
      </c>
      <c r="J1937" s="65" t="s">
        <v>88</v>
      </c>
      <c r="K1937" s="91" t="s">
        <v>2912</v>
      </c>
      <c r="L1937" s="87" t="s">
        <v>2913</v>
      </c>
      <c r="M1937" s="65"/>
      <c r="N1937" s="65"/>
      <c r="O1937" s="81"/>
      <c r="P1937" s="82"/>
      <c r="Q1937" s="65" t="s">
        <v>43</v>
      </c>
      <c r="R1937" s="65"/>
    </row>
    <row r="1938" ht="55.2" spans="1:18">
      <c r="A1938" s="58">
        <v>1917</v>
      </c>
      <c r="B1938" s="117">
        <v>45937</v>
      </c>
      <c r="C1938" s="118" t="s">
        <v>100</v>
      </c>
      <c r="D1938" s="65" t="s">
        <v>60</v>
      </c>
      <c r="E1938" s="119" t="s">
        <v>101</v>
      </c>
      <c r="F1938" s="107" t="s">
        <v>36</v>
      </c>
      <c r="G1938" s="65" t="s">
        <v>61</v>
      </c>
      <c r="H1938" s="65" t="s">
        <v>56</v>
      </c>
      <c r="I1938" s="80" t="s">
        <v>2914</v>
      </c>
      <c r="J1938" s="65" t="s">
        <v>88</v>
      </c>
      <c r="K1938" s="91" t="s">
        <v>2915</v>
      </c>
      <c r="L1938" s="87"/>
      <c r="M1938" s="65"/>
      <c r="N1938" s="65"/>
      <c r="O1938" s="81"/>
      <c r="P1938" s="82"/>
      <c r="Q1938" s="65" t="s">
        <v>43</v>
      </c>
      <c r="R1938" s="65"/>
    </row>
    <row r="1939" ht="69" spans="1:18">
      <c r="A1939" s="58">
        <v>1918</v>
      </c>
      <c r="B1939" s="117">
        <v>45937</v>
      </c>
      <c r="C1939" s="118" t="s">
        <v>100</v>
      </c>
      <c r="D1939" s="65" t="s">
        <v>60</v>
      </c>
      <c r="E1939" s="119" t="s">
        <v>101</v>
      </c>
      <c r="F1939" s="107" t="s">
        <v>135</v>
      </c>
      <c r="G1939" s="65" t="s">
        <v>588</v>
      </c>
      <c r="H1939" s="65" t="s">
        <v>56</v>
      </c>
      <c r="I1939" s="80" t="s">
        <v>2916</v>
      </c>
      <c r="J1939" s="65" t="s">
        <v>137</v>
      </c>
      <c r="K1939" s="91" t="s">
        <v>2917</v>
      </c>
      <c r="L1939" s="87"/>
      <c r="M1939" s="65"/>
      <c r="N1939" s="65"/>
      <c r="O1939" s="81"/>
      <c r="P1939" s="82"/>
      <c r="Q1939" s="65" t="s">
        <v>8</v>
      </c>
      <c r="R1939" s="65"/>
    </row>
    <row r="1940" ht="27.6" spans="1:18">
      <c r="A1940" s="58">
        <v>1919</v>
      </c>
      <c r="B1940" s="117">
        <v>45938</v>
      </c>
      <c r="C1940" s="118" t="s">
        <v>641</v>
      </c>
      <c r="D1940" s="65" t="s">
        <v>72</v>
      </c>
      <c r="E1940" s="119" t="s">
        <v>804</v>
      </c>
      <c r="F1940" s="107" t="s">
        <v>36</v>
      </c>
      <c r="G1940" s="65" t="s">
        <v>61</v>
      </c>
      <c r="H1940" s="65" t="s">
        <v>94</v>
      </c>
      <c r="I1940" s="80" t="s">
        <v>2918</v>
      </c>
      <c r="J1940" s="65" t="s">
        <v>53</v>
      </c>
      <c r="K1940" s="91" t="s">
        <v>2919</v>
      </c>
      <c r="L1940" s="87"/>
      <c r="M1940" s="65"/>
      <c r="N1940" s="65"/>
      <c r="O1940" s="81"/>
      <c r="P1940" s="82"/>
      <c r="Q1940" s="65" t="s">
        <v>43</v>
      </c>
      <c r="R1940" s="65"/>
    </row>
    <row r="1941" ht="27.6" spans="1:18">
      <c r="A1941" s="58">
        <v>1920</v>
      </c>
      <c r="B1941" s="117">
        <v>45937</v>
      </c>
      <c r="C1941" s="118" t="s">
        <v>641</v>
      </c>
      <c r="D1941" s="65" t="s">
        <v>72</v>
      </c>
      <c r="E1941" s="119" t="s">
        <v>804</v>
      </c>
      <c r="F1941" s="107" t="s">
        <v>36</v>
      </c>
      <c r="G1941" s="65" t="s">
        <v>1850</v>
      </c>
      <c r="H1941" s="65" t="s">
        <v>1008</v>
      </c>
      <c r="I1941" s="80" t="s">
        <v>2920</v>
      </c>
      <c r="J1941" s="65" t="s">
        <v>53</v>
      </c>
      <c r="K1941" s="91" t="s">
        <v>2921</v>
      </c>
      <c r="L1941" s="87"/>
      <c r="M1941" s="65"/>
      <c r="N1941" s="65"/>
      <c r="O1941" s="81"/>
      <c r="P1941" s="82"/>
      <c r="Q1941" s="65" t="s">
        <v>43</v>
      </c>
      <c r="R1941" s="65"/>
    </row>
    <row r="1942" ht="27.6" spans="1:18">
      <c r="A1942" s="58">
        <v>1921</v>
      </c>
      <c r="B1942" s="117">
        <v>45939</v>
      </c>
      <c r="C1942" s="118" t="s">
        <v>641</v>
      </c>
      <c r="D1942" s="65" t="s">
        <v>72</v>
      </c>
      <c r="E1942" s="119" t="s">
        <v>804</v>
      </c>
      <c r="F1942" s="107" t="s">
        <v>36</v>
      </c>
      <c r="G1942" s="65" t="s">
        <v>131</v>
      </c>
      <c r="H1942" s="65" t="s">
        <v>38</v>
      </c>
      <c r="I1942" s="80" t="s">
        <v>2922</v>
      </c>
      <c r="J1942" s="65" t="s">
        <v>53</v>
      </c>
      <c r="K1942" s="91" t="s">
        <v>2923</v>
      </c>
      <c r="L1942" s="87"/>
      <c r="M1942" s="65"/>
      <c r="N1942" s="65"/>
      <c r="O1942" s="81"/>
      <c r="P1942" s="82"/>
      <c r="Q1942" s="65" t="s">
        <v>43</v>
      </c>
      <c r="R1942" s="65"/>
    </row>
    <row r="1943" ht="27.6" spans="1:18">
      <c r="A1943" s="58">
        <v>1922</v>
      </c>
      <c r="B1943" s="117">
        <v>45938</v>
      </c>
      <c r="C1943" s="118" t="s">
        <v>641</v>
      </c>
      <c r="D1943" s="65" t="s">
        <v>72</v>
      </c>
      <c r="E1943" s="119" t="s">
        <v>804</v>
      </c>
      <c r="F1943" s="107" t="s">
        <v>36</v>
      </c>
      <c r="G1943" s="65" t="s">
        <v>79</v>
      </c>
      <c r="H1943" s="65" t="s">
        <v>56</v>
      </c>
      <c r="I1943" s="80" t="s">
        <v>2924</v>
      </c>
      <c r="J1943" s="65" t="s">
        <v>53</v>
      </c>
      <c r="K1943" s="91" t="s">
        <v>2925</v>
      </c>
      <c r="L1943" s="87"/>
      <c r="M1943" s="65"/>
      <c r="N1943" s="65"/>
      <c r="O1943" s="81"/>
      <c r="P1943" s="82"/>
      <c r="Q1943" s="65" t="s">
        <v>43</v>
      </c>
      <c r="R1943" s="65"/>
    </row>
    <row r="1944" ht="27.6" spans="1:18">
      <c r="A1944" s="58">
        <v>1923</v>
      </c>
      <c r="B1944" s="117">
        <v>45934</v>
      </c>
      <c r="C1944" s="118" t="s">
        <v>640</v>
      </c>
      <c r="D1944" s="65" t="s">
        <v>72</v>
      </c>
      <c r="E1944" s="119" t="s">
        <v>804</v>
      </c>
      <c r="F1944" s="107" t="s">
        <v>192</v>
      </c>
      <c r="G1944" s="65" t="s">
        <v>37</v>
      </c>
      <c r="H1944" s="65" t="s">
        <v>132</v>
      </c>
      <c r="I1944" s="80" t="s">
        <v>2926</v>
      </c>
      <c r="J1944" s="65" t="s">
        <v>137</v>
      </c>
      <c r="K1944" s="91" t="s">
        <v>2717</v>
      </c>
      <c r="L1944" s="87"/>
      <c r="M1944" s="65"/>
      <c r="N1944" s="65"/>
      <c r="O1944" s="81"/>
      <c r="P1944" s="82"/>
      <c r="Q1944" s="65" t="s">
        <v>8</v>
      </c>
      <c r="R1944" s="65"/>
    </row>
    <row r="1945" ht="41.4" spans="1:18">
      <c r="A1945" s="58">
        <v>1924</v>
      </c>
      <c r="B1945" s="117">
        <v>45935</v>
      </c>
      <c r="C1945" s="118" t="s">
        <v>640</v>
      </c>
      <c r="D1945" s="65" t="s">
        <v>72</v>
      </c>
      <c r="E1945" s="119" t="s">
        <v>804</v>
      </c>
      <c r="F1945" s="107" t="s">
        <v>36</v>
      </c>
      <c r="G1945" s="65" t="s">
        <v>37</v>
      </c>
      <c r="H1945" s="65" t="s">
        <v>94</v>
      </c>
      <c r="I1945" s="80" t="s">
        <v>2927</v>
      </c>
      <c r="J1945" s="65" t="s">
        <v>53</v>
      </c>
      <c r="K1945" s="91" t="s">
        <v>2928</v>
      </c>
      <c r="L1945" s="87"/>
      <c r="M1945" s="65"/>
      <c r="N1945" s="65"/>
      <c r="O1945" s="81"/>
      <c r="P1945" s="82"/>
      <c r="Q1945" s="65" t="s">
        <v>43</v>
      </c>
      <c r="R1945" s="65"/>
    </row>
    <row r="1946" ht="41.4" spans="1:18">
      <c r="A1946" s="58">
        <v>1925</v>
      </c>
      <c r="B1946" s="117">
        <v>45936</v>
      </c>
      <c r="C1946" s="118" t="s">
        <v>640</v>
      </c>
      <c r="D1946" s="65" t="s">
        <v>72</v>
      </c>
      <c r="E1946" s="119" t="s">
        <v>804</v>
      </c>
      <c r="F1946" s="107" t="s">
        <v>36</v>
      </c>
      <c r="G1946" s="65" t="s">
        <v>55</v>
      </c>
      <c r="H1946" s="65" t="s">
        <v>56</v>
      </c>
      <c r="I1946" s="80" t="s">
        <v>2929</v>
      </c>
      <c r="J1946" s="65" t="s">
        <v>53</v>
      </c>
      <c r="K1946" s="91" t="s">
        <v>2930</v>
      </c>
      <c r="L1946" s="87"/>
      <c r="M1946" s="65"/>
      <c r="N1946" s="65"/>
      <c r="O1946" s="81"/>
      <c r="P1946" s="82"/>
      <c r="Q1946" s="65" t="s">
        <v>43</v>
      </c>
      <c r="R1946" s="65"/>
    </row>
    <row r="1947" ht="41.4" spans="1:18">
      <c r="A1947" s="58">
        <v>1926</v>
      </c>
      <c r="B1947" s="117">
        <v>45937</v>
      </c>
      <c r="C1947" s="118" t="s">
        <v>640</v>
      </c>
      <c r="D1947" s="65" t="s">
        <v>72</v>
      </c>
      <c r="E1947" s="119" t="s">
        <v>804</v>
      </c>
      <c r="F1947" s="107" t="s">
        <v>36</v>
      </c>
      <c r="G1947" s="65" t="s">
        <v>65</v>
      </c>
      <c r="H1947" s="65" t="s">
        <v>128</v>
      </c>
      <c r="I1947" s="80" t="s">
        <v>2931</v>
      </c>
      <c r="J1947" s="65" t="s">
        <v>53</v>
      </c>
      <c r="K1947" s="91" t="s">
        <v>2932</v>
      </c>
      <c r="L1947" s="87"/>
      <c r="M1947" s="65"/>
      <c r="N1947" s="65"/>
      <c r="O1947" s="81"/>
      <c r="P1947" s="82"/>
      <c r="Q1947" s="65" t="s">
        <v>43</v>
      </c>
      <c r="R1947" s="65"/>
    </row>
    <row r="1948" ht="55.2" spans="1:18">
      <c r="A1948" s="58">
        <v>1927</v>
      </c>
      <c r="B1948" s="117">
        <v>45938</v>
      </c>
      <c r="C1948" s="118" t="s">
        <v>640</v>
      </c>
      <c r="D1948" s="65" t="s">
        <v>72</v>
      </c>
      <c r="E1948" s="119" t="s">
        <v>804</v>
      </c>
      <c r="F1948" s="107" t="s">
        <v>50</v>
      </c>
      <c r="G1948" s="65" t="s">
        <v>37</v>
      </c>
      <c r="H1948" s="65" t="s">
        <v>94</v>
      </c>
      <c r="I1948" s="80" t="s">
        <v>2933</v>
      </c>
      <c r="J1948" s="65" t="s">
        <v>53</v>
      </c>
      <c r="K1948" s="91" t="s">
        <v>2934</v>
      </c>
      <c r="L1948" s="87"/>
      <c r="M1948" s="65"/>
      <c r="N1948" s="65"/>
      <c r="O1948" s="81"/>
      <c r="P1948" s="82"/>
      <c r="Q1948" s="65" t="s">
        <v>43</v>
      </c>
      <c r="R1948" s="65"/>
    </row>
    <row r="1949" ht="41.4" spans="1:18">
      <c r="A1949" s="58">
        <v>1928</v>
      </c>
      <c r="B1949" s="117">
        <v>45939</v>
      </c>
      <c r="C1949" s="118" t="s">
        <v>640</v>
      </c>
      <c r="D1949" s="65" t="s">
        <v>72</v>
      </c>
      <c r="E1949" s="119" t="s">
        <v>804</v>
      </c>
      <c r="F1949" s="107" t="s">
        <v>36</v>
      </c>
      <c r="G1949" s="65" t="s">
        <v>37</v>
      </c>
      <c r="H1949" s="65" t="s">
        <v>128</v>
      </c>
      <c r="I1949" s="80" t="s">
        <v>2935</v>
      </c>
      <c r="J1949" s="65" t="s">
        <v>53</v>
      </c>
      <c r="K1949" s="91" t="s">
        <v>2936</v>
      </c>
      <c r="L1949" s="87"/>
      <c r="M1949" s="65"/>
      <c r="N1949" s="65"/>
      <c r="O1949" s="81"/>
      <c r="P1949" s="82"/>
      <c r="Q1949" s="65" t="s">
        <v>43</v>
      </c>
      <c r="R1949" s="65"/>
    </row>
    <row r="1950" ht="55.2" spans="1:18">
      <c r="A1950" s="58">
        <v>1929</v>
      </c>
      <c r="B1950" s="117">
        <v>45940</v>
      </c>
      <c r="C1950" s="118" t="s">
        <v>640</v>
      </c>
      <c r="D1950" s="65" t="s">
        <v>72</v>
      </c>
      <c r="E1950" s="119" t="s">
        <v>804</v>
      </c>
      <c r="F1950" s="107" t="s">
        <v>36</v>
      </c>
      <c r="G1950" s="65" t="s">
        <v>1790</v>
      </c>
      <c r="H1950" s="65" t="s">
        <v>56</v>
      </c>
      <c r="I1950" s="80" t="s">
        <v>2937</v>
      </c>
      <c r="J1950" s="65" t="s">
        <v>53</v>
      </c>
      <c r="K1950" s="91" t="s">
        <v>2938</v>
      </c>
      <c r="L1950" s="87"/>
      <c r="M1950" s="65"/>
      <c r="N1950" s="65"/>
      <c r="O1950" s="81"/>
      <c r="P1950" s="82"/>
      <c r="Q1950" s="65" t="s">
        <v>43</v>
      </c>
      <c r="R1950" s="65"/>
    </row>
    <row r="1951" ht="26.4" spans="1:18">
      <c r="A1951" s="58">
        <v>1930</v>
      </c>
      <c r="B1951" s="117">
        <v>45936</v>
      </c>
      <c r="C1951" s="118" t="s">
        <v>659</v>
      </c>
      <c r="D1951" s="65" t="s">
        <v>72</v>
      </c>
      <c r="E1951" s="119" t="s">
        <v>804</v>
      </c>
      <c r="F1951" s="107" t="s">
        <v>50</v>
      </c>
      <c r="G1951" s="65" t="s">
        <v>45</v>
      </c>
      <c r="H1951" s="65" t="s">
        <v>51</v>
      </c>
      <c r="I1951" s="80" t="s">
        <v>2939</v>
      </c>
      <c r="J1951" s="65" t="s">
        <v>53</v>
      </c>
      <c r="K1951" s="91" t="s">
        <v>2940</v>
      </c>
      <c r="L1951" s="87"/>
      <c r="M1951" s="65"/>
      <c r="N1951" s="65"/>
      <c r="O1951" s="81"/>
      <c r="P1951" s="82"/>
      <c r="Q1951" s="65" t="s">
        <v>43</v>
      </c>
      <c r="R1951" s="65"/>
    </row>
    <row r="1952" ht="26.4" spans="1:18">
      <c r="A1952" s="58">
        <v>1931</v>
      </c>
      <c r="B1952" s="117">
        <v>45934</v>
      </c>
      <c r="C1952" s="118" t="s">
        <v>659</v>
      </c>
      <c r="D1952" s="65" t="s">
        <v>72</v>
      </c>
      <c r="E1952" s="119" t="s">
        <v>804</v>
      </c>
      <c r="F1952" s="107" t="s">
        <v>36</v>
      </c>
      <c r="G1952" s="65" t="s">
        <v>131</v>
      </c>
      <c r="H1952" s="65" t="s">
        <v>94</v>
      </c>
      <c r="I1952" s="80" t="s">
        <v>2941</v>
      </c>
      <c r="J1952" s="65" t="s">
        <v>53</v>
      </c>
      <c r="K1952" s="91" t="s">
        <v>2940</v>
      </c>
      <c r="L1952" s="87"/>
      <c r="M1952" s="65"/>
      <c r="N1952" s="65"/>
      <c r="O1952" s="81"/>
      <c r="P1952" s="82"/>
      <c r="Q1952" s="65" t="s">
        <v>43</v>
      </c>
      <c r="R1952" s="65"/>
    </row>
    <row r="1953" ht="13.8" spans="1:18">
      <c r="A1953" s="58">
        <v>1932</v>
      </c>
      <c r="B1953" s="117">
        <v>45934</v>
      </c>
      <c r="C1953" s="118" t="s">
        <v>659</v>
      </c>
      <c r="D1953" s="65" t="s">
        <v>72</v>
      </c>
      <c r="E1953" s="119" t="s">
        <v>804</v>
      </c>
      <c r="F1953" s="107" t="s">
        <v>36</v>
      </c>
      <c r="G1953" s="65" t="s">
        <v>79</v>
      </c>
      <c r="H1953" s="65" t="s">
        <v>989</v>
      </c>
      <c r="I1953" s="80" t="s">
        <v>2942</v>
      </c>
      <c r="J1953" s="65" t="s">
        <v>53</v>
      </c>
      <c r="K1953" s="91" t="s">
        <v>2940</v>
      </c>
      <c r="L1953" s="87"/>
      <c r="M1953" s="65"/>
      <c r="N1953" s="65"/>
      <c r="O1953" s="81"/>
      <c r="P1953" s="82"/>
      <c r="Q1953" s="65" t="s">
        <v>43</v>
      </c>
      <c r="R1953" s="65"/>
    </row>
    <row r="1954" ht="26.4" spans="1:18">
      <c r="A1954" s="58">
        <v>1933</v>
      </c>
      <c r="B1954" s="117">
        <v>45935</v>
      </c>
      <c r="C1954" s="118" t="s">
        <v>659</v>
      </c>
      <c r="D1954" s="65" t="s">
        <v>72</v>
      </c>
      <c r="E1954" s="119" t="s">
        <v>804</v>
      </c>
      <c r="F1954" s="107" t="s">
        <v>36</v>
      </c>
      <c r="G1954" s="65" t="s">
        <v>79</v>
      </c>
      <c r="H1954" s="65" t="s">
        <v>94</v>
      </c>
      <c r="I1954" s="80" t="s">
        <v>2943</v>
      </c>
      <c r="J1954" s="65" t="s">
        <v>53</v>
      </c>
      <c r="K1954" s="91" t="s">
        <v>2940</v>
      </c>
      <c r="L1954" s="87"/>
      <c r="M1954" s="65"/>
      <c r="N1954" s="65"/>
      <c r="O1954" s="81"/>
      <c r="P1954" s="82"/>
      <c r="Q1954" s="65" t="s">
        <v>43</v>
      </c>
      <c r="R1954" s="65"/>
    </row>
    <row r="1955" ht="26.4" spans="1:18">
      <c r="A1955" s="58">
        <v>1934</v>
      </c>
      <c r="B1955" s="117">
        <v>45936</v>
      </c>
      <c r="C1955" s="118" t="s">
        <v>659</v>
      </c>
      <c r="D1955" s="65" t="s">
        <v>72</v>
      </c>
      <c r="E1955" s="119" t="s">
        <v>804</v>
      </c>
      <c r="F1955" s="107" t="s">
        <v>36</v>
      </c>
      <c r="G1955" s="65" t="s">
        <v>82</v>
      </c>
      <c r="H1955" s="65" t="s">
        <v>128</v>
      </c>
      <c r="I1955" s="80" t="s">
        <v>2944</v>
      </c>
      <c r="J1955" s="65" t="s">
        <v>53</v>
      </c>
      <c r="K1955" s="91" t="s">
        <v>2940</v>
      </c>
      <c r="L1955" s="87"/>
      <c r="M1955" s="65"/>
      <c r="N1955" s="65"/>
      <c r="O1955" s="81"/>
      <c r="P1955" s="82"/>
      <c r="Q1955" s="65" t="s">
        <v>43</v>
      </c>
      <c r="R1955" s="65"/>
    </row>
    <row r="1956" ht="39.6" spans="1:18">
      <c r="A1956" s="58">
        <v>1935</v>
      </c>
      <c r="B1956" s="117">
        <v>45944</v>
      </c>
      <c r="C1956" s="118" t="s">
        <v>100</v>
      </c>
      <c r="D1956" s="65" t="s">
        <v>60</v>
      </c>
      <c r="E1956" s="119" t="s">
        <v>101</v>
      </c>
      <c r="F1956" s="107" t="s">
        <v>36</v>
      </c>
      <c r="G1956" s="65" t="s">
        <v>262</v>
      </c>
      <c r="H1956" s="65" t="s">
        <v>56</v>
      </c>
      <c r="I1956" s="80" t="s">
        <v>2945</v>
      </c>
      <c r="J1956" s="65" t="s">
        <v>88</v>
      </c>
      <c r="K1956" s="91" t="s">
        <v>2946</v>
      </c>
      <c r="L1956" s="87"/>
      <c r="M1956" s="65"/>
      <c r="N1956" s="65"/>
      <c r="O1956" s="81"/>
      <c r="P1956" s="82"/>
      <c r="Q1956" s="65" t="s">
        <v>43</v>
      </c>
      <c r="R1956" s="65"/>
    </row>
    <row r="1957" ht="55.2" spans="1:18">
      <c r="A1957" s="58">
        <v>1936</v>
      </c>
      <c r="B1957" s="117">
        <v>45944</v>
      </c>
      <c r="C1957" s="118" t="s">
        <v>100</v>
      </c>
      <c r="D1957" s="65" t="s">
        <v>60</v>
      </c>
      <c r="E1957" s="119" t="s">
        <v>101</v>
      </c>
      <c r="F1957" s="107" t="s">
        <v>36</v>
      </c>
      <c r="G1957" s="65" t="s">
        <v>588</v>
      </c>
      <c r="H1957" s="65" t="s">
        <v>56</v>
      </c>
      <c r="I1957" s="80" t="s">
        <v>2947</v>
      </c>
      <c r="J1957" s="65" t="s">
        <v>88</v>
      </c>
      <c r="K1957" s="91" t="s">
        <v>2948</v>
      </c>
      <c r="L1957" s="87"/>
      <c r="M1957" s="65"/>
      <c r="N1957" s="65"/>
      <c r="O1957" s="81"/>
      <c r="P1957" s="82"/>
      <c r="Q1957" s="65" t="s">
        <v>43</v>
      </c>
      <c r="R1957" s="65"/>
    </row>
    <row r="1958" ht="79.2" spans="1:18">
      <c r="A1958" s="58">
        <v>1937</v>
      </c>
      <c r="B1958" s="117">
        <v>45944</v>
      </c>
      <c r="C1958" s="118" t="s">
        <v>100</v>
      </c>
      <c r="D1958" s="65" t="s">
        <v>60</v>
      </c>
      <c r="E1958" s="119" t="s">
        <v>101</v>
      </c>
      <c r="F1958" s="107" t="s">
        <v>50</v>
      </c>
      <c r="G1958" s="65" t="s">
        <v>588</v>
      </c>
      <c r="H1958" s="65" t="s">
        <v>51</v>
      </c>
      <c r="I1958" s="80" t="s">
        <v>2949</v>
      </c>
      <c r="J1958" s="65" t="s">
        <v>88</v>
      </c>
      <c r="K1958" s="91" t="s">
        <v>2950</v>
      </c>
      <c r="L1958" s="87" t="s">
        <v>2951</v>
      </c>
      <c r="M1958" s="65"/>
      <c r="N1958" s="65"/>
      <c r="O1958" s="81"/>
      <c r="P1958" s="82"/>
      <c r="Q1958" s="65" t="s">
        <v>43</v>
      </c>
      <c r="R1958" s="65"/>
    </row>
    <row r="1959" ht="41.4" spans="1:18">
      <c r="A1959" s="58">
        <v>1938</v>
      </c>
      <c r="B1959" s="117">
        <v>45944</v>
      </c>
      <c r="C1959" s="118" t="s">
        <v>597</v>
      </c>
      <c r="D1959" s="65" t="s">
        <v>60</v>
      </c>
      <c r="E1959" s="119" t="s">
        <v>804</v>
      </c>
      <c r="F1959" s="107" t="s">
        <v>50</v>
      </c>
      <c r="G1959" s="65" t="s">
        <v>55</v>
      </c>
      <c r="H1959" s="65" t="s">
        <v>51</v>
      </c>
      <c r="I1959" s="80" t="s">
        <v>2952</v>
      </c>
      <c r="J1959" s="65" t="s">
        <v>88</v>
      </c>
      <c r="K1959" s="91" t="s">
        <v>2953</v>
      </c>
      <c r="L1959" s="87" t="s">
        <v>2954</v>
      </c>
      <c r="M1959" s="65"/>
      <c r="N1959" s="65"/>
      <c r="O1959" s="81"/>
      <c r="P1959" s="82"/>
      <c r="Q1959" s="65" t="s">
        <v>43</v>
      </c>
      <c r="R1959" s="65"/>
    </row>
    <row r="1960" ht="41.4" spans="1:18">
      <c r="A1960" s="58">
        <v>1939</v>
      </c>
      <c r="B1960" s="117">
        <v>45944</v>
      </c>
      <c r="C1960" s="118" t="s">
        <v>597</v>
      </c>
      <c r="D1960" s="65" t="s">
        <v>60</v>
      </c>
      <c r="E1960" s="119" t="s">
        <v>804</v>
      </c>
      <c r="F1960" s="107" t="s">
        <v>36</v>
      </c>
      <c r="G1960" s="65" t="s">
        <v>37</v>
      </c>
      <c r="H1960" s="65" t="s">
        <v>94</v>
      </c>
      <c r="I1960" s="80" t="s">
        <v>2955</v>
      </c>
      <c r="J1960" s="65" t="s">
        <v>88</v>
      </c>
      <c r="K1960" s="91" t="s">
        <v>2956</v>
      </c>
      <c r="L1960" s="87" t="s">
        <v>2957</v>
      </c>
      <c r="M1960" s="65"/>
      <c r="N1960" s="65"/>
      <c r="O1960" s="81"/>
      <c r="P1960" s="82"/>
      <c r="Q1960" s="65" t="s">
        <v>43</v>
      </c>
      <c r="R1960" s="65"/>
    </row>
    <row r="1961" ht="69" spans="1:18">
      <c r="A1961" s="58">
        <v>1940</v>
      </c>
      <c r="B1961" s="117">
        <v>45944</v>
      </c>
      <c r="C1961" s="118" t="s">
        <v>597</v>
      </c>
      <c r="D1961" s="65" t="s">
        <v>60</v>
      </c>
      <c r="E1961" s="119" t="s">
        <v>804</v>
      </c>
      <c r="F1961" s="107" t="s">
        <v>36</v>
      </c>
      <c r="G1961" s="65" t="s">
        <v>37</v>
      </c>
      <c r="H1961" s="65" t="s">
        <v>94</v>
      </c>
      <c r="I1961" s="80" t="s">
        <v>2958</v>
      </c>
      <c r="J1961" s="65" t="s">
        <v>88</v>
      </c>
      <c r="K1961" s="91" t="s">
        <v>2959</v>
      </c>
      <c r="L1961" s="87" t="s">
        <v>2960</v>
      </c>
      <c r="M1961" s="65"/>
      <c r="N1961" s="65"/>
      <c r="O1961" s="81"/>
      <c r="P1961" s="82"/>
      <c r="Q1961" s="65" t="s">
        <v>43</v>
      </c>
      <c r="R1961" s="65"/>
    </row>
    <row r="1962" ht="13.8" spans="1:18">
      <c r="A1962" s="58">
        <v>1941</v>
      </c>
      <c r="B1962" s="117">
        <v>45947</v>
      </c>
      <c r="C1962" s="118" t="s">
        <v>597</v>
      </c>
      <c r="D1962" s="65" t="s">
        <v>60</v>
      </c>
      <c r="E1962" s="119" t="s">
        <v>804</v>
      </c>
      <c r="F1962" s="107" t="s">
        <v>192</v>
      </c>
      <c r="G1962" s="65" t="s">
        <v>37</v>
      </c>
      <c r="H1962" s="65" t="s">
        <v>51</v>
      </c>
      <c r="I1962" s="80" t="s">
        <v>2961</v>
      </c>
      <c r="J1962" s="65" t="s">
        <v>137</v>
      </c>
      <c r="K1962" s="91" t="s">
        <v>2962</v>
      </c>
      <c r="L1962" s="87"/>
      <c r="M1962" s="65"/>
      <c r="N1962" s="65"/>
      <c r="O1962" s="81"/>
      <c r="P1962" s="82"/>
      <c r="Q1962" s="65" t="s">
        <v>8</v>
      </c>
      <c r="R1962" s="65"/>
    </row>
    <row r="1963" ht="92.4" spans="1:18">
      <c r="A1963" s="58">
        <v>1942</v>
      </c>
      <c r="B1963" s="117">
        <v>45947</v>
      </c>
      <c r="C1963" s="118" t="s">
        <v>2963</v>
      </c>
      <c r="D1963" s="65" t="s">
        <v>60</v>
      </c>
      <c r="E1963" s="119" t="s">
        <v>163</v>
      </c>
      <c r="F1963" s="107" t="s">
        <v>36</v>
      </c>
      <c r="G1963" s="65" t="s">
        <v>588</v>
      </c>
      <c r="H1963" s="65" t="s">
        <v>56</v>
      </c>
      <c r="I1963" s="80" t="s">
        <v>2964</v>
      </c>
      <c r="J1963" s="65" t="s">
        <v>88</v>
      </c>
      <c r="K1963" s="91" t="s">
        <v>2965</v>
      </c>
      <c r="L1963" s="87"/>
      <c r="M1963" s="65"/>
      <c r="N1963" s="65"/>
      <c r="O1963" s="81"/>
      <c r="P1963" s="82"/>
      <c r="Q1963" s="65" t="s">
        <v>43</v>
      </c>
      <c r="R1963" s="65"/>
    </row>
    <row r="1964" ht="27.6" spans="1:18">
      <c r="A1964" s="58">
        <v>1943</v>
      </c>
      <c r="B1964" s="117">
        <v>45941</v>
      </c>
      <c r="C1964" s="118" t="s">
        <v>641</v>
      </c>
      <c r="D1964" s="65" t="s">
        <v>72</v>
      </c>
      <c r="E1964" s="119" t="s">
        <v>804</v>
      </c>
      <c r="F1964" s="107" t="s">
        <v>36</v>
      </c>
      <c r="G1964" s="65" t="s">
        <v>131</v>
      </c>
      <c r="H1964" s="65" t="s">
        <v>94</v>
      </c>
      <c r="I1964" s="80" t="s">
        <v>2966</v>
      </c>
      <c r="J1964" s="65" t="s">
        <v>53</v>
      </c>
      <c r="K1964" s="91" t="s">
        <v>2967</v>
      </c>
      <c r="L1964" s="87"/>
      <c r="M1964" s="65"/>
      <c r="N1964" s="65"/>
      <c r="O1964" s="81"/>
      <c r="P1964" s="82"/>
      <c r="Q1964" s="65" t="s">
        <v>43</v>
      </c>
      <c r="R1964" s="65"/>
    </row>
    <row r="1965" ht="27.6" spans="1:18">
      <c r="A1965" s="58">
        <v>1944</v>
      </c>
      <c r="B1965" s="117">
        <v>45942</v>
      </c>
      <c r="C1965" s="118" t="s">
        <v>641</v>
      </c>
      <c r="D1965" s="65" t="s">
        <v>72</v>
      </c>
      <c r="E1965" s="119" t="s">
        <v>804</v>
      </c>
      <c r="F1965" s="107" t="s">
        <v>36</v>
      </c>
      <c r="G1965" s="65" t="s">
        <v>1850</v>
      </c>
      <c r="H1965" s="65" t="s">
        <v>94</v>
      </c>
      <c r="I1965" s="80" t="s">
        <v>2968</v>
      </c>
      <c r="J1965" s="65" t="s">
        <v>53</v>
      </c>
      <c r="K1965" s="91" t="s">
        <v>2969</v>
      </c>
      <c r="L1965" s="87"/>
      <c r="M1965" s="65"/>
      <c r="N1965" s="65"/>
      <c r="O1965" s="81"/>
      <c r="P1965" s="82"/>
      <c r="Q1965" s="65" t="s">
        <v>43</v>
      </c>
      <c r="R1965" s="65"/>
    </row>
    <row r="1966" ht="27.6" spans="1:18">
      <c r="A1966" s="58">
        <v>1945</v>
      </c>
      <c r="B1966" s="117">
        <v>45943</v>
      </c>
      <c r="C1966" s="118" t="s">
        <v>641</v>
      </c>
      <c r="D1966" s="65" t="s">
        <v>72</v>
      </c>
      <c r="E1966" s="119" t="s">
        <v>804</v>
      </c>
      <c r="F1966" s="107" t="s">
        <v>36</v>
      </c>
      <c r="G1966" s="65" t="s">
        <v>61</v>
      </c>
      <c r="H1966" s="65" t="s">
        <v>56</v>
      </c>
      <c r="I1966" s="80" t="s">
        <v>2970</v>
      </c>
      <c r="J1966" s="65" t="s">
        <v>53</v>
      </c>
      <c r="K1966" s="91" t="s">
        <v>2971</v>
      </c>
      <c r="L1966" s="87"/>
      <c r="M1966" s="65"/>
      <c r="N1966" s="65"/>
      <c r="O1966" s="81"/>
      <c r="P1966" s="82"/>
      <c r="Q1966" s="65" t="s">
        <v>43</v>
      </c>
      <c r="R1966" s="65"/>
    </row>
    <row r="1967" ht="41.4" spans="1:18">
      <c r="A1967" s="58">
        <v>1946</v>
      </c>
      <c r="B1967" s="117">
        <v>45945</v>
      </c>
      <c r="C1967" s="118" t="s">
        <v>641</v>
      </c>
      <c r="D1967" s="65" t="s">
        <v>72</v>
      </c>
      <c r="E1967" s="119" t="s">
        <v>804</v>
      </c>
      <c r="F1967" s="107" t="s">
        <v>36</v>
      </c>
      <c r="G1967" s="65" t="s">
        <v>79</v>
      </c>
      <c r="H1967" s="65" t="s">
        <v>51</v>
      </c>
      <c r="I1967" s="80" t="s">
        <v>2972</v>
      </c>
      <c r="J1967" s="65" t="s">
        <v>53</v>
      </c>
      <c r="K1967" s="91" t="s">
        <v>2973</v>
      </c>
      <c r="L1967" s="87"/>
      <c r="M1967" s="65"/>
      <c r="N1967" s="65"/>
      <c r="O1967" s="81"/>
      <c r="P1967" s="82"/>
      <c r="Q1967" s="65" t="s">
        <v>43</v>
      </c>
      <c r="R1967" s="65"/>
    </row>
    <row r="1968" ht="27.6" spans="1:18">
      <c r="A1968" s="58">
        <v>1947</v>
      </c>
      <c r="B1968" s="117">
        <v>45947</v>
      </c>
      <c r="C1968" s="118" t="s">
        <v>641</v>
      </c>
      <c r="D1968" s="65" t="s">
        <v>72</v>
      </c>
      <c r="E1968" s="119" t="s">
        <v>804</v>
      </c>
      <c r="F1968" s="107" t="s">
        <v>36</v>
      </c>
      <c r="G1968" s="65" t="s">
        <v>61</v>
      </c>
      <c r="H1968" s="65" t="s">
        <v>46</v>
      </c>
      <c r="I1968" s="80" t="s">
        <v>2974</v>
      </c>
      <c r="J1968" s="65" t="s">
        <v>53</v>
      </c>
      <c r="K1968" s="91" t="s">
        <v>2975</v>
      </c>
      <c r="L1968" s="87"/>
      <c r="M1968" s="65"/>
      <c r="N1968" s="65"/>
      <c r="O1968" s="81"/>
      <c r="P1968" s="82"/>
      <c r="Q1968" s="65" t="s">
        <v>43</v>
      </c>
      <c r="R1968" s="65"/>
    </row>
    <row r="1969" ht="55.2" spans="1:18">
      <c r="A1969" s="58">
        <v>1948</v>
      </c>
      <c r="B1969" s="117">
        <v>45941</v>
      </c>
      <c r="C1969" s="118" t="s">
        <v>640</v>
      </c>
      <c r="D1969" s="65" t="s">
        <v>72</v>
      </c>
      <c r="E1969" s="119" t="s">
        <v>804</v>
      </c>
      <c r="F1969" s="107" t="s">
        <v>36</v>
      </c>
      <c r="G1969" s="65" t="s">
        <v>65</v>
      </c>
      <c r="H1969" s="65" t="s">
        <v>56</v>
      </c>
      <c r="I1969" s="80" t="s">
        <v>2976</v>
      </c>
      <c r="J1969" s="65" t="s">
        <v>53</v>
      </c>
      <c r="K1969" s="91" t="s">
        <v>2977</v>
      </c>
      <c r="L1969" s="87"/>
      <c r="M1969" s="65"/>
      <c r="N1969" s="65"/>
      <c r="O1969" s="81"/>
      <c r="P1969" s="82"/>
      <c r="Q1969" s="65" t="s">
        <v>43</v>
      </c>
      <c r="R1969" s="65"/>
    </row>
    <row r="1970" ht="55.2" spans="1:18">
      <c r="A1970" s="58">
        <v>1949</v>
      </c>
      <c r="B1970" s="117">
        <v>45942</v>
      </c>
      <c r="C1970" s="118" t="s">
        <v>640</v>
      </c>
      <c r="D1970" s="65" t="s">
        <v>72</v>
      </c>
      <c r="E1970" s="119" t="s">
        <v>804</v>
      </c>
      <c r="F1970" s="107" t="s">
        <v>50</v>
      </c>
      <c r="G1970" s="65" t="s">
        <v>55</v>
      </c>
      <c r="H1970" s="65" t="s">
        <v>51</v>
      </c>
      <c r="I1970" s="80" t="s">
        <v>2978</v>
      </c>
      <c r="J1970" s="65" t="s">
        <v>53</v>
      </c>
      <c r="K1970" s="91" t="s">
        <v>2979</v>
      </c>
      <c r="L1970" s="87"/>
      <c r="M1970" s="65"/>
      <c r="N1970" s="65"/>
      <c r="O1970" s="81"/>
      <c r="P1970" s="82"/>
      <c r="Q1970" s="65" t="s">
        <v>43</v>
      </c>
      <c r="R1970" s="65"/>
    </row>
    <row r="1971" ht="41.4" spans="1:18">
      <c r="A1971" s="58">
        <v>1950</v>
      </c>
      <c r="B1971" s="117">
        <v>45943</v>
      </c>
      <c r="C1971" s="118" t="s">
        <v>640</v>
      </c>
      <c r="D1971" s="65" t="s">
        <v>72</v>
      </c>
      <c r="E1971" s="119" t="s">
        <v>804</v>
      </c>
      <c r="F1971" s="107" t="s">
        <v>36</v>
      </c>
      <c r="G1971" s="65" t="s">
        <v>37</v>
      </c>
      <c r="H1971" s="65" t="s">
        <v>132</v>
      </c>
      <c r="I1971" s="80" t="s">
        <v>2980</v>
      </c>
      <c r="J1971" s="65" t="s">
        <v>53</v>
      </c>
      <c r="K1971" s="91" t="s">
        <v>2981</v>
      </c>
      <c r="L1971" s="87" t="s">
        <v>2982</v>
      </c>
      <c r="M1971" s="65"/>
      <c r="N1971" s="65"/>
      <c r="O1971" s="81"/>
      <c r="P1971" s="82"/>
      <c r="Q1971" s="65" t="s">
        <v>43</v>
      </c>
      <c r="R1971" s="65"/>
    </row>
    <row r="1972" ht="41.4" spans="1:18">
      <c r="A1972" s="58">
        <v>1951</v>
      </c>
      <c r="B1972" s="117">
        <v>45944</v>
      </c>
      <c r="C1972" s="118" t="s">
        <v>640</v>
      </c>
      <c r="D1972" s="65" t="s">
        <v>72</v>
      </c>
      <c r="E1972" s="119" t="s">
        <v>804</v>
      </c>
      <c r="F1972" s="107" t="s">
        <v>36</v>
      </c>
      <c r="G1972" s="65" t="s">
        <v>55</v>
      </c>
      <c r="H1972" s="65" t="s">
        <v>56</v>
      </c>
      <c r="I1972" s="80" t="s">
        <v>2983</v>
      </c>
      <c r="J1972" s="65" t="s">
        <v>53</v>
      </c>
      <c r="K1972" s="91" t="s">
        <v>2984</v>
      </c>
      <c r="L1972" s="87" t="s">
        <v>2985</v>
      </c>
      <c r="M1972" s="65"/>
      <c r="N1972" s="65"/>
      <c r="O1972" s="81"/>
      <c r="P1972" s="82"/>
      <c r="Q1972" s="65" t="s">
        <v>43</v>
      </c>
      <c r="R1972" s="65"/>
    </row>
    <row r="1973" ht="55.2" spans="1:18">
      <c r="A1973" s="58">
        <v>1952</v>
      </c>
      <c r="B1973" s="117">
        <v>45945</v>
      </c>
      <c r="C1973" s="118" t="s">
        <v>640</v>
      </c>
      <c r="D1973" s="65" t="s">
        <v>72</v>
      </c>
      <c r="E1973" s="119" t="s">
        <v>804</v>
      </c>
      <c r="F1973" s="107" t="s">
        <v>36</v>
      </c>
      <c r="G1973" s="65" t="s">
        <v>55</v>
      </c>
      <c r="H1973" s="65" t="s">
        <v>46</v>
      </c>
      <c r="I1973" s="80" t="s">
        <v>2986</v>
      </c>
      <c r="J1973" s="65" t="s">
        <v>53</v>
      </c>
      <c r="K1973" s="91" t="s">
        <v>2987</v>
      </c>
      <c r="L1973" s="87"/>
      <c r="M1973" s="65"/>
      <c r="N1973" s="65"/>
      <c r="O1973" s="81"/>
      <c r="P1973" s="82"/>
      <c r="Q1973" s="65" t="s">
        <v>43</v>
      </c>
      <c r="R1973" s="65"/>
    </row>
    <row r="1974" ht="26.4" spans="1:18">
      <c r="A1974" s="58">
        <v>1953</v>
      </c>
      <c r="B1974" s="117">
        <v>45943</v>
      </c>
      <c r="C1974" s="118" t="s">
        <v>659</v>
      </c>
      <c r="D1974" s="65" t="s">
        <v>72</v>
      </c>
      <c r="E1974" s="119" t="s">
        <v>804</v>
      </c>
      <c r="F1974" s="107" t="s">
        <v>50</v>
      </c>
      <c r="G1974" s="65" t="s">
        <v>65</v>
      </c>
      <c r="H1974" s="65" t="s">
        <v>46</v>
      </c>
      <c r="I1974" s="80" t="s">
        <v>2988</v>
      </c>
      <c r="J1974" s="65" t="s">
        <v>53</v>
      </c>
      <c r="K1974" s="91" t="s">
        <v>2989</v>
      </c>
      <c r="L1974" s="87"/>
      <c r="M1974" s="65"/>
      <c r="N1974" s="65"/>
      <c r="O1974" s="81"/>
      <c r="P1974" s="82"/>
      <c r="Q1974" s="65" t="s">
        <v>43</v>
      </c>
      <c r="R1974" s="65"/>
    </row>
    <row r="1975" ht="13.8" spans="1:18">
      <c r="A1975" s="58">
        <v>1954</v>
      </c>
      <c r="B1975" s="117">
        <v>45944</v>
      </c>
      <c r="C1975" s="118" t="s">
        <v>659</v>
      </c>
      <c r="D1975" s="65" t="s">
        <v>72</v>
      </c>
      <c r="E1975" s="119" t="s">
        <v>804</v>
      </c>
      <c r="F1975" s="107" t="s">
        <v>50</v>
      </c>
      <c r="G1975" s="65" t="s">
        <v>65</v>
      </c>
      <c r="H1975" s="65" t="s">
        <v>46</v>
      </c>
      <c r="I1975" s="80" t="s">
        <v>2990</v>
      </c>
      <c r="J1975" s="65" t="s">
        <v>53</v>
      </c>
      <c r="K1975" s="91" t="s">
        <v>2989</v>
      </c>
      <c r="L1975" s="87"/>
      <c r="M1975" s="65"/>
      <c r="N1975" s="65"/>
      <c r="O1975" s="81"/>
      <c r="P1975" s="82"/>
      <c r="Q1975" s="65" t="s">
        <v>43</v>
      </c>
      <c r="R1975" s="65"/>
    </row>
    <row r="1976" ht="13.8" spans="1:18">
      <c r="A1976" s="58">
        <v>1955</v>
      </c>
      <c r="B1976" s="117">
        <v>45945</v>
      </c>
      <c r="C1976" s="118" t="s">
        <v>659</v>
      </c>
      <c r="D1976" s="65" t="s">
        <v>72</v>
      </c>
      <c r="E1976" s="119" t="s">
        <v>804</v>
      </c>
      <c r="F1976" s="107" t="s">
        <v>50</v>
      </c>
      <c r="G1976" s="65" t="s">
        <v>82</v>
      </c>
      <c r="H1976" s="65" t="s">
        <v>46</v>
      </c>
      <c r="I1976" s="80" t="s">
        <v>2991</v>
      </c>
      <c r="J1976" s="65" t="s">
        <v>53</v>
      </c>
      <c r="K1976" s="91" t="s">
        <v>2989</v>
      </c>
      <c r="L1976" s="87"/>
      <c r="M1976" s="65"/>
      <c r="N1976" s="65"/>
      <c r="O1976" s="81"/>
      <c r="P1976" s="82"/>
      <c r="Q1976" s="65" t="s">
        <v>43</v>
      </c>
      <c r="R1976" s="65"/>
    </row>
    <row r="1977" ht="26.4" spans="1:18">
      <c r="A1977" s="58">
        <v>1956</v>
      </c>
      <c r="B1977" s="117">
        <v>45942</v>
      </c>
      <c r="C1977" s="118" t="s">
        <v>659</v>
      </c>
      <c r="D1977" s="65" t="s">
        <v>72</v>
      </c>
      <c r="E1977" s="119" t="s">
        <v>804</v>
      </c>
      <c r="F1977" s="107" t="s">
        <v>36</v>
      </c>
      <c r="G1977" s="65" t="s">
        <v>82</v>
      </c>
      <c r="H1977" s="65" t="s">
        <v>56</v>
      </c>
      <c r="I1977" s="80" t="s">
        <v>2992</v>
      </c>
      <c r="J1977" s="65" t="s">
        <v>53</v>
      </c>
      <c r="K1977" s="91" t="s">
        <v>2940</v>
      </c>
      <c r="L1977" s="87"/>
      <c r="M1977" s="65"/>
      <c r="N1977" s="65"/>
      <c r="O1977" s="81"/>
      <c r="P1977" s="82"/>
      <c r="Q1977" s="65" t="s">
        <v>43</v>
      </c>
      <c r="R1977" s="65"/>
    </row>
    <row r="1978" ht="26.4" spans="1:18">
      <c r="A1978" s="58">
        <v>1957</v>
      </c>
      <c r="B1978" s="117">
        <v>45942</v>
      </c>
      <c r="C1978" s="118" t="s">
        <v>659</v>
      </c>
      <c r="D1978" s="65" t="s">
        <v>72</v>
      </c>
      <c r="E1978" s="119" t="s">
        <v>804</v>
      </c>
      <c r="F1978" s="107" t="s">
        <v>36</v>
      </c>
      <c r="G1978" s="65" t="s">
        <v>82</v>
      </c>
      <c r="H1978" s="65" t="s">
        <v>56</v>
      </c>
      <c r="I1978" s="80" t="s">
        <v>2993</v>
      </c>
      <c r="J1978" s="65" t="s">
        <v>53</v>
      </c>
      <c r="K1978" s="91" t="s">
        <v>2940</v>
      </c>
      <c r="L1978" s="87"/>
      <c r="M1978" s="65"/>
      <c r="N1978" s="65"/>
      <c r="O1978" s="81"/>
      <c r="P1978" s="82"/>
      <c r="Q1978" s="65" t="s">
        <v>43</v>
      </c>
      <c r="R1978" s="65"/>
    </row>
    <row r="1979" ht="27.6" spans="1:18">
      <c r="A1979" s="58">
        <v>1958</v>
      </c>
      <c r="B1979" s="117">
        <v>45946</v>
      </c>
      <c r="C1979" s="118" t="s">
        <v>659</v>
      </c>
      <c r="D1979" s="65" t="s">
        <v>72</v>
      </c>
      <c r="E1979" s="119" t="s">
        <v>804</v>
      </c>
      <c r="F1979" s="107" t="s">
        <v>135</v>
      </c>
      <c r="G1979" s="65" t="s">
        <v>79</v>
      </c>
      <c r="H1979" s="65" t="s">
        <v>132</v>
      </c>
      <c r="I1979" s="80" t="s">
        <v>2994</v>
      </c>
      <c r="J1979" s="65" t="s">
        <v>137</v>
      </c>
      <c r="K1979" s="91" t="s">
        <v>2995</v>
      </c>
      <c r="L1979" s="87"/>
      <c r="M1979" s="65"/>
      <c r="N1979" s="65"/>
      <c r="O1979" s="81"/>
      <c r="P1979" s="82"/>
      <c r="Q1979" s="65" t="s">
        <v>8</v>
      </c>
      <c r="R1979" s="65"/>
    </row>
    <row r="1980" ht="27.6" spans="1:18">
      <c r="A1980" s="58">
        <v>1959</v>
      </c>
      <c r="B1980" s="117">
        <v>45953</v>
      </c>
      <c r="C1980" s="118" t="s">
        <v>641</v>
      </c>
      <c r="D1980" s="65" t="s">
        <v>72</v>
      </c>
      <c r="E1980" s="119" t="s">
        <v>804</v>
      </c>
      <c r="F1980" s="107" t="s">
        <v>36</v>
      </c>
      <c r="G1980" s="65" t="s">
        <v>61</v>
      </c>
      <c r="H1980" s="65" t="s">
        <v>94</v>
      </c>
      <c r="I1980" s="80" t="s">
        <v>2996</v>
      </c>
      <c r="J1980" s="65" t="s">
        <v>53</v>
      </c>
      <c r="K1980" s="91" t="s">
        <v>2997</v>
      </c>
      <c r="L1980" s="87"/>
      <c r="M1980" s="65"/>
      <c r="N1980" s="65"/>
      <c r="O1980" s="81"/>
      <c r="P1980" s="82"/>
      <c r="Q1980" s="65" t="s">
        <v>43</v>
      </c>
      <c r="R1980" s="65"/>
    </row>
    <row r="1981" ht="27.6" spans="1:18">
      <c r="A1981" s="58">
        <v>1960</v>
      </c>
      <c r="B1981" s="117">
        <v>45950</v>
      </c>
      <c r="C1981" s="118" t="s">
        <v>641</v>
      </c>
      <c r="D1981" s="65" t="s">
        <v>72</v>
      </c>
      <c r="E1981" s="119" t="s">
        <v>804</v>
      </c>
      <c r="F1981" s="107" t="s">
        <v>36</v>
      </c>
      <c r="G1981" s="65" t="s">
        <v>1850</v>
      </c>
      <c r="H1981" s="65" t="s">
        <v>56</v>
      </c>
      <c r="I1981" s="80" t="s">
        <v>2998</v>
      </c>
      <c r="J1981" s="65" t="s">
        <v>53</v>
      </c>
      <c r="K1981" s="91" t="s">
        <v>2999</v>
      </c>
      <c r="L1981" s="87"/>
      <c r="M1981" s="65"/>
      <c r="N1981" s="65"/>
      <c r="O1981" s="81"/>
      <c r="P1981" s="82"/>
      <c r="Q1981" s="65" t="s">
        <v>43</v>
      </c>
      <c r="R1981" s="65"/>
    </row>
    <row r="1982" ht="41.4" spans="1:18">
      <c r="A1982" s="58">
        <v>1961</v>
      </c>
      <c r="B1982" s="117">
        <v>45948</v>
      </c>
      <c r="C1982" s="118" t="s">
        <v>641</v>
      </c>
      <c r="D1982" s="65" t="s">
        <v>72</v>
      </c>
      <c r="E1982" s="119" t="s">
        <v>804</v>
      </c>
      <c r="F1982" s="107" t="s">
        <v>36</v>
      </c>
      <c r="G1982" s="65" t="s">
        <v>61</v>
      </c>
      <c r="H1982" s="65" t="s">
        <v>46</v>
      </c>
      <c r="I1982" s="80" t="s">
        <v>3000</v>
      </c>
      <c r="J1982" s="65" t="s">
        <v>53</v>
      </c>
      <c r="K1982" s="91" t="s">
        <v>3001</v>
      </c>
      <c r="L1982" s="87"/>
      <c r="M1982" s="65"/>
      <c r="N1982" s="65"/>
      <c r="O1982" s="81"/>
      <c r="P1982" s="82"/>
      <c r="Q1982" s="65" t="s">
        <v>43</v>
      </c>
      <c r="R1982" s="65"/>
    </row>
    <row r="1983" ht="41.4" spans="1:18">
      <c r="A1983" s="58">
        <v>1962</v>
      </c>
      <c r="B1983" s="117">
        <v>45952</v>
      </c>
      <c r="C1983" s="118" t="s">
        <v>641</v>
      </c>
      <c r="D1983" s="65" t="s">
        <v>72</v>
      </c>
      <c r="E1983" s="119" t="s">
        <v>804</v>
      </c>
      <c r="F1983" s="107" t="s">
        <v>36</v>
      </c>
      <c r="G1983" s="65" t="s">
        <v>79</v>
      </c>
      <c r="H1983" s="65" t="s">
        <v>132</v>
      </c>
      <c r="I1983" s="80" t="s">
        <v>3002</v>
      </c>
      <c r="J1983" s="65" t="s">
        <v>53</v>
      </c>
      <c r="K1983" s="91" t="s">
        <v>3003</v>
      </c>
      <c r="L1983" s="87"/>
      <c r="M1983" s="65"/>
      <c r="N1983" s="65"/>
      <c r="O1983" s="81"/>
      <c r="P1983" s="82"/>
      <c r="Q1983" s="65" t="s">
        <v>43</v>
      </c>
      <c r="R1983" s="65"/>
    </row>
    <row r="1984" ht="41.4" spans="1:18">
      <c r="A1984" s="58">
        <v>1963</v>
      </c>
      <c r="B1984" s="117">
        <v>45949</v>
      </c>
      <c r="C1984" s="118" t="s">
        <v>641</v>
      </c>
      <c r="D1984" s="65" t="s">
        <v>72</v>
      </c>
      <c r="E1984" s="119" t="s">
        <v>804</v>
      </c>
      <c r="F1984" s="107" t="s">
        <v>36</v>
      </c>
      <c r="G1984" s="65" t="s">
        <v>82</v>
      </c>
      <c r="H1984" s="65" t="s">
        <v>66</v>
      </c>
      <c r="I1984" s="80" t="s">
        <v>3004</v>
      </c>
      <c r="J1984" s="65" t="s">
        <v>53</v>
      </c>
      <c r="K1984" s="91" t="s">
        <v>3005</v>
      </c>
      <c r="L1984" s="87"/>
      <c r="M1984" s="65"/>
      <c r="N1984" s="65"/>
      <c r="O1984" s="81"/>
      <c r="P1984" s="82"/>
      <c r="Q1984" s="65" t="s">
        <v>43</v>
      </c>
      <c r="R1984" s="65"/>
    </row>
    <row r="1985" ht="27.6" spans="1:18">
      <c r="A1985" s="58">
        <v>1964</v>
      </c>
      <c r="B1985" s="117">
        <v>45949</v>
      </c>
      <c r="C1985" s="118" t="s">
        <v>641</v>
      </c>
      <c r="D1985" s="65" t="s">
        <v>72</v>
      </c>
      <c r="E1985" s="119" t="s">
        <v>804</v>
      </c>
      <c r="F1985" s="107" t="s">
        <v>36</v>
      </c>
      <c r="G1985" s="65" t="s">
        <v>79</v>
      </c>
      <c r="H1985" s="65" t="s">
        <v>1008</v>
      </c>
      <c r="I1985" s="80" t="s">
        <v>3006</v>
      </c>
      <c r="J1985" s="65" t="s">
        <v>53</v>
      </c>
      <c r="K1985" s="91" t="s">
        <v>3007</v>
      </c>
      <c r="L1985" s="87"/>
      <c r="M1985" s="65"/>
      <c r="N1985" s="65"/>
      <c r="O1985" s="81"/>
      <c r="P1985" s="82"/>
      <c r="Q1985" s="65" t="s">
        <v>43</v>
      </c>
      <c r="R1985" s="65"/>
    </row>
    <row r="1986" ht="55.2" spans="1:18">
      <c r="A1986" s="58">
        <v>1965</v>
      </c>
      <c r="B1986" s="117">
        <v>45950</v>
      </c>
      <c r="C1986" s="118" t="s">
        <v>641</v>
      </c>
      <c r="D1986" s="65" t="s">
        <v>72</v>
      </c>
      <c r="E1986" s="119" t="s">
        <v>804</v>
      </c>
      <c r="F1986" s="107" t="s">
        <v>36</v>
      </c>
      <c r="G1986" s="65" t="s">
        <v>45</v>
      </c>
      <c r="H1986" s="65" t="s">
        <v>51</v>
      </c>
      <c r="I1986" s="80" t="s">
        <v>3008</v>
      </c>
      <c r="J1986" s="65" t="s">
        <v>53</v>
      </c>
      <c r="K1986" s="91" t="s">
        <v>3009</v>
      </c>
      <c r="L1986" s="87"/>
      <c r="M1986" s="65"/>
      <c r="N1986" s="65"/>
      <c r="O1986" s="81"/>
      <c r="P1986" s="82"/>
      <c r="Q1986" s="65" t="s">
        <v>43</v>
      </c>
      <c r="R1986" s="65"/>
    </row>
    <row r="1987" ht="27.6" spans="1:18">
      <c r="A1987" s="58">
        <v>1966</v>
      </c>
      <c r="B1987" s="117">
        <v>45950</v>
      </c>
      <c r="C1987" s="118" t="s">
        <v>641</v>
      </c>
      <c r="D1987" s="65" t="s">
        <v>72</v>
      </c>
      <c r="E1987" s="119" t="s">
        <v>804</v>
      </c>
      <c r="F1987" s="107" t="s">
        <v>135</v>
      </c>
      <c r="G1987" s="65" t="s">
        <v>45</v>
      </c>
      <c r="H1987" s="65" t="s">
        <v>56</v>
      </c>
      <c r="I1987" s="80" t="s">
        <v>3010</v>
      </c>
      <c r="J1987" s="65" t="s">
        <v>137</v>
      </c>
      <c r="K1987" s="91" t="s">
        <v>3011</v>
      </c>
      <c r="L1987" s="87"/>
      <c r="M1987" s="65"/>
      <c r="N1987" s="65"/>
      <c r="O1987" s="81"/>
      <c r="P1987" s="82"/>
      <c r="Q1987" s="65" t="s">
        <v>8</v>
      </c>
      <c r="R1987" s="65"/>
    </row>
    <row r="1988" ht="27.6" spans="1:18">
      <c r="A1988" s="58">
        <v>1967</v>
      </c>
      <c r="B1988" s="117">
        <v>45948</v>
      </c>
      <c r="C1988" s="118" t="s">
        <v>659</v>
      </c>
      <c r="D1988" s="65" t="s">
        <v>72</v>
      </c>
      <c r="E1988" s="119" t="s">
        <v>804</v>
      </c>
      <c r="F1988" s="107" t="s">
        <v>50</v>
      </c>
      <c r="G1988" s="65" t="s">
        <v>55</v>
      </c>
      <c r="H1988" s="65" t="s">
        <v>46</v>
      </c>
      <c r="I1988" s="80" t="s">
        <v>3012</v>
      </c>
      <c r="J1988" s="65" t="s">
        <v>53</v>
      </c>
      <c r="K1988" s="91" t="s">
        <v>3013</v>
      </c>
      <c r="L1988" s="87"/>
      <c r="M1988" s="65"/>
      <c r="N1988" s="65"/>
      <c r="O1988" s="81"/>
      <c r="P1988" s="82"/>
      <c r="Q1988" s="65" t="s">
        <v>43</v>
      </c>
      <c r="R1988" s="65"/>
    </row>
    <row r="1989" ht="41.4" spans="1:18">
      <c r="A1989" s="58">
        <v>1968</v>
      </c>
      <c r="B1989" s="117">
        <v>45951</v>
      </c>
      <c r="C1989" s="118" t="s">
        <v>659</v>
      </c>
      <c r="D1989" s="65" t="s">
        <v>72</v>
      </c>
      <c r="E1989" s="119" t="s">
        <v>804</v>
      </c>
      <c r="F1989" s="107" t="s">
        <v>50</v>
      </c>
      <c r="G1989" s="65" t="s">
        <v>55</v>
      </c>
      <c r="H1989" s="65" t="s">
        <v>51</v>
      </c>
      <c r="I1989" s="80" t="s">
        <v>3014</v>
      </c>
      <c r="J1989" s="65" t="s">
        <v>53</v>
      </c>
      <c r="K1989" s="91" t="s">
        <v>3015</v>
      </c>
      <c r="L1989" s="87"/>
      <c r="M1989" s="65"/>
      <c r="N1989" s="65"/>
      <c r="O1989" s="81"/>
      <c r="P1989" s="82"/>
      <c r="Q1989" s="65" t="s">
        <v>43</v>
      </c>
      <c r="R1989" s="65"/>
    </row>
    <row r="1990" ht="55.2" spans="1:18">
      <c r="A1990" s="58">
        <v>1969</v>
      </c>
      <c r="B1990" s="117">
        <v>45951</v>
      </c>
      <c r="C1990" s="118" t="s">
        <v>659</v>
      </c>
      <c r="D1990" s="65" t="s">
        <v>72</v>
      </c>
      <c r="E1990" s="119" t="s">
        <v>804</v>
      </c>
      <c r="F1990" s="107" t="s">
        <v>50</v>
      </c>
      <c r="G1990" s="65" t="s">
        <v>37</v>
      </c>
      <c r="H1990" s="65" t="s">
        <v>989</v>
      </c>
      <c r="I1990" s="80" t="s">
        <v>3016</v>
      </c>
      <c r="J1990" s="65" t="s">
        <v>53</v>
      </c>
      <c r="K1990" s="91" t="s">
        <v>3017</v>
      </c>
      <c r="L1990" s="87"/>
      <c r="M1990" s="65"/>
      <c r="N1990" s="65"/>
      <c r="O1990" s="81"/>
      <c r="P1990" s="82"/>
      <c r="Q1990" s="65" t="s">
        <v>43</v>
      </c>
      <c r="R1990" s="65"/>
    </row>
    <row r="1991" ht="41.4" spans="1:18">
      <c r="A1991" s="58">
        <v>1970</v>
      </c>
      <c r="B1991" s="117">
        <v>45949</v>
      </c>
      <c r="C1991" s="118" t="s">
        <v>659</v>
      </c>
      <c r="D1991" s="65" t="s">
        <v>72</v>
      </c>
      <c r="E1991" s="119" t="s">
        <v>804</v>
      </c>
      <c r="F1991" s="107" t="s">
        <v>36</v>
      </c>
      <c r="G1991" s="65" t="s">
        <v>65</v>
      </c>
      <c r="H1991" s="65" t="s">
        <v>56</v>
      </c>
      <c r="I1991" s="80" t="s">
        <v>3018</v>
      </c>
      <c r="J1991" s="65" t="s">
        <v>53</v>
      </c>
      <c r="K1991" s="91" t="s">
        <v>3019</v>
      </c>
      <c r="L1991" s="87"/>
      <c r="M1991" s="65"/>
      <c r="N1991" s="65"/>
      <c r="O1991" s="81"/>
      <c r="P1991" s="82"/>
      <c r="Q1991" s="65" t="s">
        <v>43</v>
      </c>
      <c r="R1991" s="65"/>
    </row>
    <row r="1992" ht="39.6" spans="1:18">
      <c r="A1992" s="58">
        <v>1971</v>
      </c>
      <c r="B1992" s="117">
        <v>45950</v>
      </c>
      <c r="C1992" s="118" t="s">
        <v>659</v>
      </c>
      <c r="D1992" s="65" t="s">
        <v>72</v>
      </c>
      <c r="E1992" s="119" t="s">
        <v>804</v>
      </c>
      <c r="F1992" s="107" t="s">
        <v>36</v>
      </c>
      <c r="G1992" s="65" t="s">
        <v>37</v>
      </c>
      <c r="H1992" s="65" t="s">
        <v>66</v>
      </c>
      <c r="I1992" s="80" t="s">
        <v>3020</v>
      </c>
      <c r="J1992" s="65" t="s">
        <v>53</v>
      </c>
      <c r="K1992" s="91" t="s">
        <v>3021</v>
      </c>
      <c r="L1992" s="87"/>
      <c r="M1992" s="65"/>
      <c r="N1992" s="65"/>
      <c r="O1992" s="81"/>
      <c r="P1992" s="82"/>
      <c r="Q1992" s="65" t="s">
        <v>43</v>
      </c>
      <c r="R1992" s="65"/>
    </row>
    <row r="1993" ht="41.4" spans="1:18">
      <c r="A1993" s="58">
        <v>1972</v>
      </c>
      <c r="B1993" s="117">
        <v>45950</v>
      </c>
      <c r="C1993" s="118" t="s">
        <v>659</v>
      </c>
      <c r="D1993" s="65" t="s">
        <v>72</v>
      </c>
      <c r="E1993" s="119" t="s">
        <v>804</v>
      </c>
      <c r="F1993" s="107" t="s">
        <v>36</v>
      </c>
      <c r="G1993" s="65" t="s">
        <v>55</v>
      </c>
      <c r="H1993" s="65" t="s">
        <v>66</v>
      </c>
      <c r="I1993" s="80" t="s">
        <v>3022</v>
      </c>
      <c r="J1993" s="65" t="s">
        <v>53</v>
      </c>
      <c r="K1993" s="91" t="s">
        <v>3023</v>
      </c>
      <c r="L1993" s="87"/>
      <c r="M1993" s="65"/>
      <c r="N1993" s="65"/>
      <c r="O1993" s="81"/>
      <c r="P1993" s="82"/>
      <c r="Q1993" s="65" t="s">
        <v>43</v>
      </c>
      <c r="R1993" s="65"/>
    </row>
    <row r="1994" ht="41.4" spans="1:18">
      <c r="A1994" s="58">
        <v>1973</v>
      </c>
      <c r="B1994" s="117">
        <v>45951</v>
      </c>
      <c r="C1994" s="118" t="s">
        <v>659</v>
      </c>
      <c r="D1994" s="65" t="s">
        <v>72</v>
      </c>
      <c r="E1994" s="119" t="s">
        <v>804</v>
      </c>
      <c r="F1994" s="107" t="s">
        <v>36</v>
      </c>
      <c r="G1994" s="65" t="s">
        <v>37</v>
      </c>
      <c r="H1994" s="65" t="s">
        <v>132</v>
      </c>
      <c r="I1994" s="80" t="s">
        <v>3024</v>
      </c>
      <c r="J1994" s="65" t="s">
        <v>53</v>
      </c>
      <c r="K1994" s="91" t="s">
        <v>3025</v>
      </c>
      <c r="L1994" s="87"/>
      <c r="M1994" s="65"/>
      <c r="N1994" s="65"/>
      <c r="O1994" s="81"/>
      <c r="P1994" s="82"/>
      <c r="Q1994" s="65" t="s">
        <v>43</v>
      </c>
      <c r="R1994" s="65"/>
    </row>
    <row r="1995" ht="55.2" spans="1:18">
      <c r="A1995" s="58">
        <v>1974</v>
      </c>
      <c r="B1995" s="117">
        <v>45951</v>
      </c>
      <c r="C1995" s="118" t="s">
        <v>659</v>
      </c>
      <c r="D1995" s="65" t="s">
        <v>72</v>
      </c>
      <c r="E1995" s="119" t="s">
        <v>804</v>
      </c>
      <c r="F1995" s="107" t="s">
        <v>36</v>
      </c>
      <c r="G1995" s="65" t="s">
        <v>1790</v>
      </c>
      <c r="H1995" s="65" t="s">
        <v>150</v>
      </c>
      <c r="I1995" s="80" t="s">
        <v>3026</v>
      </c>
      <c r="J1995" s="65" t="s">
        <v>53</v>
      </c>
      <c r="K1995" s="91" t="s">
        <v>3027</v>
      </c>
      <c r="L1995" s="87"/>
      <c r="M1995" s="65"/>
      <c r="N1995" s="65"/>
      <c r="O1995" s="81"/>
      <c r="P1995" s="82"/>
      <c r="Q1995" s="65" t="s">
        <v>43</v>
      </c>
      <c r="R1995" s="65"/>
    </row>
    <row r="1996" ht="41.4" spans="1:18">
      <c r="A1996" s="58">
        <v>1975</v>
      </c>
      <c r="B1996" s="117">
        <v>45952</v>
      </c>
      <c r="C1996" s="118" t="s">
        <v>659</v>
      </c>
      <c r="D1996" s="65" t="s">
        <v>72</v>
      </c>
      <c r="E1996" s="119" t="s">
        <v>804</v>
      </c>
      <c r="F1996" s="107" t="s">
        <v>36</v>
      </c>
      <c r="G1996" s="65" t="s">
        <v>1790</v>
      </c>
      <c r="H1996" s="65" t="s">
        <v>66</v>
      </c>
      <c r="I1996" s="80" t="s">
        <v>3028</v>
      </c>
      <c r="J1996" s="65" t="s">
        <v>53</v>
      </c>
      <c r="K1996" s="91" t="s">
        <v>3029</v>
      </c>
      <c r="L1996" s="87"/>
      <c r="M1996" s="65"/>
      <c r="N1996" s="65"/>
      <c r="O1996" s="81"/>
      <c r="P1996" s="82"/>
      <c r="Q1996" s="65" t="s">
        <v>43</v>
      </c>
      <c r="R1996" s="65"/>
    </row>
    <row r="1997" ht="55.2" spans="1:18">
      <c r="A1997" s="58">
        <v>1976</v>
      </c>
      <c r="B1997" s="117">
        <v>45952</v>
      </c>
      <c r="C1997" s="118" t="s">
        <v>659</v>
      </c>
      <c r="D1997" s="65" t="s">
        <v>72</v>
      </c>
      <c r="E1997" s="119" t="s">
        <v>804</v>
      </c>
      <c r="F1997" s="107" t="s">
        <v>36</v>
      </c>
      <c r="G1997" s="65" t="s">
        <v>1790</v>
      </c>
      <c r="H1997" s="65" t="s">
        <v>38</v>
      </c>
      <c r="I1997" s="80" t="s">
        <v>3030</v>
      </c>
      <c r="J1997" s="65" t="s">
        <v>53</v>
      </c>
      <c r="K1997" s="91" t="s">
        <v>3031</v>
      </c>
      <c r="L1997" s="87"/>
      <c r="M1997" s="65"/>
      <c r="N1997" s="65"/>
      <c r="O1997" s="81"/>
      <c r="P1997" s="82"/>
      <c r="Q1997" s="65" t="s">
        <v>43</v>
      </c>
      <c r="R1997" s="65"/>
    </row>
    <row r="1998" ht="41.4" spans="1:18">
      <c r="A1998" s="58">
        <v>1977</v>
      </c>
      <c r="B1998" s="117">
        <v>45953</v>
      </c>
      <c r="C1998" s="118" t="s">
        <v>659</v>
      </c>
      <c r="D1998" s="65" t="s">
        <v>72</v>
      </c>
      <c r="E1998" s="119" t="s">
        <v>804</v>
      </c>
      <c r="F1998" s="107" t="s">
        <v>36</v>
      </c>
      <c r="G1998" s="65" t="s">
        <v>55</v>
      </c>
      <c r="H1998" s="65" t="s">
        <v>66</v>
      </c>
      <c r="I1998" s="80" t="s">
        <v>3032</v>
      </c>
      <c r="J1998" s="65" t="s">
        <v>53</v>
      </c>
      <c r="K1998" s="91" t="s">
        <v>3033</v>
      </c>
      <c r="L1998" s="87"/>
      <c r="M1998" s="65"/>
      <c r="N1998" s="65"/>
      <c r="O1998" s="81"/>
      <c r="P1998" s="82"/>
      <c r="Q1998" s="65" t="s">
        <v>43</v>
      </c>
      <c r="R1998" s="65"/>
    </row>
    <row r="1999" ht="55.2" spans="1:18">
      <c r="A1999" s="58">
        <v>1978</v>
      </c>
      <c r="B1999" s="117">
        <v>45953</v>
      </c>
      <c r="C1999" s="118" t="s">
        <v>659</v>
      </c>
      <c r="D1999" s="65" t="s">
        <v>72</v>
      </c>
      <c r="E1999" s="119" t="s">
        <v>804</v>
      </c>
      <c r="F1999" s="107" t="s">
        <v>36</v>
      </c>
      <c r="G1999" s="65" t="s">
        <v>55</v>
      </c>
      <c r="H1999" s="65" t="s">
        <v>132</v>
      </c>
      <c r="I1999" s="80" t="s">
        <v>3034</v>
      </c>
      <c r="J1999" s="65" t="s">
        <v>53</v>
      </c>
      <c r="K1999" s="91" t="s">
        <v>3035</v>
      </c>
      <c r="L1999" s="87"/>
      <c r="M1999" s="65"/>
      <c r="N1999" s="65"/>
      <c r="O1999" s="81"/>
      <c r="P1999" s="82"/>
      <c r="Q1999" s="65" t="s">
        <v>43</v>
      </c>
      <c r="R1999" s="65"/>
    </row>
    <row r="2000" ht="55.2" spans="1:18">
      <c r="A2000" s="58">
        <v>1979</v>
      </c>
      <c r="B2000" s="117">
        <v>45951</v>
      </c>
      <c r="C2000" s="118" t="s">
        <v>100</v>
      </c>
      <c r="D2000" s="65" t="s">
        <v>60</v>
      </c>
      <c r="E2000" s="119" t="s">
        <v>101</v>
      </c>
      <c r="F2000" s="107" t="s">
        <v>36</v>
      </c>
      <c r="G2000" s="65" t="s">
        <v>93</v>
      </c>
      <c r="H2000" s="65" t="s">
        <v>132</v>
      </c>
      <c r="I2000" s="80" t="s">
        <v>3036</v>
      </c>
      <c r="J2000" s="65" t="s">
        <v>88</v>
      </c>
      <c r="K2000" s="91" t="s">
        <v>3037</v>
      </c>
      <c r="L2000" s="91" t="s">
        <v>3038</v>
      </c>
      <c r="M2000" s="65"/>
      <c r="N2000" s="65"/>
      <c r="O2000" s="81"/>
      <c r="P2000" s="82"/>
      <c r="Q2000" s="65" t="s">
        <v>43</v>
      </c>
      <c r="R2000" s="65"/>
    </row>
    <row r="2001" ht="79.2" spans="1:18">
      <c r="A2001" s="58">
        <v>1980</v>
      </c>
      <c r="B2001" s="117">
        <v>45951</v>
      </c>
      <c r="C2001" s="118" t="s">
        <v>100</v>
      </c>
      <c r="D2001" s="65" t="s">
        <v>60</v>
      </c>
      <c r="E2001" s="119" t="s">
        <v>101</v>
      </c>
      <c r="F2001" s="107" t="s">
        <v>135</v>
      </c>
      <c r="G2001" s="65" t="s">
        <v>37</v>
      </c>
      <c r="H2001" s="65" t="s">
        <v>94</v>
      </c>
      <c r="I2001" s="80" t="s">
        <v>3039</v>
      </c>
      <c r="J2001" s="65" t="s">
        <v>53</v>
      </c>
      <c r="K2001" s="91"/>
      <c r="L2001" s="124"/>
      <c r="M2001" s="65"/>
      <c r="N2001" s="65"/>
      <c r="O2001" s="81"/>
      <c r="P2001" s="82"/>
      <c r="Q2001" s="65" t="s">
        <v>8</v>
      </c>
      <c r="R2001" s="65"/>
    </row>
    <row r="2002" ht="26.4" spans="1:18">
      <c r="A2002" s="58">
        <v>1981</v>
      </c>
      <c r="B2002" s="117">
        <v>45952</v>
      </c>
      <c r="C2002" s="118" t="s">
        <v>2577</v>
      </c>
      <c r="D2002" s="65" t="s">
        <v>60</v>
      </c>
      <c r="E2002" s="119" t="s">
        <v>86</v>
      </c>
      <c r="F2002" s="107" t="s">
        <v>135</v>
      </c>
      <c r="G2002" s="65" t="s">
        <v>588</v>
      </c>
      <c r="H2002" s="65" t="s">
        <v>271</v>
      </c>
      <c r="I2002" s="80" t="s">
        <v>3040</v>
      </c>
      <c r="J2002" s="65" t="s">
        <v>53</v>
      </c>
      <c r="K2002" s="91" t="s">
        <v>3041</v>
      </c>
      <c r="L2002" s="124"/>
      <c r="M2002" s="65"/>
      <c r="N2002" s="65"/>
      <c r="O2002" s="81"/>
      <c r="P2002" s="82"/>
      <c r="Q2002" s="65" t="s">
        <v>8</v>
      </c>
      <c r="R2002" s="65"/>
    </row>
    <row r="2003" ht="26.4" spans="1:18">
      <c r="A2003" s="58">
        <v>1982</v>
      </c>
      <c r="B2003" s="117">
        <v>45952</v>
      </c>
      <c r="C2003" s="118" t="s">
        <v>2577</v>
      </c>
      <c r="D2003" s="65" t="s">
        <v>60</v>
      </c>
      <c r="E2003" s="119" t="s">
        <v>86</v>
      </c>
      <c r="F2003" s="107" t="s">
        <v>135</v>
      </c>
      <c r="G2003" s="65" t="s">
        <v>588</v>
      </c>
      <c r="H2003" s="65" t="s">
        <v>51</v>
      </c>
      <c r="I2003" s="80" t="s">
        <v>3042</v>
      </c>
      <c r="J2003" s="65" t="s">
        <v>53</v>
      </c>
      <c r="K2003" s="91" t="s">
        <v>3043</v>
      </c>
      <c r="L2003" s="124"/>
      <c r="M2003" s="65"/>
      <c r="N2003" s="65"/>
      <c r="O2003" s="81"/>
      <c r="P2003" s="82"/>
      <c r="Q2003" s="65" t="s">
        <v>8</v>
      </c>
      <c r="R2003" s="65"/>
    </row>
    <row r="2004" ht="27.6" spans="1:18">
      <c r="A2004" s="58">
        <v>1983</v>
      </c>
      <c r="B2004" s="117">
        <v>45952</v>
      </c>
      <c r="C2004" s="118" t="s">
        <v>2577</v>
      </c>
      <c r="D2004" s="65" t="s">
        <v>60</v>
      </c>
      <c r="E2004" s="119" t="s">
        <v>86</v>
      </c>
      <c r="F2004" s="107" t="s">
        <v>36</v>
      </c>
      <c r="G2004" s="65" t="s">
        <v>588</v>
      </c>
      <c r="H2004" s="65" t="s">
        <v>56</v>
      </c>
      <c r="I2004" s="80" t="s">
        <v>3044</v>
      </c>
      <c r="J2004" s="65" t="s">
        <v>88</v>
      </c>
      <c r="K2004" s="91" t="s">
        <v>3045</v>
      </c>
      <c r="L2004" s="124"/>
      <c r="M2004" s="65"/>
      <c r="N2004" s="65"/>
      <c r="O2004" s="81"/>
      <c r="P2004" s="82"/>
      <c r="Q2004" s="65" t="s">
        <v>43</v>
      </c>
      <c r="R2004" s="65"/>
    </row>
    <row r="2005" ht="27.6" spans="1:18">
      <c r="A2005" s="58">
        <v>1984</v>
      </c>
      <c r="B2005" s="117">
        <v>45950</v>
      </c>
      <c r="C2005" s="118" t="s">
        <v>2577</v>
      </c>
      <c r="D2005" s="65" t="s">
        <v>60</v>
      </c>
      <c r="E2005" s="119" t="s">
        <v>86</v>
      </c>
      <c r="F2005" s="107" t="s">
        <v>36</v>
      </c>
      <c r="G2005" s="65" t="s">
        <v>588</v>
      </c>
      <c r="H2005" s="65" t="s">
        <v>46</v>
      </c>
      <c r="I2005" s="80" t="s">
        <v>3046</v>
      </c>
      <c r="J2005" s="65" t="s">
        <v>88</v>
      </c>
      <c r="K2005" s="91" t="s">
        <v>3047</v>
      </c>
      <c r="L2005" s="124"/>
      <c r="M2005" s="65"/>
      <c r="N2005" s="65"/>
      <c r="O2005" s="81"/>
      <c r="P2005" s="82"/>
      <c r="Q2005" s="65" t="s">
        <v>43</v>
      </c>
      <c r="R2005" s="65"/>
    </row>
    <row r="2006" ht="27.6" spans="1:18">
      <c r="A2006" s="58">
        <v>1985</v>
      </c>
      <c r="B2006" s="117">
        <v>45945</v>
      </c>
      <c r="C2006" s="118" t="s">
        <v>2577</v>
      </c>
      <c r="D2006" s="65" t="s">
        <v>60</v>
      </c>
      <c r="E2006" s="119" t="s">
        <v>86</v>
      </c>
      <c r="F2006" s="107" t="s">
        <v>36</v>
      </c>
      <c r="G2006" s="65" t="s">
        <v>588</v>
      </c>
      <c r="H2006" s="65" t="s">
        <v>46</v>
      </c>
      <c r="I2006" s="80" t="s">
        <v>3048</v>
      </c>
      <c r="J2006" s="65" t="s">
        <v>88</v>
      </c>
      <c r="K2006" s="91" t="s">
        <v>3049</v>
      </c>
      <c r="L2006" s="124"/>
      <c r="M2006" s="65"/>
      <c r="N2006" s="65"/>
      <c r="O2006" s="81"/>
      <c r="P2006" s="82"/>
      <c r="Q2006" s="65" t="s">
        <v>43</v>
      </c>
      <c r="R2006" s="65"/>
    </row>
    <row r="2007" ht="41.4" spans="1:18">
      <c r="A2007" s="58">
        <v>1986</v>
      </c>
      <c r="B2007" s="117">
        <v>45952</v>
      </c>
      <c r="C2007" s="118" t="s">
        <v>2577</v>
      </c>
      <c r="D2007" s="65" t="s">
        <v>60</v>
      </c>
      <c r="E2007" s="119" t="s">
        <v>86</v>
      </c>
      <c r="F2007" s="107" t="s">
        <v>36</v>
      </c>
      <c r="G2007" s="65" t="s">
        <v>588</v>
      </c>
      <c r="H2007" s="65" t="s">
        <v>128</v>
      </c>
      <c r="I2007" s="80" t="s">
        <v>3050</v>
      </c>
      <c r="J2007" s="65" t="s">
        <v>88</v>
      </c>
      <c r="K2007" s="91" t="s">
        <v>3051</v>
      </c>
      <c r="L2007" s="124"/>
      <c r="M2007" s="65"/>
      <c r="N2007" s="65"/>
      <c r="O2007" s="81"/>
      <c r="P2007" s="82"/>
      <c r="Q2007" s="65" t="s">
        <v>43</v>
      </c>
      <c r="R2007" s="65"/>
    </row>
    <row r="2008" ht="41.4" spans="1:18">
      <c r="A2008" s="58">
        <v>1987</v>
      </c>
      <c r="B2008" s="117">
        <v>45945</v>
      </c>
      <c r="C2008" s="118" t="s">
        <v>2577</v>
      </c>
      <c r="D2008" s="65" t="s">
        <v>60</v>
      </c>
      <c r="E2008" s="119" t="s">
        <v>86</v>
      </c>
      <c r="F2008" s="107" t="s">
        <v>36</v>
      </c>
      <c r="G2008" s="65" t="s">
        <v>588</v>
      </c>
      <c r="H2008" s="65" t="s">
        <v>56</v>
      </c>
      <c r="I2008" s="80" t="s">
        <v>3052</v>
      </c>
      <c r="J2008" s="65" t="s">
        <v>88</v>
      </c>
      <c r="K2008" s="91" t="s">
        <v>3053</v>
      </c>
      <c r="L2008" s="124"/>
      <c r="M2008" s="65"/>
      <c r="N2008" s="65"/>
      <c r="O2008" s="81"/>
      <c r="P2008" s="82"/>
      <c r="Q2008" s="65" t="s">
        <v>43</v>
      </c>
      <c r="R2008" s="65"/>
    </row>
    <row r="2009" ht="69" spans="1:18">
      <c r="A2009" s="58">
        <v>1988</v>
      </c>
      <c r="B2009" s="117">
        <v>45952</v>
      </c>
      <c r="C2009" s="118" t="s">
        <v>2577</v>
      </c>
      <c r="D2009" s="65" t="s">
        <v>60</v>
      </c>
      <c r="E2009" s="119" t="s">
        <v>86</v>
      </c>
      <c r="F2009" s="107" t="s">
        <v>36</v>
      </c>
      <c r="G2009" s="65" t="s">
        <v>588</v>
      </c>
      <c r="H2009" s="65" t="s">
        <v>66</v>
      </c>
      <c r="I2009" s="80" t="s">
        <v>3054</v>
      </c>
      <c r="J2009" s="65" t="s">
        <v>88</v>
      </c>
      <c r="K2009" s="91" t="s">
        <v>3055</v>
      </c>
      <c r="L2009" s="124"/>
      <c r="M2009" s="65"/>
      <c r="N2009" s="65"/>
      <c r="O2009" s="81"/>
      <c r="P2009" s="82"/>
      <c r="Q2009" s="65" t="s">
        <v>43</v>
      </c>
      <c r="R2009" s="65"/>
    </row>
    <row r="2010" ht="124.2" spans="1:18">
      <c r="A2010" s="58">
        <v>1989</v>
      </c>
      <c r="B2010" s="117">
        <v>45947</v>
      </c>
      <c r="C2010" s="118" t="s">
        <v>2963</v>
      </c>
      <c r="D2010" s="65" t="s">
        <v>60</v>
      </c>
      <c r="E2010" s="119" t="s">
        <v>163</v>
      </c>
      <c r="F2010" s="107" t="s">
        <v>36</v>
      </c>
      <c r="G2010" s="65" t="s">
        <v>588</v>
      </c>
      <c r="H2010" s="65" t="s">
        <v>56</v>
      </c>
      <c r="I2010" s="80" t="s">
        <v>3056</v>
      </c>
      <c r="J2010" s="65" t="s">
        <v>88</v>
      </c>
      <c r="K2010" s="91" t="s">
        <v>3057</v>
      </c>
      <c r="L2010" s="124"/>
      <c r="M2010" s="65"/>
      <c r="N2010" s="65"/>
      <c r="O2010" s="81"/>
      <c r="P2010" s="82"/>
      <c r="Q2010" s="65" t="s">
        <v>43</v>
      </c>
      <c r="R2010" s="65"/>
    </row>
    <row r="2011" ht="39.6" spans="1:18">
      <c r="A2011" s="58">
        <v>1990</v>
      </c>
      <c r="B2011" s="117">
        <v>45953</v>
      </c>
      <c r="C2011" s="118" t="s">
        <v>717</v>
      </c>
      <c r="D2011" s="65" t="s">
        <v>60</v>
      </c>
      <c r="E2011" s="119" t="s">
        <v>163</v>
      </c>
      <c r="F2011" s="107" t="s">
        <v>135</v>
      </c>
      <c r="G2011" s="65" t="s">
        <v>55</v>
      </c>
      <c r="H2011" s="65" t="s">
        <v>51</v>
      </c>
      <c r="I2011" s="80" t="s">
        <v>3058</v>
      </c>
      <c r="J2011" s="65" t="s">
        <v>137</v>
      </c>
      <c r="K2011" s="91" t="s">
        <v>3059</v>
      </c>
      <c r="L2011" s="124"/>
      <c r="M2011" s="65"/>
      <c r="N2011" s="65"/>
      <c r="O2011" s="81"/>
      <c r="P2011" s="82"/>
      <c r="Q2011" s="65" t="s">
        <v>8</v>
      </c>
      <c r="R2011" s="65"/>
    </row>
    <row r="2012" ht="27.6" spans="1:18">
      <c r="A2012" s="58">
        <v>1991</v>
      </c>
      <c r="B2012" s="117">
        <v>45953</v>
      </c>
      <c r="C2012" s="118" t="s">
        <v>717</v>
      </c>
      <c r="D2012" s="65" t="s">
        <v>60</v>
      </c>
      <c r="E2012" s="119" t="s">
        <v>163</v>
      </c>
      <c r="F2012" s="107" t="s">
        <v>135</v>
      </c>
      <c r="G2012" s="65" t="s">
        <v>37</v>
      </c>
      <c r="H2012" s="65" t="s">
        <v>51</v>
      </c>
      <c r="I2012" s="80" t="s">
        <v>3060</v>
      </c>
      <c r="J2012" s="65" t="s">
        <v>137</v>
      </c>
      <c r="K2012" s="91" t="s">
        <v>2019</v>
      </c>
      <c r="L2012" s="124"/>
      <c r="M2012" s="65"/>
      <c r="N2012" s="65"/>
      <c r="O2012" s="81"/>
      <c r="P2012" s="82"/>
      <c r="Q2012" s="65" t="s">
        <v>8</v>
      </c>
      <c r="R2012" s="65"/>
    </row>
    <row r="2013" ht="13.8" spans="1:18">
      <c r="A2013" s="58">
        <v>1992</v>
      </c>
      <c r="B2013" s="117">
        <v>45952</v>
      </c>
      <c r="C2013" s="118" t="s">
        <v>2577</v>
      </c>
      <c r="D2013" s="65" t="s">
        <v>60</v>
      </c>
      <c r="E2013" s="119" t="s">
        <v>86</v>
      </c>
      <c r="F2013" s="107" t="s">
        <v>135</v>
      </c>
      <c r="G2013" s="65" t="s">
        <v>588</v>
      </c>
      <c r="H2013" s="65" t="s">
        <v>56</v>
      </c>
      <c r="I2013" s="80" t="s">
        <v>3061</v>
      </c>
      <c r="J2013" s="65" t="s">
        <v>137</v>
      </c>
      <c r="K2013" s="91" t="s">
        <v>3041</v>
      </c>
      <c r="L2013" s="124"/>
      <c r="M2013" s="65"/>
      <c r="N2013" s="65"/>
      <c r="O2013" s="81"/>
      <c r="P2013" s="82"/>
      <c r="Q2013" s="65" t="s">
        <v>8</v>
      </c>
      <c r="R2013" s="65"/>
    </row>
    <row r="2014" ht="39.6" spans="1:18">
      <c r="A2014" s="58">
        <v>1993</v>
      </c>
      <c r="B2014" s="117">
        <v>45957</v>
      </c>
      <c r="C2014" s="118" t="s">
        <v>100</v>
      </c>
      <c r="D2014" s="65" t="s">
        <v>60</v>
      </c>
      <c r="E2014" s="119" t="s">
        <v>101</v>
      </c>
      <c r="F2014" s="107" t="s">
        <v>36</v>
      </c>
      <c r="G2014" s="65" t="s">
        <v>1617</v>
      </c>
      <c r="H2014" s="65" t="s">
        <v>202</v>
      </c>
      <c r="I2014" s="80" t="s">
        <v>3062</v>
      </c>
      <c r="J2014" s="65" t="s">
        <v>88</v>
      </c>
      <c r="K2014" s="91" t="s">
        <v>3063</v>
      </c>
      <c r="L2014" s="124"/>
      <c r="M2014" s="65"/>
      <c r="N2014" s="65"/>
      <c r="O2014" s="81"/>
      <c r="P2014" s="82"/>
      <c r="Q2014" s="65" t="s">
        <v>43</v>
      </c>
      <c r="R2014" s="65"/>
    </row>
    <row r="2015" ht="82.8" spans="1:18">
      <c r="A2015" s="58">
        <v>1994</v>
      </c>
      <c r="B2015" s="117">
        <v>45957</v>
      </c>
      <c r="C2015" s="118" t="s">
        <v>100</v>
      </c>
      <c r="D2015" s="65" t="s">
        <v>60</v>
      </c>
      <c r="E2015" s="119" t="s">
        <v>101</v>
      </c>
      <c r="F2015" s="107" t="s">
        <v>36</v>
      </c>
      <c r="G2015" s="65" t="s">
        <v>588</v>
      </c>
      <c r="H2015" s="65" t="s">
        <v>144</v>
      </c>
      <c r="I2015" s="80" t="s">
        <v>3064</v>
      </c>
      <c r="J2015" s="65" t="s">
        <v>88</v>
      </c>
      <c r="K2015" s="91" t="s">
        <v>3065</v>
      </c>
      <c r="L2015" s="124" t="s">
        <v>3066</v>
      </c>
      <c r="M2015" s="65"/>
      <c r="N2015" s="65"/>
      <c r="O2015" s="81"/>
      <c r="P2015" s="82"/>
      <c r="Q2015" s="65" t="s">
        <v>43</v>
      </c>
      <c r="R2015" s="65"/>
    </row>
    <row r="2016" ht="69" spans="1:18">
      <c r="A2016" s="58">
        <v>1995</v>
      </c>
      <c r="B2016" s="117">
        <v>45957</v>
      </c>
      <c r="C2016" s="118" t="s">
        <v>100</v>
      </c>
      <c r="D2016" s="65" t="s">
        <v>60</v>
      </c>
      <c r="E2016" s="119" t="s">
        <v>101</v>
      </c>
      <c r="F2016" s="107" t="s">
        <v>50</v>
      </c>
      <c r="G2016" s="65" t="s">
        <v>588</v>
      </c>
      <c r="H2016" s="65" t="s">
        <v>622</v>
      </c>
      <c r="I2016" s="80" t="s">
        <v>3067</v>
      </c>
      <c r="J2016" s="65" t="s">
        <v>88</v>
      </c>
      <c r="K2016" s="91" t="s">
        <v>3068</v>
      </c>
      <c r="L2016" s="124" t="s">
        <v>3069</v>
      </c>
      <c r="M2016" s="65"/>
      <c r="N2016" s="65"/>
      <c r="O2016" s="81"/>
      <c r="P2016" s="82"/>
      <c r="Q2016" s="65" t="s">
        <v>43</v>
      </c>
      <c r="R2016" s="65"/>
    </row>
    <row r="2017" ht="66" spans="1:18">
      <c r="A2017" s="58">
        <v>1996</v>
      </c>
      <c r="B2017" s="117">
        <v>45957</v>
      </c>
      <c r="C2017" s="118" t="s">
        <v>100</v>
      </c>
      <c r="D2017" s="65" t="s">
        <v>60</v>
      </c>
      <c r="E2017" s="119" t="s">
        <v>101</v>
      </c>
      <c r="F2017" s="107" t="s">
        <v>36</v>
      </c>
      <c r="G2017" s="65" t="s">
        <v>588</v>
      </c>
      <c r="H2017" s="65" t="s">
        <v>144</v>
      </c>
      <c r="I2017" s="80" t="s">
        <v>3070</v>
      </c>
      <c r="J2017" s="65" t="s">
        <v>88</v>
      </c>
      <c r="K2017" s="91" t="s">
        <v>3071</v>
      </c>
      <c r="L2017" s="124" t="s">
        <v>3072</v>
      </c>
      <c r="M2017" s="65"/>
      <c r="N2017" s="65"/>
      <c r="O2017" s="81"/>
      <c r="P2017" s="82"/>
      <c r="Q2017" s="65" t="s">
        <v>43</v>
      </c>
      <c r="R2017" s="65"/>
    </row>
    <row r="2018" ht="13.8" spans="1:18">
      <c r="A2018" s="58">
        <v>1997</v>
      </c>
      <c r="B2018" s="117">
        <v>45959</v>
      </c>
      <c r="C2018" s="118" t="s">
        <v>121</v>
      </c>
      <c r="D2018" s="65" t="s">
        <v>60</v>
      </c>
      <c r="E2018" s="119" t="s">
        <v>804</v>
      </c>
      <c r="F2018" s="107" t="s">
        <v>192</v>
      </c>
      <c r="G2018" s="65" t="s">
        <v>61</v>
      </c>
      <c r="H2018" s="65" t="s">
        <v>51</v>
      </c>
      <c r="I2018" s="80" t="s">
        <v>3073</v>
      </c>
      <c r="J2018" s="65" t="s">
        <v>137</v>
      </c>
      <c r="K2018" s="91" t="s">
        <v>3074</v>
      </c>
      <c r="L2018" s="124"/>
      <c r="M2018" s="65"/>
      <c r="N2018" s="65"/>
      <c r="O2018" s="81"/>
      <c r="P2018" s="82"/>
      <c r="Q2018" s="65" t="s">
        <v>8</v>
      </c>
      <c r="R2018" s="65"/>
    </row>
    <row r="2019" ht="27.6" spans="1:18">
      <c r="A2019" s="58">
        <v>1998</v>
      </c>
      <c r="B2019" s="117">
        <v>45959</v>
      </c>
      <c r="C2019" s="118" t="s">
        <v>121</v>
      </c>
      <c r="D2019" s="65" t="s">
        <v>60</v>
      </c>
      <c r="E2019" s="119" t="s">
        <v>804</v>
      </c>
      <c r="F2019" s="107" t="s">
        <v>135</v>
      </c>
      <c r="G2019" s="65" t="s">
        <v>1850</v>
      </c>
      <c r="H2019" s="65" t="s">
        <v>56</v>
      </c>
      <c r="I2019" s="80" t="s">
        <v>3075</v>
      </c>
      <c r="J2019" s="65" t="s">
        <v>88</v>
      </c>
      <c r="K2019" s="91" t="s">
        <v>3076</v>
      </c>
      <c r="L2019" s="124"/>
      <c r="M2019" s="65"/>
      <c r="N2019" s="65"/>
      <c r="O2019" s="81"/>
      <c r="P2019" s="82"/>
      <c r="Q2019" s="65" t="s">
        <v>43</v>
      </c>
      <c r="R2019" s="65"/>
    </row>
    <row r="2020" ht="41.4" spans="1:18">
      <c r="A2020" s="58">
        <v>1999</v>
      </c>
      <c r="B2020" s="117">
        <v>45959</v>
      </c>
      <c r="C2020" s="118" t="s">
        <v>121</v>
      </c>
      <c r="D2020" s="65" t="s">
        <v>60</v>
      </c>
      <c r="E2020" s="119" t="s">
        <v>804</v>
      </c>
      <c r="F2020" s="107" t="s">
        <v>50</v>
      </c>
      <c r="G2020" s="65" t="s">
        <v>93</v>
      </c>
      <c r="H2020" s="65" t="s">
        <v>144</v>
      </c>
      <c r="I2020" s="80" t="s">
        <v>3077</v>
      </c>
      <c r="J2020" s="65" t="s">
        <v>88</v>
      </c>
      <c r="K2020" s="91" t="s">
        <v>3078</v>
      </c>
      <c r="L2020" s="124"/>
      <c r="M2020" s="65"/>
      <c r="N2020" s="65"/>
      <c r="O2020" s="81"/>
      <c r="P2020" s="82"/>
      <c r="Q2020" s="65" t="s">
        <v>43</v>
      </c>
      <c r="R2020" s="65"/>
    </row>
    <row r="2021" ht="41.4" spans="1:18">
      <c r="A2021" s="58">
        <v>2000</v>
      </c>
      <c r="B2021" s="117">
        <v>45959</v>
      </c>
      <c r="C2021" s="118" t="s">
        <v>121</v>
      </c>
      <c r="D2021" s="65" t="s">
        <v>60</v>
      </c>
      <c r="E2021" s="119" t="s">
        <v>804</v>
      </c>
      <c r="F2021" s="107" t="s">
        <v>36</v>
      </c>
      <c r="G2021" s="65" t="s">
        <v>79</v>
      </c>
      <c r="H2021" s="65" t="s">
        <v>46</v>
      </c>
      <c r="I2021" s="80" t="s">
        <v>3079</v>
      </c>
      <c r="J2021" s="65" t="s">
        <v>88</v>
      </c>
      <c r="K2021" s="91" t="s">
        <v>3080</v>
      </c>
      <c r="L2021" s="124" t="s">
        <v>3081</v>
      </c>
      <c r="M2021" s="65"/>
      <c r="N2021" s="65"/>
      <c r="O2021" s="81"/>
      <c r="P2021" s="82"/>
      <c r="Q2021" s="65" t="s">
        <v>43</v>
      </c>
      <c r="R2021" s="65"/>
    </row>
    <row r="2022" ht="27.6" spans="1:18">
      <c r="A2022" s="58">
        <v>2001</v>
      </c>
      <c r="B2022" s="117">
        <v>45956</v>
      </c>
      <c r="C2022" s="118" t="s">
        <v>641</v>
      </c>
      <c r="D2022" s="65" t="s">
        <v>72</v>
      </c>
      <c r="E2022" s="119" t="s">
        <v>804</v>
      </c>
      <c r="F2022" s="107" t="s">
        <v>36</v>
      </c>
      <c r="G2022" s="65" t="s">
        <v>61</v>
      </c>
      <c r="H2022" s="65" t="s">
        <v>46</v>
      </c>
      <c r="I2022" s="80" t="s">
        <v>3082</v>
      </c>
      <c r="J2022" s="65" t="s">
        <v>53</v>
      </c>
      <c r="K2022" s="91" t="s">
        <v>3083</v>
      </c>
      <c r="L2022" s="124"/>
      <c r="M2022" s="65"/>
      <c r="N2022" s="65"/>
      <c r="O2022" s="81"/>
      <c r="P2022" s="82"/>
      <c r="Q2022" s="65" t="s">
        <v>43</v>
      </c>
      <c r="R2022" s="65"/>
    </row>
    <row r="2023" ht="41.4" spans="1:18">
      <c r="A2023" s="58">
        <v>2002</v>
      </c>
      <c r="B2023" s="117">
        <v>45958</v>
      </c>
      <c r="C2023" s="118" t="s">
        <v>641</v>
      </c>
      <c r="D2023" s="65" t="s">
        <v>72</v>
      </c>
      <c r="E2023" s="119" t="s">
        <v>804</v>
      </c>
      <c r="F2023" s="107" t="s">
        <v>36</v>
      </c>
      <c r="G2023" s="65" t="s">
        <v>131</v>
      </c>
      <c r="H2023" s="65" t="s">
        <v>38</v>
      </c>
      <c r="I2023" s="80" t="s">
        <v>2998</v>
      </c>
      <c r="J2023" s="65" t="s">
        <v>53</v>
      </c>
      <c r="K2023" s="91" t="s">
        <v>3084</v>
      </c>
      <c r="L2023" s="124"/>
      <c r="M2023" s="65"/>
      <c r="N2023" s="65"/>
      <c r="O2023" s="81"/>
      <c r="P2023" s="82"/>
      <c r="Q2023" s="65" t="s">
        <v>43</v>
      </c>
      <c r="R2023" s="65"/>
    </row>
    <row r="2024" ht="27.6" spans="1:18">
      <c r="A2024" s="58">
        <v>2003</v>
      </c>
      <c r="B2024" s="117">
        <v>45957</v>
      </c>
      <c r="C2024" s="118" t="s">
        <v>641</v>
      </c>
      <c r="D2024" s="65" t="s">
        <v>72</v>
      </c>
      <c r="E2024" s="119" t="s">
        <v>804</v>
      </c>
      <c r="F2024" s="107" t="s">
        <v>36</v>
      </c>
      <c r="G2024" s="65" t="s">
        <v>61</v>
      </c>
      <c r="H2024" s="65" t="s">
        <v>56</v>
      </c>
      <c r="I2024" s="80" t="s">
        <v>3085</v>
      </c>
      <c r="J2024" s="65" t="s">
        <v>53</v>
      </c>
      <c r="K2024" s="91" t="s">
        <v>3086</v>
      </c>
      <c r="L2024" s="124"/>
      <c r="M2024" s="65"/>
      <c r="N2024" s="65"/>
      <c r="O2024" s="81"/>
      <c r="P2024" s="82"/>
      <c r="Q2024" s="65" t="s">
        <v>43</v>
      </c>
      <c r="R2024" s="65"/>
    </row>
    <row r="2025" ht="27.6" spans="1:18">
      <c r="A2025" s="58">
        <v>2004</v>
      </c>
      <c r="B2025" s="117">
        <v>45956</v>
      </c>
      <c r="C2025" s="118" t="s">
        <v>641</v>
      </c>
      <c r="D2025" s="65" t="s">
        <v>72</v>
      </c>
      <c r="E2025" s="119" t="s">
        <v>804</v>
      </c>
      <c r="F2025" s="107" t="s">
        <v>36</v>
      </c>
      <c r="G2025" s="65" t="s">
        <v>79</v>
      </c>
      <c r="H2025" s="65" t="s">
        <v>94</v>
      </c>
      <c r="I2025" s="80" t="s">
        <v>3087</v>
      </c>
      <c r="J2025" s="65" t="s">
        <v>53</v>
      </c>
      <c r="K2025" s="91" t="s">
        <v>3088</v>
      </c>
      <c r="L2025" s="124"/>
      <c r="M2025" s="65"/>
      <c r="N2025" s="65"/>
      <c r="O2025" s="81"/>
      <c r="P2025" s="82"/>
      <c r="Q2025" s="65" t="s">
        <v>43</v>
      </c>
      <c r="R2025" s="65"/>
    </row>
    <row r="2026" ht="27.6" spans="1:18">
      <c r="A2026" s="58">
        <v>2005</v>
      </c>
      <c r="B2026" s="117">
        <v>45959</v>
      </c>
      <c r="C2026" s="118" t="s">
        <v>641</v>
      </c>
      <c r="D2026" s="65" t="s">
        <v>72</v>
      </c>
      <c r="E2026" s="119" t="s">
        <v>804</v>
      </c>
      <c r="F2026" s="107" t="s">
        <v>50</v>
      </c>
      <c r="G2026" s="65" t="s">
        <v>1850</v>
      </c>
      <c r="H2026" s="65" t="s">
        <v>1008</v>
      </c>
      <c r="I2026" s="80" t="s">
        <v>3089</v>
      </c>
      <c r="J2026" s="65" t="s">
        <v>53</v>
      </c>
      <c r="K2026" s="91" t="s">
        <v>3090</v>
      </c>
      <c r="L2026" s="124"/>
      <c r="M2026" s="65"/>
      <c r="N2026" s="65"/>
      <c r="O2026" s="81"/>
      <c r="P2026" s="82"/>
      <c r="Q2026" s="65" t="s">
        <v>43</v>
      </c>
      <c r="R2026" s="65"/>
    </row>
    <row r="2027" ht="27.6" spans="1:18">
      <c r="A2027" s="58">
        <v>2006</v>
      </c>
      <c r="B2027" s="117">
        <v>45955</v>
      </c>
      <c r="C2027" s="118" t="s">
        <v>641</v>
      </c>
      <c r="D2027" s="65" t="s">
        <v>72</v>
      </c>
      <c r="E2027" s="119" t="s">
        <v>804</v>
      </c>
      <c r="F2027" s="107" t="s">
        <v>50</v>
      </c>
      <c r="G2027" s="65" t="s">
        <v>79</v>
      </c>
      <c r="H2027" s="65" t="s">
        <v>51</v>
      </c>
      <c r="I2027" s="80" t="s">
        <v>3091</v>
      </c>
      <c r="J2027" s="65" t="s">
        <v>53</v>
      </c>
      <c r="K2027" s="91" t="s">
        <v>3092</v>
      </c>
      <c r="L2027" s="124"/>
      <c r="M2027" s="65"/>
      <c r="N2027" s="65"/>
      <c r="O2027" s="81"/>
      <c r="P2027" s="82"/>
      <c r="Q2027" s="65" t="s">
        <v>43</v>
      </c>
      <c r="R2027" s="65"/>
    </row>
    <row r="2028" ht="26.4" spans="1:18">
      <c r="A2028" s="58">
        <v>2007</v>
      </c>
      <c r="B2028" s="117">
        <v>45956</v>
      </c>
      <c r="C2028" s="118" t="s">
        <v>640</v>
      </c>
      <c r="D2028" s="65" t="s">
        <v>72</v>
      </c>
      <c r="E2028" s="119" t="s">
        <v>804</v>
      </c>
      <c r="F2028" s="107" t="s">
        <v>135</v>
      </c>
      <c r="G2028" s="65" t="s">
        <v>45</v>
      </c>
      <c r="H2028" s="65" t="s">
        <v>56</v>
      </c>
      <c r="I2028" s="80" t="s">
        <v>3093</v>
      </c>
      <c r="J2028" s="65" t="s">
        <v>137</v>
      </c>
      <c r="K2028" s="91" t="s">
        <v>3094</v>
      </c>
      <c r="L2028" s="124"/>
      <c r="M2028" s="65"/>
      <c r="N2028" s="65"/>
      <c r="O2028" s="81"/>
      <c r="P2028" s="82"/>
      <c r="Q2028" s="65" t="s">
        <v>8</v>
      </c>
      <c r="R2028" s="65"/>
    </row>
    <row r="2029" ht="27.6" spans="1:18">
      <c r="A2029" s="58">
        <v>2008</v>
      </c>
      <c r="B2029" s="117">
        <v>45955</v>
      </c>
      <c r="C2029" s="118" t="s">
        <v>640</v>
      </c>
      <c r="D2029" s="65" t="s">
        <v>72</v>
      </c>
      <c r="E2029" s="119" t="s">
        <v>804</v>
      </c>
      <c r="F2029" s="107" t="s">
        <v>36</v>
      </c>
      <c r="G2029" s="65" t="s">
        <v>45</v>
      </c>
      <c r="H2029" s="65" t="s">
        <v>94</v>
      </c>
      <c r="I2029" s="80" t="s">
        <v>3095</v>
      </c>
      <c r="J2029" s="65" t="s">
        <v>53</v>
      </c>
      <c r="K2029" s="91" t="s">
        <v>3096</v>
      </c>
      <c r="L2029" s="124"/>
      <c r="M2029" s="65"/>
      <c r="N2029" s="65"/>
      <c r="O2029" s="81"/>
      <c r="P2029" s="82"/>
      <c r="Q2029" s="65" t="s">
        <v>43</v>
      </c>
      <c r="R2029" s="65"/>
    </row>
    <row r="2030" ht="41.4" spans="1:18">
      <c r="A2030" s="58">
        <v>2009</v>
      </c>
      <c r="B2030" s="117">
        <v>45956</v>
      </c>
      <c r="C2030" s="118" t="s">
        <v>640</v>
      </c>
      <c r="D2030" s="65" t="s">
        <v>72</v>
      </c>
      <c r="E2030" s="119" t="s">
        <v>804</v>
      </c>
      <c r="F2030" s="107" t="s">
        <v>36</v>
      </c>
      <c r="G2030" s="65" t="s">
        <v>82</v>
      </c>
      <c r="H2030" s="65" t="s">
        <v>202</v>
      </c>
      <c r="I2030" s="80" t="s">
        <v>3097</v>
      </c>
      <c r="J2030" s="65" t="s">
        <v>53</v>
      </c>
      <c r="K2030" s="91" t="s">
        <v>3098</v>
      </c>
      <c r="L2030" s="124"/>
      <c r="M2030" s="65"/>
      <c r="N2030" s="65"/>
      <c r="O2030" s="81"/>
      <c r="P2030" s="82"/>
      <c r="Q2030" s="65" t="s">
        <v>43</v>
      </c>
      <c r="R2030" s="65"/>
    </row>
    <row r="2031" ht="27.6" spans="1:18">
      <c r="A2031" s="58">
        <v>2010</v>
      </c>
      <c r="B2031" s="117">
        <v>45957</v>
      </c>
      <c r="C2031" s="118" t="s">
        <v>640</v>
      </c>
      <c r="D2031" s="65" t="s">
        <v>72</v>
      </c>
      <c r="E2031" s="119" t="s">
        <v>804</v>
      </c>
      <c r="F2031" s="107" t="s">
        <v>36</v>
      </c>
      <c r="G2031" s="65" t="s">
        <v>82</v>
      </c>
      <c r="H2031" s="65" t="s">
        <v>128</v>
      </c>
      <c r="I2031" s="80" t="s">
        <v>3099</v>
      </c>
      <c r="J2031" s="65" t="s">
        <v>53</v>
      </c>
      <c r="K2031" s="91" t="s">
        <v>3100</v>
      </c>
      <c r="L2031" s="124"/>
      <c r="M2031" s="65"/>
      <c r="N2031" s="65"/>
      <c r="O2031" s="81"/>
      <c r="P2031" s="82"/>
      <c r="Q2031" s="65" t="s">
        <v>43</v>
      </c>
      <c r="R2031" s="65"/>
    </row>
    <row r="2032" ht="41.4" spans="1:18">
      <c r="A2032" s="58">
        <v>2011</v>
      </c>
      <c r="B2032" s="117">
        <v>45958</v>
      </c>
      <c r="C2032" s="118" t="s">
        <v>640</v>
      </c>
      <c r="D2032" s="65" t="s">
        <v>72</v>
      </c>
      <c r="E2032" s="119" t="s">
        <v>804</v>
      </c>
      <c r="F2032" s="107" t="s">
        <v>36</v>
      </c>
      <c r="G2032" s="65" t="s">
        <v>82</v>
      </c>
      <c r="H2032" s="65" t="s">
        <v>94</v>
      </c>
      <c r="I2032" s="80" t="s">
        <v>3101</v>
      </c>
      <c r="J2032" s="65" t="s">
        <v>53</v>
      </c>
      <c r="K2032" s="91" t="s">
        <v>3102</v>
      </c>
      <c r="L2032" s="124"/>
      <c r="M2032" s="65"/>
      <c r="N2032" s="65"/>
      <c r="O2032" s="81"/>
      <c r="P2032" s="82"/>
      <c r="Q2032" s="65" t="s">
        <v>43</v>
      </c>
      <c r="R2032" s="65"/>
    </row>
    <row r="2033" ht="13.8" spans="1:18">
      <c r="A2033" s="58">
        <v>2012</v>
      </c>
      <c r="B2033" s="117">
        <v>45956</v>
      </c>
      <c r="C2033" s="118" t="s">
        <v>659</v>
      </c>
      <c r="D2033" s="65" t="s">
        <v>72</v>
      </c>
      <c r="E2033" s="119" t="s">
        <v>804</v>
      </c>
      <c r="F2033" s="107" t="s">
        <v>135</v>
      </c>
      <c r="G2033" s="65" t="s">
        <v>37</v>
      </c>
      <c r="H2033" s="65" t="s">
        <v>56</v>
      </c>
      <c r="I2033" s="80" t="s">
        <v>3103</v>
      </c>
      <c r="J2033" s="65" t="s">
        <v>53</v>
      </c>
      <c r="K2033" s="91"/>
      <c r="L2033" s="124"/>
      <c r="M2033" s="65"/>
      <c r="N2033" s="65"/>
      <c r="O2033" s="81"/>
      <c r="P2033" s="82"/>
      <c r="Q2033" s="65" t="s">
        <v>43</v>
      </c>
      <c r="R2033" s="65"/>
    </row>
    <row r="2034" ht="27.6" spans="1:18">
      <c r="A2034" s="58">
        <v>2013</v>
      </c>
      <c r="B2034" s="117">
        <v>45955</v>
      </c>
      <c r="C2034" s="118" t="s">
        <v>659</v>
      </c>
      <c r="D2034" s="65" t="s">
        <v>72</v>
      </c>
      <c r="E2034" s="119" t="s">
        <v>804</v>
      </c>
      <c r="F2034" s="107" t="s">
        <v>36</v>
      </c>
      <c r="G2034" s="65" t="s">
        <v>37</v>
      </c>
      <c r="H2034" s="65" t="s">
        <v>56</v>
      </c>
      <c r="I2034" s="80" t="s">
        <v>3104</v>
      </c>
      <c r="J2034" s="65" t="s">
        <v>53</v>
      </c>
      <c r="K2034" s="91" t="s">
        <v>3105</v>
      </c>
      <c r="L2034" s="124"/>
      <c r="M2034" s="65"/>
      <c r="N2034" s="65"/>
      <c r="O2034" s="81"/>
      <c r="P2034" s="82"/>
      <c r="Q2034" s="65" t="s">
        <v>43</v>
      </c>
      <c r="R2034" s="65"/>
    </row>
    <row r="2035" ht="41.4" spans="1:18">
      <c r="A2035" s="58">
        <v>2014</v>
      </c>
      <c r="B2035" s="117">
        <v>45956</v>
      </c>
      <c r="C2035" s="118" t="s">
        <v>659</v>
      </c>
      <c r="D2035" s="65" t="s">
        <v>72</v>
      </c>
      <c r="E2035" s="119" t="s">
        <v>804</v>
      </c>
      <c r="F2035" s="107" t="s">
        <v>36</v>
      </c>
      <c r="G2035" s="65" t="s">
        <v>37</v>
      </c>
      <c r="H2035" s="65" t="s">
        <v>56</v>
      </c>
      <c r="I2035" s="80" t="s">
        <v>3106</v>
      </c>
      <c r="J2035" s="65" t="s">
        <v>53</v>
      </c>
      <c r="K2035" s="91" t="s">
        <v>3107</v>
      </c>
      <c r="L2035" s="124"/>
      <c r="M2035" s="65"/>
      <c r="N2035" s="65"/>
      <c r="O2035" s="81"/>
      <c r="P2035" s="82"/>
      <c r="Q2035" s="65" t="s">
        <v>43</v>
      </c>
      <c r="R2035" s="65"/>
    </row>
    <row r="2036" ht="41.4" spans="1:18">
      <c r="A2036" s="58">
        <v>2015</v>
      </c>
      <c r="B2036" s="117">
        <v>45957</v>
      </c>
      <c r="C2036" s="118" t="s">
        <v>659</v>
      </c>
      <c r="D2036" s="65" t="s">
        <v>72</v>
      </c>
      <c r="E2036" s="119" t="s">
        <v>804</v>
      </c>
      <c r="F2036" s="107" t="s">
        <v>36</v>
      </c>
      <c r="G2036" s="65" t="s">
        <v>37</v>
      </c>
      <c r="H2036" s="65" t="s">
        <v>94</v>
      </c>
      <c r="I2036" s="80" t="s">
        <v>3108</v>
      </c>
      <c r="J2036" s="65" t="s">
        <v>53</v>
      </c>
      <c r="K2036" s="91" t="s">
        <v>3109</v>
      </c>
      <c r="L2036" s="124"/>
      <c r="M2036" s="65"/>
      <c r="N2036" s="65"/>
      <c r="O2036" s="81"/>
      <c r="P2036" s="82"/>
      <c r="Q2036" s="65" t="s">
        <v>43</v>
      </c>
      <c r="R2036" s="65"/>
    </row>
    <row r="2037" ht="41.4" spans="1:18">
      <c r="A2037" s="58">
        <v>2016</v>
      </c>
      <c r="B2037" s="117">
        <v>45958</v>
      </c>
      <c r="C2037" s="118" t="s">
        <v>659</v>
      </c>
      <c r="D2037" s="65" t="s">
        <v>72</v>
      </c>
      <c r="E2037" s="119" t="s">
        <v>804</v>
      </c>
      <c r="F2037" s="107" t="s">
        <v>36</v>
      </c>
      <c r="G2037" s="65" t="s">
        <v>37</v>
      </c>
      <c r="H2037" s="65" t="s">
        <v>56</v>
      </c>
      <c r="I2037" s="80" t="s">
        <v>3110</v>
      </c>
      <c r="J2037" s="65" t="s">
        <v>53</v>
      </c>
      <c r="K2037" s="91" t="s">
        <v>3111</v>
      </c>
      <c r="L2037" s="124"/>
      <c r="M2037" s="65"/>
      <c r="N2037" s="65"/>
      <c r="O2037" s="81"/>
      <c r="P2037" s="82"/>
      <c r="Q2037" s="65" t="s">
        <v>43</v>
      </c>
      <c r="R2037" s="65"/>
    </row>
    <row r="2038" ht="41.4" spans="1:18">
      <c r="A2038" s="58">
        <v>2017</v>
      </c>
      <c r="B2038" s="117">
        <v>45959</v>
      </c>
      <c r="C2038" s="118" t="s">
        <v>659</v>
      </c>
      <c r="D2038" s="65" t="s">
        <v>72</v>
      </c>
      <c r="E2038" s="119" t="s">
        <v>804</v>
      </c>
      <c r="F2038" s="107" t="s">
        <v>36</v>
      </c>
      <c r="G2038" s="65" t="s">
        <v>37</v>
      </c>
      <c r="H2038" s="65" t="s">
        <v>94</v>
      </c>
      <c r="I2038" s="80" t="s">
        <v>3112</v>
      </c>
      <c r="J2038" s="65" t="s">
        <v>53</v>
      </c>
      <c r="K2038" s="91" t="s">
        <v>3113</v>
      </c>
      <c r="L2038" s="124"/>
      <c r="M2038" s="65"/>
      <c r="N2038" s="65"/>
      <c r="O2038" s="81"/>
      <c r="P2038" s="82"/>
      <c r="Q2038" s="65" t="s">
        <v>43</v>
      </c>
      <c r="R2038" s="65"/>
    </row>
    <row r="2039" ht="27.6" spans="1:18">
      <c r="A2039" s="58">
        <v>2018</v>
      </c>
      <c r="B2039" s="117">
        <v>45960</v>
      </c>
      <c r="C2039" s="118" t="s">
        <v>659</v>
      </c>
      <c r="D2039" s="65" t="s">
        <v>72</v>
      </c>
      <c r="E2039" s="119" t="s">
        <v>804</v>
      </c>
      <c r="F2039" s="107" t="s">
        <v>36</v>
      </c>
      <c r="G2039" s="65" t="s">
        <v>37</v>
      </c>
      <c r="H2039" s="65" t="s">
        <v>56</v>
      </c>
      <c r="I2039" s="80" t="s">
        <v>3114</v>
      </c>
      <c r="J2039" s="65" t="s">
        <v>53</v>
      </c>
      <c r="K2039" s="91" t="s">
        <v>3115</v>
      </c>
      <c r="L2039" s="124"/>
      <c r="M2039" s="65"/>
      <c r="N2039" s="65"/>
      <c r="O2039" s="81"/>
      <c r="P2039" s="82"/>
      <c r="Q2039" s="65" t="s">
        <v>43</v>
      </c>
      <c r="R2039" s="65"/>
    </row>
    <row r="2040" ht="27.6" spans="1:18">
      <c r="A2040" s="58">
        <v>2019</v>
      </c>
      <c r="B2040" s="123">
        <v>45931</v>
      </c>
      <c r="C2040" s="118" t="s">
        <v>3116</v>
      </c>
      <c r="D2040" s="65" t="s">
        <v>35</v>
      </c>
      <c r="E2040" s="119" t="s">
        <v>804</v>
      </c>
      <c r="F2040" s="107" t="s">
        <v>36</v>
      </c>
      <c r="G2040" s="65" t="s">
        <v>131</v>
      </c>
      <c r="H2040" s="65" t="s">
        <v>2663</v>
      </c>
      <c r="I2040" s="80" t="s">
        <v>3117</v>
      </c>
      <c r="J2040" s="65" t="s">
        <v>91</v>
      </c>
      <c r="K2040" s="91" t="s">
        <v>216</v>
      </c>
      <c r="L2040" s="124"/>
      <c r="M2040" s="65"/>
      <c r="N2040" s="65"/>
      <c r="O2040" s="81"/>
      <c r="P2040" s="82"/>
      <c r="Q2040" s="65" t="s">
        <v>43</v>
      </c>
      <c r="R2040" s="62"/>
    </row>
    <row r="2041" ht="27.6" spans="1:18">
      <c r="A2041" s="58">
        <v>2020</v>
      </c>
      <c r="B2041" s="117">
        <v>45931</v>
      </c>
      <c r="C2041" s="115" t="s">
        <v>49</v>
      </c>
      <c r="D2041" s="62" t="s">
        <v>35</v>
      </c>
      <c r="E2041" s="116" t="s">
        <v>804</v>
      </c>
      <c r="F2041" s="105" t="s">
        <v>36</v>
      </c>
      <c r="G2041" s="62" t="s">
        <v>55</v>
      </c>
      <c r="H2041" s="62" t="s">
        <v>1008</v>
      </c>
      <c r="I2041" s="78" t="s">
        <v>3118</v>
      </c>
      <c r="J2041" s="62" t="s">
        <v>91</v>
      </c>
      <c r="K2041" s="67" t="s">
        <v>220</v>
      </c>
      <c r="L2041" s="125"/>
      <c r="M2041" s="62"/>
      <c r="N2041" s="62"/>
      <c r="O2041" s="64"/>
      <c r="P2041" s="79"/>
      <c r="Q2041" s="62" t="s">
        <v>43</v>
      </c>
      <c r="R2041" s="62"/>
    </row>
    <row r="2042" ht="27.6" spans="1:18">
      <c r="A2042" s="58">
        <v>2021</v>
      </c>
      <c r="B2042" s="117">
        <v>45932</v>
      </c>
      <c r="C2042" s="115" t="s">
        <v>1903</v>
      </c>
      <c r="D2042" s="62" t="s">
        <v>35</v>
      </c>
      <c r="E2042" s="116" t="s">
        <v>804</v>
      </c>
      <c r="F2042" s="105" t="s">
        <v>36</v>
      </c>
      <c r="G2042" s="62" t="s">
        <v>3119</v>
      </c>
      <c r="H2042" s="62" t="s">
        <v>1008</v>
      </c>
      <c r="I2042" s="78" t="s">
        <v>3120</v>
      </c>
      <c r="J2042" s="62" t="s">
        <v>40</v>
      </c>
      <c r="K2042" s="67" t="s">
        <v>420</v>
      </c>
      <c r="L2042" s="125"/>
      <c r="M2042" s="62"/>
      <c r="N2042" s="62"/>
      <c r="O2042" s="64"/>
      <c r="P2042" s="79"/>
      <c r="Q2042" s="62" t="s">
        <v>43</v>
      </c>
      <c r="R2042" s="62"/>
    </row>
    <row r="2043" ht="27.6" spans="1:18">
      <c r="A2043" s="58">
        <v>2022</v>
      </c>
      <c r="B2043" s="117">
        <v>45932</v>
      </c>
      <c r="C2043" s="115" t="s">
        <v>191</v>
      </c>
      <c r="D2043" s="62" t="s">
        <v>35</v>
      </c>
      <c r="E2043" s="116" t="s">
        <v>804</v>
      </c>
      <c r="F2043" s="105" t="s">
        <v>36</v>
      </c>
      <c r="G2043" s="62" t="s">
        <v>45</v>
      </c>
      <c r="H2043" s="62" t="s">
        <v>234</v>
      </c>
      <c r="I2043" s="78" t="s">
        <v>3121</v>
      </c>
      <c r="J2043" s="62" t="s">
        <v>40</v>
      </c>
      <c r="K2043" s="67" t="s">
        <v>1398</v>
      </c>
      <c r="L2043" s="125"/>
      <c r="M2043" s="62"/>
      <c r="N2043" s="62"/>
      <c r="O2043" s="64"/>
      <c r="P2043" s="79"/>
      <c r="Q2043" s="62" t="s">
        <v>43</v>
      </c>
      <c r="R2043" s="62"/>
    </row>
    <row r="2044" ht="13.8" spans="1:18">
      <c r="A2044" s="58">
        <v>2023</v>
      </c>
      <c r="B2044" s="117">
        <v>45932</v>
      </c>
      <c r="C2044" s="115" t="s">
        <v>1938</v>
      </c>
      <c r="D2044" s="62" t="s">
        <v>35</v>
      </c>
      <c r="E2044" s="116" t="s">
        <v>804</v>
      </c>
      <c r="F2044" s="105" t="s">
        <v>36</v>
      </c>
      <c r="G2044" s="62" t="s">
        <v>1790</v>
      </c>
      <c r="H2044" s="62" t="s">
        <v>2663</v>
      </c>
      <c r="I2044" s="78" t="s">
        <v>3122</v>
      </c>
      <c r="J2044" s="62" t="s">
        <v>40</v>
      </c>
      <c r="K2044" s="67" t="s">
        <v>1419</v>
      </c>
      <c r="L2044" s="125"/>
      <c r="M2044" s="62"/>
      <c r="N2044" s="62"/>
      <c r="O2044" s="64"/>
      <c r="P2044" s="79"/>
      <c r="Q2044" s="62" t="s">
        <v>43</v>
      </c>
      <c r="R2044" s="62"/>
    </row>
    <row r="2045" ht="27.6" spans="1:18">
      <c r="A2045" s="58">
        <v>2024</v>
      </c>
      <c r="B2045" s="117">
        <v>45934</v>
      </c>
      <c r="C2045" s="115" t="s">
        <v>2666</v>
      </c>
      <c r="D2045" s="62" t="s">
        <v>35</v>
      </c>
      <c r="E2045" s="116" t="s">
        <v>2667</v>
      </c>
      <c r="F2045" s="105" t="s">
        <v>36</v>
      </c>
      <c r="G2045" s="62" t="s">
        <v>61</v>
      </c>
      <c r="H2045" s="62" t="s">
        <v>56</v>
      </c>
      <c r="I2045" s="78" t="s">
        <v>3123</v>
      </c>
      <c r="J2045" s="62" t="s">
        <v>40</v>
      </c>
      <c r="K2045" s="67" t="s">
        <v>1171</v>
      </c>
      <c r="L2045" s="125"/>
      <c r="M2045" s="62"/>
      <c r="N2045" s="62"/>
      <c r="O2045" s="64"/>
      <c r="P2045" s="79"/>
      <c r="Q2045" s="62" t="s">
        <v>43</v>
      </c>
      <c r="R2045" s="62"/>
    </row>
    <row r="2046" ht="13.8" spans="1:18">
      <c r="A2046" s="58">
        <v>2025</v>
      </c>
      <c r="B2046" s="117">
        <v>45934</v>
      </c>
      <c r="C2046" s="115" t="s">
        <v>2872</v>
      </c>
      <c r="D2046" s="62" t="s">
        <v>35</v>
      </c>
      <c r="E2046" s="116" t="s">
        <v>804</v>
      </c>
      <c r="F2046" s="105" t="s">
        <v>36</v>
      </c>
      <c r="G2046" s="62" t="s">
        <v>82</v>
      </c>
      <c r="H2046" s="62" t="s">
        <v>1008</v>
      </c>
      <c r="I2046" s="78" t="s">
        <v>3124</v>
      </c>
      <c r="J2046" s="62" t="s">
        <v>40</v>
      </c>
      <c r="K2046" s="67" t="s">
        <v>3125</v>
      </c>
      <c r="L2046" s="125"/>
      <c r="M2046" s="62"/>
      <c r="N2046" s="62"/>
      <c r="O2046" s="64"/>
      <c r="P2046" s="79"/>
      <c r="Q2046" s="62" t="s">
        <v>43</v>
      </c>
      <c r="R2046" s="62"/>
    </row>
    <row r="2047" ht="13.8" spans="1:18">
      <c r="A2047" s="58">
        <v>2026</v>
      </c>
      <c r="B2047" s="117">
        <v>45935</v>
      </c>
      <c r="C2047" s="115" t="s">
        <v>2664</v>
      </c>
      <c r="D2047" s="62" t="s">
        <v>35</v>
      </c>
      <c r="E2047" s="116" t="s">
        <v>804</v>
      </c>
      <c r="F2047" s="105" t="s">
        <v>36</v>
      </c>
      <c r="G2047" s="62" t="s">
        <v>45</v>
      </c>
      <c r="H2047" s="62" t="s">
        <v>56</v>
      </c>
      <c r="I2047" s="78" t="s">
        <v>3126</v>
      </c>
      <c r="J2047" s="62" t="s">
        <v>40</v>
      </c>
      <c r="K2047" s="67" t="s">
        <v>1025</v>
      </c>
      <c r="L2047" s="125"/>
      <c r="M2047" s="62"/>
      <c r="N2047" s="62"/>
      <c r="O2047" s="64"/>
      <c r="P2047" s="79"/>
      <c r="Q2047" s="62" t="s">
        <v>43</v>
      </c>
      <c r="R2047" s="62"/>
    </row>
    <row r="2048" ht="13.8" spans="1:18">
      <c r="A2048" s="58">
        <v>2027</v>
      </c>
      <c r="B2048" s="117">
        <v>45935</v>
      </c>
      <c r="C2048" s="115" t="s">
        <v>191</v>
      </c>
      <c r="D2048" s="62" t="s">
        <v>35</v>
      </c>
      <c r="E2048" s="116" t="s">
        <v>804</v>
      </c>
      <c r="F2048" s="105" t="s">
        <v>36</v>
      </c>
      <c r="G2048" s="62" t="s">
        <v>65</v>
      </c>
      <c r="H2048" s="62" t="s">
        <v>97</v>
      </c>
      <c r="I2048" s="78" t="s">
        <v>3127</v>
      </c>
      <c r="J2048" s="62" t="s">
        <v>40</v>
      </c>
      <c r="K2048" s="67" t="s">
        <v>365</v>
      </c>
      <c r="L2048" s="125"/>
      <c r="M2048" s="62"/>
      <c r="N2048" s="62"/>
      <c r="O2048" s="64"/>
      <c r="P2048" s="79"/>
      <c r="Q2048" s="62" t="s">
        <v>43</v>
      </c>
      <c r="R2048" s="62"/>
    </row>
    <row r="2049" ht="13.8" spans="1:18">
      <c r="A2049" s="58">
        <v>2028</v>
      </c>
      <c r="B2049" s="117">
        <v>45936</v>
      </c>
      <c r="C2049" s="115" t="s">
        <v>2872</v>
      </c>
      <c r="D2049" s="62" t="s">
        <v>35</v>
      </c>
      <c r="E2049" s="116" t="s">
        <v>804</v>
      </c>
      <c r="F2049" s="105" t="s">
        <v>36</v>
      </c>
      <c r="G2049" s="62" t="s">
        <v>82</v>
      </c>
      <c r="H2049" s="62" t="s">
        <v>56</v>
      </c>
      <c r="I2049" s="78" t="s">
        <v>3128</v>
      </c>
      <c r="J2049" s="62" t="s">
        <v>40</v>
      </c>
      <c r="K2049" s="67" t="s">
        <v>438</v>
      </c>
      <c r="L2049" s="125"/>
      <c r="M2049" s="62"/>
      <c r="N2049" s="62"/>
      <c r="O2049" s="64"/>
      <c r="P2049" s="79"/>
      <c r="Q2049" s="62" t="s">
        <v>43</v>
      </c>
      <c r="R2049" s="62"/>
    </row>
    <row r="2050" ht="13.8" spans="1:18">
      <c r="A2050" s="58">
        <v>2029</v>
      </c>
      <c r="B2050" s="117">
        <v>45936</v>
      </c>
      <c r="C2050" s="115" t="s">
        <v>49</v>
      </c>
      <c r="D2050" s="62" t="s">
        <v>35</v>
      </c>
      <c r="E2050" s="116" t="s">
        <v>804</v>
      </c>
      <c r="F2050" s="105" t="s">
        <v>36</v>
      </c>
      <c r="G2050" s="62" t="s">
        <v>131</v>
      </c>
      <c r="H2050" s="62" t="s">
        <v>132</v>
      </c>
      <c r="I2050" s="78" t="s">
        <v>3129</v>
      </c>
      <c r="J2050" s="62" t="s">
        <v>40</v>
      </c>
      <c r="K2050" s="67" t="s">
        <v>516</v>
      </c>
      <c r="L2050" s="125"/>
      <c r="M2050" s="62"/>
      <c r="N2050" s="62"/>
      <c r="O2050" s="64"/>
      <c r="P2050" s="79"/>
      <c r="Q2050" s="62" t="s">
        <v>43</v>
      </c>
      <c r="R2050" s="62"/>
    </row>
    <row r="2051" ht="13.8" spans="1:18">
      <c r="A2051" s="58">
        <v>2030</v>
      </c>
      <c r="B2051" s="117">
        <v>45930</v>
      </c>
      <c r="C2051" s="115" t="s">
        <v>1903</v>
      </c>
      <c r="D2051" s="62" t="s">
        <v>35</v>
      </c>
      <c r="E2051" s="116" t="s">
        <v>804</v>
      </c>
      <c r="F2051" s="105" t="s">
        <v>36</v>
      </c>
      <c r="G2051" s="62" t="s">
        <v>1790</v>
      </c>
      <c r="H2051" s="62" t="s">
        <v>128</v>
      </c>
      <c r="I2051" s="78" t="s">
        <v>3130</v>
      </c>
      <c r="J2051" s="62" t="s">
        <v>40</v>
      </c>
      <c r="K2051" s="67" t="s">
        <v>528</v>
      </c>
      <c r="L2051" s="125"/>
      <c r="M2051" s="62"/>
      <c r="N2051" s="62"/>
      <c r="O2051" s="64"/>
      <c r="P2051" s="79"/>
      <c r="Q2051" s="62" t="s">
        <v>43</v>
      </c>
      <c r="R2051" s="62"/>
    </row>
    <row r="2052" ht="13.8" spans="1:18">
      <c r="A2052" s="58">
        <v>2031</v>
      </c>
      <c r="B2052" s="117">
        <v>45929</v>
      </c>
      <c r="C2052" s="115" t="s">
        <v>3116</v>
      </c>
      <c r="D2052" s="62" t="s">
        <v>35</v>
      </c>
      <c r="E2052" s="116" t="s">
        <v>804</v>
      </c>
      <c r="F2052" s="105" t="s">
        <v>36</v>
      </c>
      <c r="G2052" s="62" t="s">
        <v>588</v>
      </c>
      <c r="H2052" s="62" t="s">
        <v>132</v>
      </c>
      <c r="I2052" s="78" t="s">
        <v>3131</v>
      </c>
      <c r="J2052" s="62" t="s">
        <v>91</v>
      </c>
      <c r="K2052" s="67" t="s">
        <v>542</v>
      </c>
      <c r="L2052" s="125"/>
      <c r="M2052" s="62"/>
      <c r="N2052" s="62"/>
      <c r="O2052" s="64"/>
      <c r="P2052" s="79"/>
      <c r="Q2052" s="62" t="s">
        <v>43</v>
      </c>
      <c r="R2052" s="62"/>
    </row>
    <row r="2053" ht="13.8" spans="1:18">
      <c r="A2053" s="58">
        <v>2032</v>
      </c>
      <c r="B2053" s="117">
        <v>45930</v>
      </c>
      <c r="C2053" s="115" t="s">
        <v>49</v>
      </c>
      <c r="D2053" s="62" t="s">
        <v>35</v>
      </c>
      <c r="E2053" s="116" t="s">
        <v>804</v>
      </c>
      <c r="F2053" s="105" t="s">
        <v>36</v>
      </c>
      <c r="G2053" s="62" t="s">
        <v>1790</v>
      </c>
      <c r="H2053" s="62" t="s">
        <v>2663</v>
      </c>
      <c r="I2053" s="78" t="s">
        <v>3132</v>
      </c>
      <c r="J2053" s="62" t="s">
        <v>40</v>
      </c>
      <c r="K2053" s="67" t="s">
        <v>550</v>
      </c>
      <c r="L2053" s="125"/>
      <c r="M2053" s="62"/>
      <c r="N2053" s="62"/>
      <c r="O2053" s="64"/>
      <c r="P2053" s="79"/>
      <c r="Q2053" s="62" t="s">
        <v>43</v>
      </c>
      <c r="R2053" s="62"/>
    </row>
    <row r="2054" ht="26.4" spans="1:18">
      <c r="A2054" s="58">
        <v>2033</v>
      </c>
      <c r="B2054" s="117">
        <v>45934</v>
      </c>
      <c r="C2054" s="115" t="s">
        <v>2666</v>
      </c>
      <c r="D2054" s="62" t="s">
        <v>35</v>
      </c>
      <c r="E2054" s="116" t="s">
        <v>804</v>
      </c>
      <c r="F2054" s="105" t="s">
        <v>50</v>
      </c>
      <c r="G2054" s="62" t="s">
        <v>1850</v>
      </c>
      <c r="H2054" s="62" t="s">
        <v>94</v>
      </c>
      <c r="I2054" s="78" t="s">
        <v>3133</v>
      </c>
      <c r="J2054" s="62" t="s">
        <v>40</v>
      </c>
      <c r="K2054" s="67" t="s">
        <v>197</v>
      </c>
      <c r="L2054" s="125"/>
      <c r="M2054" s="62"/>
      <c r="N2054" s="62"/>
      <c r="O2054" s="64"/>
      <c r="P2054" s="79"/>
      <c r="Q2054" s="62" t="s">
        <v>43</v>
      </c>
      <c r="R2054" s="62"/>
    </row>
    <row r="2055" ht="26.4" spans="1:18">
      <c r="A2055" s="58">
        <v>2034</v>
      </c>
      <c r="B2055" s="117">
        <v>45936</v>
      </c>
      <c r="C2055" s="115" t="s">
        <v>2664</v>
      </c>
      <c r="D2055" s="62" t="s">
        <v>35</v>
      </c>
      <c r="E2055" s="116" t="s">
        <v>804</v>
      </c>
      <c r="F2055" s="105" t="s">
        <v>135</v>
      </c>
      <c r="G2055" s="62" t="s">
        <v>45</v>
      </c>
      <c r="H2055" s="62" t="s">
        <v>1008</v>
      </c>
      <c r="I2055" s="78" t="s">
        <v>3134</v>
      </c>
      <c r="J2055" s="62" t="s">
        <v>137</v>
      </c>
      <c r="K2055" s="67" t="s">
        <v>540</v>
      </c>
      <c r="L2055" s="125"/>
      <c r="M2055" s="62"/>
      <c r="N2055" s="62"/>
      <c r="O2055" s="64"/>
      <c r="P2055" s="79"/>
      <c r="Q2055" s="62" t="s">
        <v>8</v>
      </c>
      <c r="R2055" s="62"/>
    </row>
    <row r="2056" ht="26.4" spans="1:18">
      <c r="A2056" s="58">
        <v>2035</v>
      </c>
      <c r="B2056" s="117">
        <v>45932</v>
      </c>
      <c r="C2056" s="115" t="s">
        <v>191</v>
      </c>
      <c r="D2056" s="62" t="s">
        <v>35</v>
      </c>
      <c r="E2056" s="116" t="s">
        <v>804</v>
      </c>
      <c r="F2056" s="105" t="s">
        <v>192</v>
      </c>
      <c r="G2056" s="62" t="s">
        <v>65</v>
      </c>
      <c r="H2056" s="62" t="s">
        <v>56</v>
      </c>
      <c r="I2056" s="78" t="s">
        <v>3135</v>
      </c>
      <c r="J2056" s="62" t="s">
        <v>137</v>
      </c>
      <c r="K2056" s="67" t="s">
        <v>194</v>
      </c>
      <c r="L2056" s="125"/>
      <c r="M2056" s="62"/>
      <c r="N2056" s="62"/>
      <c r="O2056" s="64"/>
      <c r="P2056" s="79"/>
      <c r="Q2056" s="62" t="s">
        <v>8</v>
      </c>
      <c r="R2056" s="62"/>
    </row>
    <row r="2057" ht="26.4" spans="1:18">
      <c r="A2057" s="58">
        <v>2036</v>
      </c>
      <c r="B2057" s="117">
        <v>45937</v>
      </c>
      <c r="C2057" s="115" t="s">
        <v>1938</v>
      </c>
      <c r="D2057" s="62" t="s">
        <v>35</v>
      </c>
      <c r="E2057" s="116" t="s">
        <v>804</v>
      </c>
      <c r="F2057" s="105" t="s">
        <v>36</v>
      </c>
      <c r="G2057" s="62" t="s">
        <v>65</v>
      </c>
      <c r="H2057" s="62" t="s">
        <v>1008</v>
      </c>
      <c r="I2057" s="78" t="s">
        <v>3136</v>
      </c>
      <c r="J2057" s="62" t="s">
        <v>40</v>
      </c>
      <c r="K2057" s="67" t="s">
        <v>556</v>
      </c>
      <c r="L2057" s="125"/>
      <c r="M2057" s="62"/>
      <c r="N2057" s="62"/>
      <c r="O2057" s="64"/>
      <c r="P2057" s="79"/>
      <c r="Q2057" s="62" t="s">
        <v>43</v>
      </c>
      <c r="R2057" s="62"/>
    </row>
    <row r="2058" ht="13.8" spans="1:18">
      <c r="A2058" s="58">
        <v>2037</v>
      </c>
      <c r="B2058" s="117">
        <v>45939</v>
      </c>
      <c r="C2058" s="115" t="s">
        <v>2666</v>
      </c>
      <c r="D2058" s="62" t="s">
        <v>35</v>
      </c>
      <c r="E2058" s="116" t="s">
        <v>2667</v>
      </c>
      <c r="F2058" s="105" t="s">
        <v>36</v>
      </c>
      <c r="G2058" s="62" t="s">
        <v>1617</v>
      </c>
      <c r="H2058" s="62" t="s">
        <v>128</v>
      </c>
      <c r="I2058" s="78" t="s">
        <v>3137</v>
      </c>
      <c r="J2058" s="62" t="s">
        <v>40</v>
      </c>
      <c r="K2058" s="67" t="s">
        <v>1032</v>
      </c>
      <c r="L2058" s="125"/>
      <c r="M2058" s="62"/>
      <c r="N2058" s="62"/>
      <c r="O2058" s="64"/>
      <c r="P2058" s="79"/>
      <c r="Q2058" s="62" t="s">
        <v>43</v>
      </c>
      <c r="R2058" s="62"/>
    </row>
    <row r="2059" ht="26.4" spans="1:18">
      <c r="A2059" s="58">
        <v>2038</v>
      </c>
      <c r="B2059" s="117">
        <v>45939</v>
      </c>
      <c r="C2059" s="115" t="s">
        <v>49</v>
      </c>
      <c r="D2059" s="62" t="s">
        <v>35</v>
      </c>
      <c r="E2059" s="116" t="s">
        <v>804</v>
      </c>
      <c r="F2059" s="105" t="s">
        <v>36</v>
      </c>
      <c r="G2059" s="62" t="s">
        <v>1850</v>
      </c>
      <c r="H2059" s="62" t="s">
        <v>2663</v>
      </c>
      <c r="I2059" s="78" t="s">
        <v>3138</v>
      </c>
      <c r="J2059" s="62" t="s">
        <v>40</v>
      </c>
      <c r="K2059" s="67" t="s">
        <v>449</v>
      </c>
      <c r="L2059" s="125"/>
      <c r="M2059" s="62"/>
      <c r="N2059" s="62"/>
      <c r="O2059" s="64"/>
      <c r="P2059" s="79"/>
      <c r="Q2059" s="62" t="s">
        <v>43</v>
      </c>
      <c r="R2059" s="62"/>
    </row>
    <row r="2060" ht="13.8" spans="1:18">
      <c r="A2060" s="58">
        <v>2039</v>
      </c>
      <c r="B2060" s="117">
        <v>45941</v>
      </c>
      <c r="C2060" s="115" t="s">
        <v>191</v>
      </c>
      <c r="D2060" s="62" t="s">
        <v>35</v>
      </c>
      <c r="E2060" s="116" t="s">
        <v>804</v>
      </c>
      <c r="F2060" s="105" t="s">
        <v>36</v>
      </c>
      <c r="G2060" s="62" t="s">
        <v>1850</v>
      </c>
      <c r="H2060" s="62" t="s">
        <v>94</v>
      </c>
      <c r="I2060" s="78" t="s">
        <v>3139</v>
      </c>
      <c r="J2060" s="62" t="s">
        <v>40</v>
      </c>
      <c r="K2060" s="67" t="s">
        <v>185</v>
      </c>
      <c r="L2060" s="125"/>
      <c r="M2060" s="62"/>
      <c r="N2060" s="62"/>
      <c r="O2060" s="64"/>
      <c r="P2060" s="79"/>
      <c r="Q2060" s="62" t="s">
        <v>43</v>
      </c>
      <c r="R2060" s="62"/>
    </row>
    <row r="2061" ht="13.8" spans="1:18">
      <c r="A2061" s="58">
        <v>2040</v>
      </c>
      <c r="B2061" s="117">
        <v>45942</v>
      </c>
      <c r="C2061" s="115" t="s">
        <v>1903</v>
      </c>
      <c r="D2061" s="62" t="s">
        <v>35</v>
      </c>
      <c r="E2061" s="116" t="s">
        <v>804</v>
      </c>
      <c r="F2061" s="105" t="s">
        <v>36</v>
      </c>
      <c r="G2061" s="62" t="s">
        <v>55</v>
      </c>
      <c r="H2061" s="62" t="s">
        <v>2663</v>
      </c>
      <c r="I2061" s="78" t="s">
        <v>3140</v>
      </c>
      <c r="J2061" s="62" t="s">
        <v>40</v>
      </c>
      <c r="K2061" s="67" t="s">
        <v>188</v>
      </c>
      <c r="L2061" s="125"/>
      <c r="M2061" s="62"/>
      <c r="N2061" s="62"/>
      <c r="O2061" s="64"/>
      <c r="P2061" s="79"/>
      <c r="Q2061" s="62" t="s">
        <v>43</v>
      </c>
      <c r="R2061" s="62"/>
    </row>
    <row r="2062" ht="13.8" spans="1:18">
      <c r="A2062" s="58">
        <v>2041</v>
      </c>
      <c r="B2062" s="117">
        <v>45937</v>
      </c>
      <c r="C2062" s="115" t="s">
        <v>3116</v>
      </c>
      <c r="D2062" s="62" t="s">
        <v>35</v>
      </c>
      <c r="E2062" s="116" t="s">
        <v>804</v>
      </c>
      <c r="F2062" s="105" t="s">
        <v>36</v>
      </c>
      <c r="G2062" s="62" t="s">
        <v>45</v>
      </c>
      <c r="H2062" s="62" t="s">
        <v>2663</v>
      </c>
      <c r="I2062" s="78" t="s">
        <v>3141</v>
      </c>
      <c r="J2062" s="62" t="s">
        <v>91</v>
      </c>
      <c r="K2062" s="67" t="s">
        <v>514</v>
      </c>
      <c r="L2062" s="125"/>
      <c r="M2062" s="62"/>
      <c r="N2062" s="62"/>
      <c r="O2062" s="64"/>
      <c r="P2062" s="79"/>
      <c r="Q2062" s="62" t="s">
        <v>43</v>
      </c>
      <c r="R2062" s="62"/>
    </row>
    <row r="2063" ht="13.8" spans="1:18">
      <c r="A2063" s="58">
        <v>2042</v>
      </c>
      <c r="B2063" s="117">
        <v>45941</v>
      </c>
      <c r="C2063" s="115" t="s">
        <v>2664</v>
      </c>
      <c r="D2063" s="62" t="s">
        <v>35</v>
      </c>
      <c r="E2063" s="116" t="s">
        <v>804</v>
      </c>
      <c r="F2063" s="105" t="s">
        <v>36</v>
      </c>
      <c r="G2063" s="62" t="s">
        <v>131</v>
      </c>
      <c r="H2063" s="62" t="s">
        <v>132</v>
      </c>
      <c r="I2063" s="78" t="s">
        <v>3142</v>
      </c>
      <c r="J2063" s="62" t="s">
        <v>40</v>
      </c>
      <c r="K2063" s="67" t="s">
        <v>1203</v>
      </c>
      <c r="L2063" s="125"/>
      <c r="M2063" s="62"/>
      <c r="N2063" s="62"/>
      <c r="O2063" s="64"/>
      <c r="P2063" s="79"/>
      <c r="Q2063" s="62" t="s">
        <v>43</v>
      </c>
      <c r="R2063" s="62"/>
    </row>
    <row r="2064" ht="27.6" spans="1:18">
      <c r="A2064" s="58">
        <v>2043</v>
      </c>
      <c r="B2064" s="117">
        <v>45943</v>
      </c>
      <c r="C2064" s="115" t="s">
        <v>49</v>
      </c>
      <c r="D2064" s="62" t="s">
        <v>35</v>
      </c>
      <c r="E2064" s="116" t="s">
        <v>804</v>
      </c>
      <c r="F2064" s="105" t="s">
        <v>36</v>
      </c>
      <c r="G2064" s="62" t="s">
        <v>1790</v>
      </c>
      <c r="H2064" s="62" t="s">
        <v>132</v>
      </c>
      <c r="I2064" s="78" t="s">
        <v>3143</v>
      </c>
      <c r="J2064" s="62" t="s">
        <v>40</v>
      </c>
      <c r="K2064" s="67" t="s">
        <v>564</v>
      </c>
      <c r="L2064" s="125"/>
      <c r="M2064" s="62"/>
      <c r="N2064" s="62"/>
      <c r="O2064" s="64"/>
      <c r="P2064" s="79"/>
      <c r="Q2064" s="62" t="s">
        <v>43</v>
      </c>
      <c r="R2064" s="62"/>
    </row>
    <row r="2065" ht="26.4" spans="1:18">
      <c r="A2065" s="58">
        <v>2044</v>
      </c>
      <c r="B2065" s="117">
        <v>45938</v>
      </c>
      <c r="C2065" s="115" t="s">
        <v>191</v>
      </c>
      <c r="D2065" s="62" t="s">
        <v>35</v>
      </c>
      <c r="E2065" s="116" t="s">
        <v>804</v>
      </c>
      <c r="F2065" s="105" t="s">
        <v>36</v>
      </c>
      <c r="G2065" s="62" t="s">
        <v>3119</v>
      </c>
      <c r="H2065" s="62" t="s">
        <v>2663</v>
      </c>
      <c r="I2065" s="78" t="s">
        <v>3144</v>
      </c>
      <c r="J2065" s="62" t="s">
        <v>40</v>
      </c>
      <c r="K2065" s="67" t="s">
        <v>447</v>
      </c>
      <c r="L2065" s="125"/>
      <c r="M2065" s="62"/>
      <c r="N2065" s="62"/>
      <c r="O2065" s="64"/>
      <c r="P2065" s="79"/>
      <c r="Q2065" s="62" t="s">
        <v>43</v>
      </c>
      <c r="R2065" s="62"/>
    </row>
    <row r="2066" ht="13.8" spans="1:18">
      <c r="A2066" s="58">
        <v>2045</v>
      </c>
      <c r="B2066" s="117">
        <v>45942</v>
      </c>
      <c r="C2066" s="115" t="s">
        <v>2872</v>
      </c>
      <c r="D2066" s="62" t="s">
        <v>35</v>
      </c>
      <c r="E2066" s="116" t="s">
        <v>804</v>
      </c>
      <c r="F2066" s="105" t="s">
        <v>36</v>
      </c>
      <c r="G2066" s="62" t="s">
        <v>65</v>
      </c>
      <c r="H2066" s="62" t="s">
        <v>46</v>
      </c>
      <c r="I2066" s="78" t="s">
        <v>3145</v>
      </c>
      <c r="J2066" s="62" t="s">
        <v>40</v>
      </c>
      <c r="K2066" s="67" t="s">
        <v>3146</v>
      </c>
      <c r="L2066" s="125"/>
      <c r="M2066" s="62"/>
      <c r="N2066" s="62"/>
      <c r="O2066" s="64"/>
      <c r="P2066" s="79"/>
      <c r="Q2066" s="62" t="s">
        <v>43</v>
      </c>
      <c r="R2066" s="62"/>
    </row>
    <row r="2067" ht="13.8" spans="1:18">
      <c r="A2067" s="58">
        <v>2046</v>
      </c>
      <c r="B2067" s="117">
        <v>45938</v>
      </c>
      <c r="C2067" s="115" t="s">
        <v>1938</v>
      </c>
      <c r="D2067" s="62" t="s">
        <v>35</v>
      </c>
      <c r="E2067" s="116" t="s">
        <v>804</v>
      </c>
      <c r="F2067" s="105" t="s">
        <v>36</v>
      </c>
      <c r="G2067" s="62" t="s">
        <v>61</v>
      </c>
      <c r="H2067" s="62" t="s">
        <v>38</v>
      </c>
      <c r="I2067" s="78" t="s">
        <v>3147</v>
      </c>
      <c r="J2067" s="62" t="s">
        <v>40</v>
      </c>
      <c r="K2067" s="67" t="s">
        <v>3148</v>
      </c>
      <c r="L2067" s="125"/>
      <c r="M2067" s="62"/>
      <c r="N2067" s="62"/>
      <c r="O2067" s="64"/>
      <c r="P2067" s="79"/>
      <c r="Q2067" s="62" t="s">
        <v>43</v>
      </c>
      <c r="R2067" s="62"/>
    </row>
    <row r="2068" ht="13.8" spans="1:18">
      <c r="A2068" s="58">
        <v>2047</v>
      </c>
      <c r="B2068" s="117">
        <v>45939</v>
      </c>
      <c r="C2068" s="115" t="s">
        <v>2872</v>
      </c>
      <c r="D2068" s="62" t="s">
        <v>35</v>
      </c>
      <c r="E2068" s="116" t="s">
        <v>804</v>
      </c>
      <c r="F2068" s="105" t="s">
        <v>50</v>
      </c>
      <c r="G2068" s="62" t="s">
        <v>61</v>
      </c>
      <c r="H2068" s="62" t="s">
        <v>51</v>
      </c>
      <c r="I2068" s="78" t="s">
        <v>3149</v>
      </c>
      <c r="J2068" s="62" t="s">
        <v>40</v>
      </c>
      <c r="K2068" s="67" t="s">
        <v>433</v>
      </c>
      <c r="L2068" s="125"/>
      <c r="M2068" s="62"/>
      <c r="N2068" s="62"/>
      <c r="O2068" s="64"/>
      <c r="P2068" s="79"/>
      <c r="Q2068" s="62" t="s">
        <v>43</v>
      </c>
      <c r="R2068" s="62"/>
    </row>
    <row r="2069" ht="13.8" spans="1:18">
      <c r="A2069" s="58">
        <v>2048</v>
      </c>
      <c r="B2069" s="117">
        <v>45942</v>
      </c>
      <c r="C2069" s="115" t="s">
        <v>3116</v>
      </c>
      <c r="D2069" s="62" t="s">
        <v>35</v>
      </c>
      <c r="E2069" s="116" t="s">
        <v>804</v>
      </c>
      <c r="F2069" s="105" t="s">
        <v>50</v>
      </c>
      <c r="G2069" s="62" t="s">
        <v>1790</v>
      </c>
      <c r="H2069" s="62" t="s">
        <v>51</v>
      </c>
      <c r="I2069" s="78" t="s">
        <v>3150</v>
      </c>
      <c r="J2069" s="62" t="s">
        <v>40</v>
      </c>
      <c r="K2069" s="67" t="s">
        <v>3151</v>
      </c>
      <c r="L2069" s="125"/>
      <c r="M2069" s="62"/>
      <c r="N2069" s="62"/>
      <c r="O2069" s="64"/>
      <c r="P2069" s="79"/>
      <c r="Q2069" s="62" t="s">
        <v>43</v>
      </c>
      <c r="R2069" s="62"/>
    </row>
    <row r="2070" ht="26.4" spans="1:18">
      <c r="A2070" s="58">
        <v>2049</v>
      </c>
      <c r="B2070" s="117">
        <v>45939</v>
      </c>
      <c r="C2070" s="115" t="s">
        <v>2664</v>
      </c>
      <c r="D2070" s="62" t="s">
        <v>35</v>
      </c>
      <c r="E2070" s="116" t="s">
        <v>804</v>
      </c>
      <c r="F2070" s="105" t="s">
        <v>135</v>
      </c>
      <c r="G2070" s="62" t="s">
        <v>45</v>
      </c>
      <c r="H2070" s="62" t="s">
        <v>1008</v>
      </c>
      <c r="I2070" s="78" t="s">
        <v>3134</v>
      </c>
      <c r="J2070" s="62" t="s">
        <v>137</v>
      </c>
      <c r="K2070" s="67" t="s">
        <v>540</v>
      </c>
      <c r="L2070" s="125"/>
      <c r="M2070" s="62"/>
      <c r="N2070" s="62"/>
      <c r="O2070" s="64"/>
      <c r="P2070" s="79"/>
      <c r="Q2070" s="62" t="s">
        <v>8</v>
      </c>
      <c r="R2070" s="62"/>
    </row>
    <row r="2071" ht="26.4" spans="1:18">
      <c r="A2071" s="58">
        <v>2050</v>
      </c>
      <c r="B2071" s="117">
        <v>45943</v>
      </c>
      <c r="C2071" s="115" t="s">
        <v>191</v>
      </c>
      <c r="D2071" s="62" t="s">
        <v>35</v>
      </c>
      <c r="E2071" s="116" t="s">
        <v>804</v>
      </c>
      <c r="F2071" s="105" t="s">
        <v>192</v>
      </c>
      <c r="G2071" s="62" t="s">
        <v>65</v>
      </c>
      <c r="H2071" s="62" t="s">
        <v>56</v>
      </c>
      <c r="I2071" s="78" t="s">
        <v>3135</v>
      </c>
      <c r="J2071" s="62" t="s">
        <v>137</v>
      </c>
      <c r="K2071" s="67" t="s">
        <v>194</v>
      </c>
      <c r="L2071" s="125"/>
      <c r="M2071" s="62"/>
      <c r="N2071" s="62"/>
      <c r="O2071" s="64"/>
      <c r="P2071" s="79"/>
      <c r="Q2071" s="62" t="s">
        <v>8</v>
      </c>
      <c r="R2071" s="62"/>
    </row>
    <row r="2072" ht="13.8" spans="1:18">
      <c r="A2072" s="58">
        <v>2051</v>
      </c>
      <c r="B2072" s="117">
        <v>45938</v>
      </c>
      <c r="C2072" s="115" t="s">
        <v>2872</v>
      </c>
      <c r="D2072" s="62" t="s">
        <v>35</v>
      </c>
      <c r="E2072" s="116" t="s">
        <v>804</v>
      </c>
      <c r="F2072" s="105" t="s">
        <v>135</v>
      </c>
      <c r="G2072" s="62" t="s">
        <v>61</v>
      </c>
      <c r="H2072" s="62" t="s">
        <v>2663</v>
      </c>
      <c r="I2072" s="78" t="s">
        <v>3152</v>
      </c>
      <c r="J2072" s="62" t="s">
        <v>137</v>
      </c>
      <c r="K2072" s="67" t="s">
        <v>194</v>
      </c>
      <c r="L2072" s="125"/>
      <c r="M2072" s="62"/>
      <c r="N2072" s="62"/>
      <c r="O2072" s="64"/>
      <c r="P2072" s="79"/>
      <c r="Q2072" s="62" t="s">
        <v>8</v>
      </c>
      <c r="R2072" s="62"/>
    </row>
    <row r="2073" ht="26.4" spans="1:18">
      <c r="A2073" s="58">
        <v>2052</v>
      </c>
      <c r="B2073" s="117">
        <v>45944</v>
      </c>
      <c r="C2073" s="115" t="s">
        <v>49</v>
      </c>
      <c r="D2073" s="62" t="s">
        <v>35</v>
      </c>
      <c r="E2073" s="116" t="s">
        <v>804</v>
      </c>
      <c r="F2073" s="105" t="s">
        <v>36</v>
      </c>
      <c r="G2073" s="62" t="s">
        <v>131</v>
      </c>
      <c r="H2073" s="62" t="s">
        <v>38</v>
      </c>
      <c r="I2073" s="78" t="s">
        <v>3153</v>
      </c>
      <c r="J2073" s="62" t="s">
        <v>40</v>
      </c>
      <c r="K2073" s="67" t="s">
        <v>449</v>
      </c>
      <c r="L2073" s="125"/>
      <c r="M2073" s="62"/>
      <c r="N2073" s="62"/>
      <c r="O2073" s="64"/>
      <c r="P2073" s="79"/>
      <c r="Q2073" s="62" t="s">
        <v>43</v>
      </c>
      <c r="R2073" s="62"/>
    </row>
    <row r="2074" ht="26.4" spans="1:18">
      <c r="A2074" s="58">
        <v>2053</v>
      </c>
      <c r="B2074" s="117">
        <v>45946</v>
      </c>
      <c r="C2074" s="115" t="s">
        <v>2666</v>
      </c>
      <c r="D2074" s="62" t="s">
        <v>35</v>
      </c>
      <c r="E2074" s="116" t="s">
        <v>2667</v>
      </c>
      <c r="F2074" s="105" t="s">
        <v>36</v>
      </c>
      <c r="G2074" s="62" t="s">
        <v>45</v>
      </c>
      <c r="H2074" s="62" t="s">
        <v>94</v>
      </c>
      <c r="I2074" s="78" t="s">
        <v>3154</v>
      </c>
      <c r="J2074" s="62" t="s">
        <v>40</v>
      </c>
      <c r="K2074" s="67" t="s">
        <v>2157</v>
      </c>
      <c r="L2074" s="125"/>
      <c r="M2074" s="62"/>
      <c r="N2074" s="62"/>
      <c r="O2074" s="64"/>
      <c r="P2074" s="79"/>
      <c r="Q2074" s="62" t="s">
        <v>43</v>
      </c>
      <c r="R2074" s="62"/>
    </row>
    <row r="2075" ht="27.6" spans="1:18">
      <c r="A2075" s="58">
        <v>2054</v>
      </c>
      <c r="B2075" s="117">
        <v>45948</v>
      </c>
      <c r="C2075" s="115" t="s">
        <v>3116</v>
      </c>
      <c r="D2075" s="62" t="s">
        <v>35</v>
      </c>
      <c r="E2075" s="116" t="s">
        <v>804</v>
      </c>
      <c r="F2075" s="105" t="s">
        <v>36</v>
      </c>
      <c r="G2075" s="62" t="s">
        <v>1790</v>
      </c>
      <c r="H2075" s="62" t="s">
        <v>66</v>
      </c>
      <c r="I2075" s="78" t="s">
        <v>3155</v>
      </c>
      <c r="J2075" s="62" t="s">
        <v>40</v>
      </c>
      <c r="K2075" s="67" t="s">
        <v>3156</v>
      </c>
      <c r="L2075" s="125"/>
      <c r="M2075" s="62"/>
      <c r="N2075" s="62"/>
      <c r="O2075" s="64"/>
      <c r="P2075" s="79"/>
      <c r="Q2075" s="62" t="s">
        <v>43</v>
      </c>
      <c r="R2075" s="62"/>
    </row>
    <row r="2076" ht="13.8" spans="1:18">
      <c r="A2076" s="58">
        <v>2055</v>
      </c>
      <c r="B2076" s="117">
        <v>45950</v>
      </c>
      <c r="C2076" s="115" t="s">
        <v>1903</v>
      </c>
      <c r="D2076" s="62" t="s">
        <v>35</v>
      </c>
      <c r="E2076" s="116" t="s">
        <v>804</v>
      </c>
      <c r="F2076" s="105" t="s">
        <v>36</v>
      </c>
      <c r="G2076" s="62" t="s">
        <v>37</v>
      </c>
      <c r="H2076" s="62" t="s">
        <v>51</v>
      </c>
      <c r="I2076" s="78" t="s">
        <v>3149</v>
      </c>
      <c r="J2076" s="62" t="s">
        <v>40</v>
      </c>
      <c r="K2076" s="67" t="s">
        <v>433</v>
      </c>
      <c r="L2076" s="125"/>
      <c r="M2076" s="62"/>
      <c r="N2076" s="62"/>
      <c r="O2076" s="64"/>
      <c r="P2076" s="79"/>
      <c r="Q2076" s="62" t="s">
        <v>43</v>
      </c>
      <c r="R2076" s="62"/>
    </row>
    <row r="2077" ht="13.8" spans="1:18">
      <c r="A2077" s="58">
        <v>2056</v>
      </c>
      <c r="B2077" s="117">
        <v>45944</v>
      </c>
      <c r="C2077" s="115" t="s">
        <v>49</v>
      </c>
      <c r="D2077" s="62" t="s">
        <v>35</v>
      </c>
      <c r="E2077" s="116" t="s">
        <v>804</v>
      </c>
      <c r="F2077" s="105" t="s">
        <v>36</v>
      </c>
      <c r="G2077" s="62" t="s">
        <v>61</v>
      </c>
      <c r="H2077" s="62" t="s">
        <v>94</v>
      </c>
      <c r="I2077" s="78" t="s">
        <v>3157</v>
      </c>
      <c r="J2077" s="62" t="s">
        <v>40</v>
      </c>
      <c r="K2077" s="67" t="s">
        <v>1888</v>
      </c>
      <c r="L2077" s="125"/>
      <c r="M2077" s="62"/>
      <c r="N2077" s="62"/>
      <c r="O2077" s="64"/>
      <c r="P2077" s="79"/>
      <c r="Q2077" s="62" t="s">
        <v>43</v>
      </c>
      <c r="R2077" s="62"/>
    </row>
    <row r="2078" ht="26.4" spans="1:18">
      <c r="A2078" s="58">
        <v>2057</v>
      </c>
      <c r="B2078" s="117">
        <v>45950</v>
      </c>
      <c r="C2078" s="115" t="s">
        <v>191</v>
      </c>
      <c r="D2078" s="62" t="s">
        <v>35</v>
      </c>
      <c r="E2078" s="116" t="s">
        <v>804</v>
      </c>
      <c r="F2078" s="105" t="s">
        <v>36</v>
      </c>
      <c r="G2078" s="62" t="s">
        <v>1617</v>
      </c>
      <c r="H2078" s="62" t="s">
        <v>128</v>
      </c>
      <c r="I2078" s="78" t="s">
        <v>3158</v>
      </c>
      <c r="J2078" s="62" t="s">
        <v>40</v>
      </c>
      <c r="K2078" s="67" t="s">
        <v>3159</v>
      </c>
      <c r="L2078" s="125"/>
      <c r="M2078" s="62"/>
      <c r="N2078" s="62"/>
      <c r="O2078" s="64"/>
      <c r="P2078" s="79"/>
      <c r="Q2078" s="62" t="s">
        <v>43</v>
      </c>
      <c r="R2078" s="62"/>
    </row>
    <row r="2079" ht="26.4" spans="1:18">
      <c r="A2079" s="58">
        <v>2058</v>
      </c>
      <c r="B2079" s="117">
        <v>45949</v>
      </c>
      <c r="C2079" s="115" t="s">
        <v>2872</v>
      </c>
      <c r="D2079" s="62" t="s">
        <v>35</v>
      </c>
      <c r="E2079" s="116" t="s">
        <v>804</v>
      </c>
      <c r="F2079" s="105" t="s">
        <v>36</v>
      </c>
      <c r="G2079" s="62" t="s">
        <v>82</v>
      </c>
      <c r="H2079" s="62" t="s">
        <v>56</v>
      </c>
      <c r="I2079" s="78" t="s">
        <v>3160</v>
      </c>
      <c r="J2079" s="62" t="s">
        <v>40</v>
      </c>
      <c r="K2079" s="67" t="s">
        <v>1050</v>
      </c>
      <c r="L2079" s="125"/>
      <c r="M2079" s="62"/>
      <c r="N2079" s="62"/>
      <c r="O2079" s="64"/>
      <c r="P2079" s="79"/>
      <c r="Q2079" s="62" t="s">
        <v>43</v>
      </c>
      <c r="R2079" s="62"/>
    </row>
    <row r="2080" ht="13.8" spans="1:18">
      <c r="A2080" s="58">
        <v>2059</v>
      </c>
      <c r="B2080" s="117">
        <v>45948</v>
      </c>
      <c r="C2080" s="115" t="s">
        <v>2664</v>
      </c>
      <c r="D2080" s="62" t="s">
        <v>35</v>
      </c>
      <c r="E2080" s="116" t="s">
        <v>804</v>
      </c>
      <c r="F2080" s="105" t="s">
        <v>36</v>
      </c>
      <c r="G2080" s="62" t="s">
        <v>1850</v>
      </c>
      <c r="H2080" s="62" t="s">
        <v>94</v>
      </c>
      <c r="I2080" s="78" t="s">
        <v>3161</v>
      </c>
      <c r="J2080" s="62" t="s">
        <v>40</v>
      </c>
      <c r="K2080" s="67" t="s">
        <v>3162</v>
      </c>
      <c r="L2080" s="125"/>
      <c r="M2080" s="62"/>
      <c r="N2080" s="62"/>
      <c r="O2080" s="64"/>
      <c r="P2080" s="79"/>
      <c r="Q2080" s="62" t="s">
        <v>43</v>
      </c>
      <c r="R2080" s="62"/>
    </row>
    <row r="2081" ht="13.8" spans="1:18">
      <c r="A2081" s="58">
        <v>2060</v>
      </c>
      <c r="B2081" s="117">
        <v>45946</v>
      </c>
      <c r="C2081" s="115" t="s">
        <v>1938</v>
      </c>
      <c r="D2081" s="62" t="s">
        <v>35</v>
      </c>
      <c r="E2081" s="116" t="s">
        <v>804</v>
      </c>
      <c r="F2081" s="105" t="s">
        <v>36</v>
      </c>
      <c r="G2081" s="62" t="s">
        <v>131</v>
      </c>
      <c r="H2081" s="62" t="s">
        <v>56</v>
      </c>
      <c r="I2081" s="78" t="s">
        <v>3163</v>
      </c>
      <c r="J2081" s="62" t="s">
        <v>40</v>
      </c>
      <c r="K2081" s="67" t="s">
        <v>1332</v>
      </c>
      <c r="L2081" s="125"/>
      <c r="M2081" s="62"/>
      <c r="N2081" s="62"/>
      <c r="O2081" s="64"/>
      <c r="P2081" s="79"/>
      <c r="Q2081" s="62" t="s">
        <v>43</v>
      </c>
      <c r="R2081" s="62"/>
    </row>
    <row r="2082" ht="13.8" spans="1:18">
      <c r="A2082" s="58">
        <v>2061</v>
      </c>
      <c r="B2082" s="117">
        <v>45950</v>
      </c>
      <c r="C2082" s="115" t="s">
        <v>49</v>
      </c>
      <c r="D2082" s="62" t="s">
        <v>35</v>
      </c>
      <c r="E2082" s="116" t="s">
        <v>804</v>
      </c>
      <c r="F2082" s="105" t="s">
        <v>50</v>
      </c>
      <c r="G2082" s="62" t="s">
        <v>79</v>
      </c>
      <c r="H2082" s="62" t="s">
        <v>51</v>
      </c>
      <c r="I2082" s="78" t="s">
        <v>3164</v>
      </c>
      <c r="J2082" s="62" t="s">
        <v>40</v>
      </c>
      <c r="K2082" s="67" t="s">
        <v>3165</v>
      </c>
      <c r="L2082" s="125"/>
      <c r="M2082" s="62"/>
      <c r="N2082" s="62"/>
      <c r="O2082" s="64"/>
      <c r="P2082" s="79"/>
      <c r="Q2082" s="62" t="s">
        <v>43</v>
      </c>
      <c r="R2082" s="62"/>
    </row>
    <row r="2083" ht="27.6" spans="1:18">
      <c r="A2083" s="58">
        <v>2062</v>
      </c>
      <c r="B2083" s="117">
        <v>45944</v>
      </c>
      <c r="C2083" s="115" t="s">
        <v>1903</v>
      </c>
      <c r="D2083" s="62" t="s">
        <v>35</v>
      </c>
      <c r="E2083" s="116" t="s">
        <v>804</v>
      </c>
      <c r="F2083" s="105" t="s">
        <v>50</v>
      </c>
      <c r="G2083" s="62" t="s">
        <v>65</v>
      </c>
      <c r="H2083" s="62" t="s">
        <v>94</v>
      </c>
      <c r="I2083" s="78" t="s">
        <v>3166</v>
      </c>
      <c r="J2083" s="62" t="s">
        <v>40</v>
      </c>
      <c r="K2083" s="67" t="s">
        <v>3167</v>
      </c>
      <c r="L2083" s="125"/>
      <c r="M2083" s="62"/>
      <c r="N2083" s="62"/>
      <c r="O2083" s="64"/>
      <c r="P2083" s="79"/>
      <c r="Q2083" s="62" t="s">
        <v>43</v>
      </c>
      <c r="R2083" s="62"/>
    </row>
    <row r="2084" ht="13.8" spans="1:18">
      <c r="A2084" s="58">
        <v>2063</v>
      </c>
      <c r="B2084" s="117">
        <v>45946</v>
      </c>
      <c r="C2084" s="115" t="s">
        <v>191</v>
      </c>
      <c r="D2084" s="62" t="s">
        <v>35</v>
      </c>
      <c r="E2084" s="116" t="s">
        <v>804</v>
      </c>
      <c r="F2084" s="105" t="s">
        <v>50</v>
      </c>
      <c r="G2084" s="62" t="s">
        <v>37</v>
      </c>
      <c r="H2084" s="62" t="s">
        <v>94</v>
      </c>
      <c r="I2084" s="78" t="s">
        <v>196</v>
      </c>
      <c r="J2084" s="62" t="s">
        <v>40</v>
      </c>
      <c r="K2084" s="67" t="s">
        <v>197</v>
      </c>
      <c r="L2084" s="125"/>
      <c r="M2084" s="62"/>
      <c r="N2084" s="62"/>
      <c r="O2084" s="64"/>
      <c r="P2084" s="79"/>
      <c r="Q2084" s="62" t="s">
        <v>43</v>
      </c>
      <c r="R2084" s="62"/>
    </row>
    <row r="2085" ht="13.8" spans="1:18">
      <c r="A2085" s="58">
        <v>2064</v>
      </c>
      <c r="B2085" s="117">
        <v>45949</v>
      </c>
      <c r="C2085" s="115" t="s">
        <v>49</v>
      </c>
      <c r="D2085" s="62" t="s">
        <v>35</v>
      </c>
      <c r="E2085" s="116" t="s">
        <v>804</v>
      </c>
      <c r="F2085" s="105" t="s">
        <v>135</v>
      </c>
      <c r="G2085" s="62" t="s">
        <v>82</v>
      </c>
      <c r="H2085" s="62" t="s">
        <v>2663</v>
      </c>
      <c r="I2085" s="78" t="s">
        <v>3168</v>
      </c>
      <c r="J2085" s="62" t="s">
        <v>137</v>
      </c>
      <c r="K2085" s="67" t="s">
        <v>194</v>
      </c>
      <c r="L2085" s="125"/>
      <c r="M2085" s="62"/>
      <c r="N2085" s="62"/>
      <c r="O2085" s="64"/>
      <c r="P2085" s="79"/>
      <c r="Q2085" s="62" t="s">
        <v>8</v>
      </c>
      <c r="R2085" s="62"/>
    </row>
    <row r="2086" ht="26.4" spans="1:18">
      <c r="A2086" s="58">
        <v>2065</v>
      </c>
      <c r="B2086" s="117">
        <v>45948</v>
      </c>
      <c r="C2086" s="115" t="s">
        <v>1903</v>
      </c>
      <c r="D2086" s="62" t="s">
        <v>35</v>
      </c>
      <c r="E2086" s="116" t="s">
        <v>804</v>
      </c>
      <c r="F2086" s="105" t="s">
        <v>192</v>
      </c>
      <c r="G2086" s="62" t="s">
        <v>55</v>
      </c>
      <c r="H2086" s="62" t="s">
        <v>94</v>
      </c>
      <c r="I2086" s="78" t="s">
        <v>3169</v>
      </c>
      <c r="J2086" s="62" t="s">
        <v>137</v>
      </c>
      <c r="K2086" s="67" t="s">
        <v>3170</v>
      </c>
      <c r="L2086" s="125"/>
      <c r="M2086" s="62"/>
      <c r="N2086" s="62"/>
      <c r="O2086" s="64"/>
      <c r="P2086" s="79"/>
      <c r="Q2086" s="62" t="s">
        <v>8</v>
      </c>
      <c r="R2086" s="62"/>
    </row>
    <row r="2087" ht="13.8" spans="1:18">
      <c r="A2087" s="58">
        <v>2066</v>
      </c>
      <c r="B2087" s="117">
        <v>45951</v>
      </c>
      <c r="C2087" s="115" t="s">
        <v>49</v>
      </c>
      <c r="D2087" s="62" t="s">
        <v>35</v>
      </c>
      <c r="E2087" s="116" t="s">
        <v>804</v>
      </c>
      <c r="F2087" s="105" t="s">
        <v>36</v>
      </c>
      <c r="G2087" s="62" t="s">
        <v>131</v>
      </c>
      <c r="H2087" s="62" t="s">
        <v>56</v>
      </c>
      <c r="I2087" s="78" t="s">
        <v>3171</v>
      </c>
      <c r="J2087" s="62" t="s">
        <v>40</v>
      </c>
      <c r="K2087" s="67" t="s">
        <v>1440</v>
      </c>
      <c r="L2087" s="125"/>
      <c r="M2087" s="62"/>
      <c r="N2087" s="62"/>
      <c r="O2087" s="64"/>
      <c r="P2087" s="79"/>
      <c r="Q2087" s="62" t="s">
        <v>43</v>
      </c>
      <c r="R2087" s="62"/>
    </row>
    <row r="2088" ht="13.8" spans="1:18">
      <c r="A2088" s="58">
        <v>2067</v>
      </c>
      <c r="B2088" s="117">
        <v>45955</v>
      </c>
      <c r="C2088" s="115" t="s">
        <v>2666</v>
      </c>
      <c r="D2088" s="62" t="s">
        <v>35</v>
      </c>
      <c r="E2088" s="116" t="s">
        <v>804</v>
      </c>
      <c r="F2088" s="105" t="s">
        <v>36</v>
      </c>
      <c r="G2088" s="62" t="s">
        <v>1790</v>
      </c>
      <c r="H2088" s="62" t="s">
        <v>132</v>
      </c>
      <c r="I2088" s="78" t="s">
        <v>3172</v>
      </c>
      <c r="J2088" s="62" t="s">
        <v>40</v>
      </c>
      <c r="K2088" s="67" t="s">
        <v>518</v>
      </c>
      <c r="L2088" s="125"/>
      <c r="M2088" s="62"/>
      <c r="N2088" s="62"/>
      <c r="O2088" s="64"/>
      <c r="P2088" s="79"/>
      <c r="Q2088" s="62" t="s">
        <v>43</v>
      </c>
      <c r="R2088" s="62"/>
    </row>
    <row r="2089" ht="13.8" spans="1:18">
      <c r="A2089" s="58">
        <v>2068</v>
      </c>
      <c r="B2089" s="117">
        <v>45957</v>
      </c>
      <c r="C2089" s="115" t="s">
        <v>3116</v>
      </c>
      <c r="D2089" s="62" t="s">
        <v>35</v>
      </c>
      <c r="E2089" s="116" t="s">
        <v>804</v>
      </c>
      <c r="F2089" s="105" t="s">
        <v>36</v>
      </c>
      <c r="G2089" s="62" t="s">
        <v>55</v>
      </c>
      <c r="H2089" s="62" t="s">
        <v>94</v>
      </c>
      <c r="I2089" s="78" t="s">
        <v>3173</v>
      </c>
      <c r="J2089" s="62" t="s">
        <v>40</v>
      </c>
      <c r="K2089" s="67" t="s">
        <v>3174</v>
      </c>
      <c r="L2089" s="125"/>
      <c r="M2089" s="62"/>
      <c r="N2089" s="62"/>
      <c r="O2089" s="64"/>
      <c r="P2089" s="79"/>
      <c r="Q2089" s="62" t="s">
        <v>43</v>
      </c>
      <c r="R2089" s="62"/>
    </row>
    <row r="2090" ht="27.6" spans="1:18">
      <c r="A2090" s="58">
        <v>2069</v>
      </c>
      <c r="B2090" s="117">
        <v>45953</v>
      </c>
      <c r="C2090" s="115" t="s">
        <v>1903</v>
      </c>
      <c r="D2090" s="62" t="s">
        <v>35</v>
      </c>
      <c r="E2090" s="116" t="s">
        <v>804</v>
      </c>
      <c r="F2090" s="105" t="s">
        <v>36</v>
      </c>
      <c r="G2090" s="62" t="s">
        <v>61</v>
      </c>
      <c r="H2090" s="62" t="s">
        <v>132</v>
      </c>
      <c r="I2090" s="78" t="s">
        <v>3175</v>
      </c>
      <c r="J2090" s="62" t="s">
        <v>40</v>
      </c>
      <c r="K2090" s="67" t="s">
        <v>1343</v>
      </c>
      <c r="L2090" s="125"/>
      <c r="M2090" s="62"/>
      <c r="N2090" s="62"/>
      <c r="O2090" s="64"/>
      <c r="P2090" s="79"/>
      <c r="Q2090" s="62" t="s">
        <v>43</v>
      </c>
      <c r="R2090" s="62"/>
    </row>
    <row r="2091" ht="27.6" spans="1:18">
      <c r="A2091" s="58">
        <v>2070</v>
      </c>
      <c r="B2091" s="117">
        <v>45956</v>
      </c>
      <c r="C2091" s="115" t="s">
        <v>49</v>
      </c>
      <c r="D2091" s="62" t="s">
        <v>35</v>
      </c>
      <c r="E2091" s="116" t="s">
        <v>804</v>
      </c>
      <c r="F2091" s="105" t="s">
        <v>36</v>
      </c>
      <c r="G2091" s="62" t="s">
        <v>45</v>
      </c>
      <c r="H2091" s="62" t="s">
        <v>234</v>
      </c>
      <c r="I2091" s="78" t="s">
        <v>3176</v>
      </c>
      <c r="J2091" s="62" t="s">
        <v>40</v>
      </c>
      <c r="K2091" s="67" t="s">
        <v>1424</v>
      </c>
      <c r="L2091" s="125"/>
      <c r="M2091" s="62"/>
      <c r="N2091" s="62"/>
      <c r="O2091" s="64"/>
      <c r="P2091" s="79"/>
      <c r="Q2091" s="62" t="s">
        <v>43</v>
      </c>
      <c r="R2091" s="62"/>
    </row>
    <row r="2092" ht="13.8" spans="1:18">
      <c r="A2092" s="58">
        <v>2071</v>
      </c>
      <c r="B2092" s="117">
        <v>45953</v>
      </c>
      <c r="C2092" s="115" t="s">
        <v>191</v>
      </c>
      <c r="D2092" s="62" t="s">
        <v>35</v>
      </c>
      <c r="E2092" s="116" t="s">
        <v>804</v>
      </c>
      <c r="F2092" s="105" t="s">
        <v>36</v>
      </c>
      <c r="G2092" s="62" t="s">
        <v>55</v>
      </c>
      <c r="H2092" s="62" t="s">
        <v>51</v>
      </c>
      <c r="I2092" s="78" t="s">
        <v>3177</v>
      </c>
      <c r="J2092" s="62" t="s">
        <v>91</v>
      </c>
      <c r="K2092" s="67" t="s">
        <v>3178</v>
      </c>
      <c r="L2092" s="125"/>
      <c r="M2092" s="62"/>
      <c r="N2092" s="62"/>
      <c r="O2092" s="64"/>
      <c r="P2092" s="79"/>
      <c r="Q2092" s="62" t="s">
        <v>43</v>
      </c>
      <c r="R2092" s="62"/>
    </row>
    <row r="2093" ht="27.6" spans="1:18">
      <c r="A2093" s="58">
        <v>2072</v>
      </c>
      <c r="B2093" s="117">
        <v>45951</v>
      </c>
      <c r="C2093" s="115" t="s">
        <v>2872</v>
      </c>
      <c r="D2093" s="62" t="s">
        <v>35</v>
      </c>
      <c r="E2093" s="116" t="s">
        <v>804</v>
      </c>
      <c r="F2093" s="105" t="s">
        <v>36</v>
      </c>
      <c r="G2093" s="62" t="s">
        <v>1790</v>
      </c>
      <c r="H2093" s="62" t="s">
        <v>38</v>
      </c>
      <c r="I2093" s="78" t="s">
        <v>3179</v>
      </c>
      <c r="J2093" s="62" t="s">
        <v>40</v>
      </c>
      <c r="K2093" s="67" t="s">
        <v>220</v>
      </c>
      <c r="L2093" s="125"/>
      <c r="M2093" s="62"/>
      <c r="N2093" s="62"/>
      <c r="O2093" s="64"/>
      <c r="P2093" s="79"/>
      <c r="Q2093" s="62" t="s">
        <v>43</v>
      </c>
      <c r="R2093" s="62"/>
    </row>
    <row r="2094" ht="27.6" spans="1:18">
      <c r="A2094" s="58">
        <v>2073</v>
      </c>
      <c r="B2094" s="117">
        <v>45952</v>
      </c>
      <c r="C2094" s="115" t="s">
        <v>2664</v>
      </c>
      <c r="D2094" s="62" t="s">
        <v>35</v>
      </c>
      <c r="E2094" s="116" t="s">
        <v>804</v>
      </c>
      <c r="F2094" s="105" t="s">
        <v>36</v>
      </c>
      <c r="G2094" s="62" t="s">
        <v>55</v>
      </c>
      <c r="H2094" s="62" t="s">
        <v>234</v>
      </c>
      <c r="I2094" s="78" t="s">
        <v>3180</v>
      </c>
      <c r="J2094" s="62" t="s">
        <v>40</v>
      </c>
      <c r="K2094" s="67" t="s">
        <v>420</v>
      </c>
      <c r="L2094" s="125"/>
      <c r="M2094" s="62"/>
      <c r="N2094" s="62"/>
      <c r="O2094" s="64"/>
      <c r="P2094" s="79"/>
      <c r="Q2094" s="62" t="s">
        <v>43</v>
      </c>
      <c r="R2094" s="62"/>
    </row>
    <row r="2095" ht="13.8" spans="1:18">
      <c r="A2095" s="58">
        <v>2074</v>
      </c>
      <c r="B2095" s="117">
        <v>45957</v>
      </c>
      <c r="C2095" s="115" t="s">
        <v>49</v>
      </c>
      <c r="D2095" s="62" t="s">
        <v>35</v>
      </c>
      <c r="E2095" s="116" t="s">
        <v>804</v>
      </c>
      <c r="F2095" s="105" t="s">
        <v>135</v>
      </c>
      <c r="G2095" s="62" t="s">
        <v>82</v>
      </c>
      <c r="H2095" s="62" t="s">
        <v>2663</v>
      </c>
      <c r="I2095" s="78" t="s">
        <v>3168</v>
      </c>
      <c r="J2095" s="62" t="s">
        <v>137</v>
      </c>
      <c r="K2095" s="67" t="s">
        <v>194</v>
      </c>
      <c r="L2095" s="125"/>
      <c r="M2095" s="62"/>
      <c r="N2095" s="62"/>
      <c r="O2095" s="64"/>
      <c r="P2095" s="79"/>
      <c r="Q2095" s="62" t="s">
        <v>8</v>
      </c>
      <c r="R2095" s="62"/>
    </row>
    <row r="2096" ht="26.4" spans="1:18">
      <c r="A2096" s="58">
        <v>2075</v>
      </c>
      <c r="B2096" s="117">
        <v>45956</v>
      </c>
      <c r="C2096" s="115" t="s">
        <v>1903</v>
      </c>
      <c r="D2096" s="62" t="s">
        <v>35</v>
      </c>
      <c r="E2096" s="116" t="s">
        <v>804</v>
      </c>
      <c r="F2096" s="105" t="s">
        <v>192</v>
      </c>
      <c r="G2096" s="62" t="s">
        <v>55</v>
      </c>
      <c r="H2096" s="62" t="s">
        <v>94</v>
      </c>
      <c r="I2096" s="78" t="s">
        <v>3169</v>
      </c>
      <c r="J2096" s="62" t="s">
        <v>137</v>
      </c>
      <c r="K2096" s="67" t="s">
        <v>3170</v>
      </c>
      <c r="L2096" s="125"/>
      <c r="M2096" s="62"/>
      <c r="N2096" s="62"/>
      <c r="O2096" s="64"/>
      <c r="P2096" s="79"/>
      <c r="Q2096" s="62" t="s">
        <v>8</v>
      </c>
      <c r="R2096" s="62"/>
    </row>
    <row r="2097" ht="13.8" spans="1:18">
      <c r="A2097" s="58">
        <v>2076</v>
      </c>
      <c r="B2097" s="117">
        <v>45953</v>
      </c>
      <c r="C2097" s="115" t="s">
        <v>3116</v>
      </c>
      <c r="D2097" s="62" t="s">
        <v>35</v>
      </c>
      <c r="E2097" s="116" t="s">
        <v>804</v>
      </c>
      <c r="F2097" s="105" t="s">
        <v>135</v>
      </c>
      <c r="G2097" s="62" t="s">
        <v>82</v>
      </c>
      <c r="H2097" s="62" t="s">
        <v>128</v>
      </c>
      <c r="I2097" s="78" t="s">
        <v>3181</v>
      </c>
      <c r="J2097" s="62" t="s">
        <v>137</v>
      </c>
      <c r="K2097" s="67" t="s">
        <v>3182</v>
      </c>
      <c r="L2097" s="125"/>
      <c r="M2097" s="62"/>
      <c r="N2097" s="62"/>
      <c r="O2097" s="64"/>
      <c r="P2097" s="79"/>
      <c r="Q2097" s="62" t="s">
        <v>8</v>
      </c>
      <c r="R2097" s="62"/>
    </row>
    <row r="2098" ht="13.8" spans="1:18">
      <c r="A2098" s="58">
        <v>2077</v>
      </c>
      <c r="B2098" s="117">
        <v>45951</v>
      </c>
      <c r="C2098" s="115" t="s">
        <v>1938</v>
      </c>
      <c r="D2098" s="62" t="s">
        <v>35</v>
      </c>
      <c r="E2098" s="116" t="s">
        <v>804</v>
      </c>
      <c r="F2098" s="105" t="s">
        <v>50</v>
      </c>
      <c r="G2098" s="62" t="s">
        <v>82</v>
      </c>
      <c r="H2098" s="62" t="s">
        <v>51</v>
      </c>
      <c r="I2098" s="78" t="s">
        <v>432</v>
      </c>
      <c r="J2098" s="62" t="s">
        <v>40</v>
      </c>
      <c r="K2098" s="67" t="s">
        <v>433</v>
      </c>
      <c r="L2098" s="125"/>
      <c r="M2098" s="62"/>
      <c r="N2098" s="62"/>
      <c r="O2098" s="64"/>
      <c r="P2098" s="79"/>
      <c r="Q2098" s="62" t="s">
        <v>43</v>
      </c>
      <c r="R2098" s="62"/>
    </row>
    <row r="2099" ht="13.8" spans="1:18">
      <c r="A2099" s="58">
        <v>2078</v>
      </c>
      <c r="B2099" s="117">
        <v>45955</v>
      </c>
      <c r="C2099" s="115" t="s">
        <v>2666</v>
      </c>
      <c r="D2099" s="62" t="s">
        <v>35</v>
      </c>
      <c r="E2099" s="116" t="s">
        <v>73</v>
      </c>
      <c r="F2099" s="105" t="s">
        <v>50</v>
      </c>
      <c r="G2099" s="62" t="s">
        <v>61</v>
      </c>
      <c r="H2099" s="62" t="s">
        <v>51</v>
      </c>
      <c r="I2099" s="78" t="s">
        <v>1858</v>
      </c>
      <c r="J2099" s="62" t="s">
        <v>40</v>
      </c>
      <c r="K2099" s="67" t="s">
        <v>371</v>
      </c>
      <c r="L2099" s="125"/>
      <c r="M2099" s="62"/>
      <c r="N2099" s="62"/>
      <c r="O2099" s="64"/>
      <c r="P2099" s="79"/>
      <c r="Q2099" s="62" t="s">
        <v>43</v>
      </c>
      <c r="R2099" s="65"/>
    </row>
    <row r="2100" ht="13.8" spans="1:18">
      <c r="A2100" s="58">
        <v>2079</v>
      </c>
      <c r="B2100" s="117">
        <v>45963</v>
      </c>
      <c r="C2100" s="118" t="s">
        <v>121</v>
      </c>
      <c r="D2100" s="65" t="s">
        <v>60</v>
      </c>
      <c r="E2100" s="116" t="s">
        <v>73</v>
      </c>
      <c r="F2100" s="107" t="s">
        <v>192</v>
      </c>
      <c r="G2100" s="65" t="s">
        <v>1850</v>
      </c>
      <c r="H2100" s="65" t="s">
        <v>94</v>
      </c>
      <c r="I2100" s="80" t="s">
        <v>3183</v>
      </c>
      <c r="J2100" s="65" t="s">
        <v>137</v>
      </c>
      <c r="K2100" s="91" t="s">
        <v>3184</v>
      </c>
      <c r="L2100" s="124"/>
      <c r="M2100" s="65"/>
      <c r="N2100" s="65"/>
      <c r="O2100" s="81"/>
      <c r="P2100" s="82"/>
      <c r="Q2100" s="65" t="s">
        <v>8</v>
      </c>
      <c r="R2100" s="65"/>
    </row>
    <row r="2101" ht="27.6" spans="1:18">
      <c r="A2101" s="58">
        <v>2080</v>
      </c>
      <c r="B2101" s="117">
        <v>45964</v>
      </c>
      <c r="C2101" s="118" t="s">
        <v>121</v>
      </c>
      <c r="D2101" s="65" t="s">
        <v>60</v>
      </c>
      <c r="E2101" s="116" t="s">
        <v>73</v>
      </c>
      <c r="F2101" s="107" t="s">
        <v>135</v>
      </c>
      <c r="G2101" s="65" t="s">
        <v>79</v>
      </c>
      <c r="H2101" s="65" t="s">
        <v>51</v>
      </c>
      <c r="I2101" s="80" t="s">
        <v>3185</v>
      </c>
      <c r="J2101" s="65" t="s">
        <v>137</v>
      </c>
      <c r="K2101" s="91" t="s">
        <v>3186</v>
      </c>
      <c r="L2101" s="124"/>
      <c r="M2101" s="65"/>
      <c r="N2101" s="65"/>
      <c r="O2101" s="81"/>
      <c r="P2101" s="82"/>
      <c r="Q2101" s="65" t="s">
        <v>8</v>
      </c>
      <c r="R2101" s="65"/>
    </row>
    <row r="2102" ht="41.4" spans="1:18">
      <c r="A2102" s="58">
        <v>2081</v>
      </c>
      <c r="B2102" s="117">
        <v>45964</v>
      </c>
      <c r="C2102" s="118" t="s">
        <v>121</v>
      </c>
      <c r="D2102" s="65" t="s">
        <v>60</v>
      </c>
      <c r="E2102" s="116" t="s">
        <v>73</v>
      </c>
      <c r="F2102" s="107" t="s">
        <v>50</v>
      </c>
      <c r="G2102" s="65" t="s">
        <v>93</v>
      </c>
      <c r="H2102" s="65" t="s">
        <v>94</v>
      </c>
      <c r="I2102" s="80" t="s">
        <v>3187</v>
      </c>
      <c r="J2102" s="65" t="s">
        <v>88</v>
      </c>
      <c r="K2102" s="91" t="s">
        <v>3188</v>
      </c>
      <c r="L2102" s="124" t="s">
        <v>3189</v>
      </c>
      <c r="M2102" s="65"/>
      <c r="N2102" s="65"/>
      <c r="O2102" s="81"/>
      <c r="P2102" s="82"/>
      <c r="Q2102" s="65" t="s">
        <v>43</v>
      </c>
      <c r="R2102" s="65"/>
    </row>
    <row r="2103" ht="27.6" spans="1:18">
      <c r="A2103" s="58">
        <v>2082</v>
      </c>
      <c r="B2103" s="117">
        <v>45964</v>
      </c>
      <c r="C2103" s="118" t="s">
        <v>121</v>
      </c>
      <c r="D2103" s="65" t="s">
        <v>60</v>
      </c>
      <c r="E2103" s="116" t="s">
        <v>73</v>
      </c>
      <c r="F2103" s="107" t="s">
        <v>50</v>
      </c>
      <c r="G2103" s="65" t="s">
        <v>55</v>
      </c>
      <c r="H2103" s="65" t="s">
        <v>51</v>
      </c>
      <c r="I2103" s="80" t="s">
        <v>3190</v>
      </c>
      <c r="J2103" s="65" t="s">
        <v>53</v>
      </c>
      <c r="K2103" s="91" t="s">
        <v>3191</v>
      </c>
      <c r="L2103" s="124" t="s">
        <v>3192</v>
      </c>
      <c r="M2103" s="65"/>
      <c r="N2103" s="65"/>
      <c r="O2103" s="81"/>
      <c r="P2103" s="82"/>
      <c r="Q2103" s="65" t="s">
        <v>43</v>
      </c>
      <c r="R2103" s="65"/>
    </row>
    <row r="2104" ht="41.4" spans="1:18">
      <c r="A2104" s="58">
        <v>2083</v>
      </c>
      <c r="B2104" s="117">
        <v>45966</v>
      </c>
      <c r="C2104" s="118" t="s">
        <v>640</v>
      </c>
      <c r="D2104" s="65" t="s">
        <v>72</v>
      </c>
      <c r="E2104" s="116" t="s">
        <v>73</v>
      </c>
      <c r="F2104" s="107" t="s">
        <v>192</v>
      </c>
      <c r="G2104" s="65" t="s">
        <v>45</v>
      </c>
      <c r="H2104" s="65" t="s">
        <v>144</v>
      </c>
      <c r="I2104" s="80" t="s">
        <v>3193</v>
      </c>
      <c r="J2104" s="65" t="s">
        <v>137</v>
      </c>
      <c r="K2104" s="91" t="s">
        <v>3194</v>
      </c>
      <c r="L2104" s="124"/>
      <c r="M2104" s="65"/>
      <c r="N2104" s="65"/>
      <c r="O2104" s="81"/>
      <c r="P2104" s="82"/>
      <c r="Q2104" s="65" t="s">
        <v>8</v>
      </c>
      <c r="R2104" s="65"/>
    </row>
    <row r="2105" ht="13.8" spans="1:18">
      <c r="A2105" s="58">
        <v>2084</v>
      </c>
      <c r="B2105" s="117">
        <v>45962</v>
      </c>
      <c r="C2105" s="118" t="s">
        <v>640</v>
      </c>
      <c r="D2105" s="65" t="s">
        <v>72</v>
      </c>
      <c r="E2105" s="116" t="s">
        <v>73</v>
      </c>
      <c r="F2105" s="107" t="s">
        <v>50</v>
      </c>
      <c r="G2105" s="65" t="s">
        <v>79</v>
      </c>
      <c r="H2105" s="65" t="s">
        <v>622</v>
      </c>
      <c r="I2105" s="80" t="s">
        <v>3195</v>
      </c>
      <c r="J2105" s="65" t="s">
        <v>53</v>
      </c>
      <c r="K2105" s="91" t="s">
        <v>3196</v>
      </c>
      <c r="L2105" s="124"/>
      <c r="M2105" s="65"/>
      <c r="N2105" s="65"/>
      <c r="O2105" s="81"/>
      <c r="P2105" s="82"/>
      <c r="Q2105" s="65" t="s">
        <v>43</v>
      </c>
      <c r="R2105" s="65"/>
    </row>
    <row r="2106" ht="41.4" spans="1:18">
      <c r="A2106" s="58">
        <v>2085</v>
      </c>
      <c r="B2106" s="117">
        <v>45963</v>
      </c>
      <c r="C2106" s="118" t="s">
        <v>640</v>
      </c>
      <c r="D2106" s="65" t="s">
        <v>72</v>
      </c>
      <c r="E2106" s="116" t="s">
        <v>73</v>
      </c>
      <c r="F2106" s="107" t="s">
        <v>36</v>
      </c>
      <c r="G2106" s="65" t="s">
        <v>79</v>
      </c>
      <c r="H2106" s="65" t="s">
        <v>46</v>
      </c>
      <c r="I2106" s="80" t="s">
        <v>3197</v>
      </c>
      <c r="J2106" s="65" t="s">
        <v>53</v>
      </c>
      <c r="K2106" s="91" t="s">
        <v>3198</v>
      </c>
      <c r="L2106" s="124"/>
      <c r="M2106" s="65"/>
      <c r="N2106" s="65"/>
      <c r="O2106" s="81"/>
      <c r="P2106" s="82"/>
      <c r="Q2106" s="65" t="s">
        <v>43</v>
      </c>
      <c r="R2106" s="65"/>
    </row>
    <row r="2107" ht="41.4" spans="1:18">
      <c r="A2107" s="58">
        <v>2086</v>
      </c>
      <c r="B2107" s="117">
        <v>45964</v>
      </c>
      <c r="C2107" s="118" t="s">
        <v>640</v>
      </c>
      <c r="D2107" s="65" t="s">
        <v>72</v>
      </c>
      <c r="E2107" s="116" t="s">
        <v>73</v>
      </c>
      <c r="F2107" s="107" t="s">
        <v>36</v>
      </c>
      <c r="G2107" s="65" t="s">
        <v>61</v>
      </c>
      <c r="H2107" s="65" t="s">
        <v>56</v>
      </c>
      <c r="I2107" s="80" t="s">
        <v>3199</v>
      </c>
      <c r="J2107" s="65" t="s">
        <v>53</v>
      </c>
      <c r="K2107" s="91" t="s">
        <v>3200</v>
      </c>
      <c r="L2107" s="124"/>
      <c r="M2107" s="65"/>
      <c r="N2107" s="65"/>
      <c r="O2107" s="81"/>
      <c r="P2107" s="82"/>
      <c r="Q2107" s="65" t="s">
        <v>43</v>
      </c>
      <c r="R2107" s="65"/>
    </row>
    <row r="2108" ht="41.4" spans="1:18">
      <c r="A2108" s="58">
        <v>2087</v>
      </c>
      <c r="B2108" s="117">
        <v>45965</v>
      </c>
      <c r="C2108" s="118" t="s">
        <v>640</v>
      </c>
      <c r="D2108" s="65" t="s">
        <v>72</v>
      </c>
      <c r="E2108" s="116" t="s">
        <v>73</v>
      </c>
      <c r="F2108" s="107" t="s">
        <v>36</v>
      </c>
      <c r="G2108" s="65" t="s">
        <v>79</v>
      </c>
      <c r="H2108" s="65" t="s">
        <v>56</v>
      </c>
      <c r="I2108" s="80" t="s">
        <v>3201</v>
      </c>
      <c r="J2108" s="65" t="s">
        <v>53</v>
      </c>
      <c r="K2108" s="91" t="s">
        <v>3202</v>
      </c>
      <c r="L2108" s="124"/>
      <c r="M2108" s="65"/>
      <c r="N2108" s="65"/>
      <c r="O2108" s="81"/>
      <c r="P2108" s="82"/>
      <c r="Q2108" s="65" t="s">
        <v>43</v>
      </c>
      <c r="R2108" s="65"/>
    </row>
    <row r="2109" ht="55.2" spans="1:18">
      <c r="A2109" s="58">
        <v>2088</v>
      </c>
      <c r="B2109" s="117">
        <v>45967</v>
      </c>
      <c r="C2109" s="118" t="s">
        <v>640</v>
      </c>
      <c r="D2109" s="65" t="s">
        <v>72</v>
      </c>
      <c r="E2109" s="116" t="s">
        <v>73</v>
      </c>
      <c r="F2109" s="107" t="s">
        <v>36</v>
      </c>
      <c r="G2109" s="65" t="s">
        <v>79</v>
      </c>
      <c r="H2109" s="65" t="s">
        <v>38</v>
      </c>
      <c r="I2109" s="80" t="s">
        <v>3203</v>
      </c>
      <c r="J2109" s="65" t="s">
        <v>53</v>
      </c>
      <c r="K2109" s="91" t="s">
        <v>3204</v>
      </c>
      <c r="L2109" s="124"/>
      <c r="M2109" s="65"/>
      <c r="N2109" s="65"/>
      <c r="O2109" s="81"/>
      <c r="P2109" s="82"/>
      <c r="Q2109" s="65" t="s">
        <v>43</v>
      </c>
      <c r="R2109" s="65"/>
    </row>
    <row r="2110" ht="27.6" spans="1:18">
      <c r="A2110" s="58">
        <v>2089</v>
      </c>
      <c r="B2110" s="117">
        <v>45967</v>
      </c>
      <c r="C2110" s="118" t="s">
        <v>659</v>
      </c>
      <c r="D2110" s="65" t="s">
        <v>72</v>
      </c>
      <c r="E2110" s="116" t="s">
        <v>73</v>
      </c>
      <c r="F2110" s="107" t="s">
        <v>50</v>
      </c>
      <c r="G2110" s="65" t="s">
        <v>37</v>
      </c>
      <c r="H2110" s="65" t="s">
        <v>46</v>
      </c>
      <c r="I2110" s="80" t="s">
        <v>3205</v>
      </c>
      <c r="J2110" s="65" t="s">
        <v>53</v>
      </c>
      <c r="K2110" s="91" t="s">
        <v>3206</v>
      </c>
      <c r="L2110" s="124"/>
      <c r="M2110" s="65"/>
      <c r="N2110" s="65"/>
      <c r="O2110" s="81"/>
      <c r="P2110" s="82"/>
      <c r="Q2110" s="65" t="s">
        <v>43</v>
      </c>
      <c r="R2110" s="65"/>
    </row>
    <row r="2111" ht="27.6" spans="1:18">
      <c r="A2111" s="58">
        <v>2090</v>
      </c>
      <c r="B2111" s="117">
        <v>45962</v>
      </c>
      <c r="C2111" s="118" t="s">
        <v>659</v>
      </c>
      <c r="D2111" s="65" t="s">
        <v>72</v>
      </c>
      <c r="E2111" s="116" t="s">
        <v>73</v>
      </c>
      <c r="F2111" s="107" t="s">
        <v>36</v>
      </c>
      <c r="G2111" s="65" t="s">
        <v>1790</v>
      </c>
      <c r="H2111" s="65" t="s">
        <v>128</v>
      </c>
      <c r="I2111" s="80" t="s">
        <v>3207</v>
      </c>
      <c r="J2111" s="65" t="s">
        <v>53</v>
      </c>
      <c r="K2111" s="91" t="s">
        <v>3208</v>
      </c>
      <c r="L2111" s="124"/>
      <c r="M2111" s="65"/>
      <c r="N2111" s="65"/>
      <c r="O2111" s="81"/>
      <c r="P2111" s="82"/>
      <c r="Q2111" s="65" t="s">
        <v>43</v>
      </c>
      <c r="R2111" s="65"/>
    </row>
    <row r="2112" ht="41.4" spans="1:18">
      <c r="A2112" s="58">
        <v>2091</v>
      </c>
      <c r="B2112" s="117">
        <v>45963</v>
      </c>
      <c r="C2112" s="118" t="s">
        <v>659</v>
      </c>
      <c r="D2112" s="65" t="s">
        <v>72</v>
      </c>
      <c r="E2112" s="116" t="s">
        <v>73</v>
      </c>
      <c r="F2112" s="107" t="s">
        <v>36</v>
      </c>
      <c r="G2112" s="65" t="s">
        <v>55</v>
      </c>
      <c r="H2112" s="65" t="s">
        <v>56</v>
      </c>
      <c r="I2112" s="80" t="s">
        <v>3209</v>
      </c>
      <c r="J2112" s="65" t="s">
        <v>53</v>
      </c>
      <c r="K2112" s="91" t="s">
        <v>3210</v>
      </c>
      <c r="L2112" s="124"/>
      <c r="M2112" s="65"/>
      <c r="N2112" s="65"/>
      <c r="O2112" s="81"/>
      <c r="P2112" s="82"/>
      <c r="Q2112" s="65" t="s">
        <v>43</v>
      </c>
      <c r="R2112" s="65"/>
    </row>
    <row r="2113" ht="41.4" spans="1:18">
      <c r="A2113" s="58">
        <v>2092</v>
      </c>
      <c r="B2113" s="117">
        <v>45964</v>
      </c>
      <c r="C2113" s="118" t="s">
        <v>659</v>
      </c>
      <c r="D2113" s="65" t="s">
        <v>72</v>
      </c>
      <c r="E2113" s="116" t="s">
        <v>73</v>
      </c>
      <c r="F2113" s="107" t="s">
        <v>36</v>
      </c>
      <c r="G2113" s="65" t="s">
        <v>65</v>
      </c>
      <c r="H2113" s="65" t="s">
        <v>56</v>
      </c>
      <c r="I2113" s="80" t="s">
        <v>3211</v>
      </c>
      <c r="J2113" s="65" t="s">
        <v>53</v>
      </c>
      <c r="K2113" s="91" t="s">
        <v>3212</v>
      </c>
      <c r="L2113" s="124"/>
      <c r="M2113" s="65"/>
      <c r="N2113" s="65"/>
      <c r="O2113" s="81"/>
      <c r="P2113" s="82"/>
      <c r="Q2113" s="65" t="s">
        <v>43</v>
      </c>
      <c r="R2113" s="65"/>
    </row>
    <row r="2114" ht="55.2" spans="1:18">
      <c r="A2114" s="58">
        <v>2093</v>
      </c>
      <c r="B2114" s="117">
        <v>45965</v>
      </c>
      <c r="C2114" s="118" t="s">
        <v>659</v>
      </c>
      <c r="D2114" s="65" t="s">
        <v>72</v>
      </c>
      <c r="E2114" s="116" t="s">
        <v>73</v>
      </c>
      <c r="F2114" s="107" t="s">
        <v>36</v>
      </c>
      <c r="G2114" s="65" t="s">
        <v>55</v>
      </c>
      <c r="H2114" s="65" t="s">
        <v>989</v>
      </c>
      <c r="I2114" s="80" t="s">
        <v>3213</v>
      </c>
      <c r="J2114" s="65" t="s">
        <v>53</v>
      </c>
      <c r="K2114" s="91" t="s">
        <v>3214</v>
      </c>
      <c r="L2114" s="124"/>
      <c r="M2114" s="65"/>
      <c r="N2114" s="65"/>
      <c r="O2114" s="81"/>
      <c r="P2114" s="82"/>
      <c r="Q2114" s="65" t="s">
        <v>43</v>
      </c>
      <c r="R2114" s="65"/>
    </row>
    <row r="2115" ht="41.4" spans="1:18">
      <c r="A2115" s="58">
        <v>2094</v>
      </c>
      <c r="B2115" s="117">
        <v>45966</v>
      </c>
      <c r="C2115" s="118" t="s">
        <v>659</v>
      </c>
      <c r="D2115" s="65" t="s">
        <v>72</v>
      </c>
      <c r="E2115" s="116" t="s">
        <v>73</v>
      </c>
      <c r="F2115" s="107" t="s">
        <v>36</v>
      </c>
      <c r="G2115" s="65" t="s">
        <v>1790</v>
      </c>
      <c r="H2115" s="65" t="s">
        <v>989</v>
      </c>
      <c r="I2115" s="80" t="s">
        <v>3215</v>
      </c>
      <c r="J2115" s="65" t="s">
        <v>53</v>
      </c>
      <c r="K2115" s="91" t="s">
        <v>3216</v>
      </c>
      <c r="L2115" s="124"/>
      <c r="M2115" s="65"/>
      <c r="N2115" s="65"/>
      <c r="O2115" s="81"/>
      <c r="P2115" s="82"/>
      <c r="Q2115" s="65" t="s">
        <v>43</v>
      </c>
      <c r="R2115" s="65"/>
    </row>
    <row r="2116" ht="13.8" spans="1:18">
      <c r="A2116" s="58">
        <v>2095</v>
      </c>
      <c r="B2116" s="123">
        <v>45973</v>
      </c>
      <c r="C2116" s="118" t="s">
        <v>641</v>
      </c>
      <c r="D2116" s="65" t="s">
        <v>72</v>
      </c>
      <c r="E2116" s="116" t="s">
        <v>73</v>
      </c>
      <c r="F2116" s="107" t="s">
        <v>135</v>
      </c>
      <c r="G2116" s="65" t="s">
        <v>79</v>
      </c>
      <c r="H2116" s="65" t="s">
        <v>56</v>
      </c>
      <c r="I2116" s="80" t="s">
        <v>3217</v>
      </c>
      <c r="J2116" s="65" t="s">
        <v>137</v>
      </c>
      <c r="K2116" s="91"/>
      <c r="L2116" s="124"/>
      <c r="M2116" s="65"/>
      <c r="N2116" s="65"/>
      <c r="O2116" s="81"/>
      <c r="P2116" s="82"/>
      <c r="Q2116" s="65" t="s">
        <v>8</v>
      </c>
      <c r="R2116" s="65"/>
    </row>
    <row r="2117" ht="41.4" spans="1:18">
      <c r="A2117" s="58">
        <v>2096</v>
      </c>
      <c r="B2117" s="123">
        <v>45975</v>
      </c>
      <c r="C2117" s="118" t="s">
        <v>641</v>
      </c>
      <c r="D2117" s="65" t="s">
        <v>72</v>
      </c>
      <c r="E2117" s="116" t="s">
        <v>73</v>
      </c>
      <c r="F2117" s="107" t="s">
        <v>50</v>
      </c>
      <c r="G2117" s="65" t="s">
        <v>79</v>
      </c>
      <c r="H2117" s="65" t="s">
        <v>51</v>
      </c>
      <c r="I2117" s="80" t="s">
        <v>3218</v>
      </c>
      <c r="J2117" s="65" t="s">
        <v>53</v>
      </c>
      <c r="K2117" s="91" t="s">
        <v>3219</v>
      </c>
      <c r="L2117" s="124"/>
      <c r="M2117" s="65"/>
      <c r="N2117" s="65"/>
      <c r="O2117" s="81"/>
      <c r="P2117" s="82"/>
      <c r="Q2117" s="65" t="s">
        <v>43</v>
      </c>
      <c r="R2117" s="65"/>
    </row>
    <row r="2118" ht="41.4" spans="1:18">
      <c r="A2118" s="58">
        <v>2097</v>
      </c>
      <c r="B2118" s="123">
        <v>45972</v>
      </c>
      <c r="C2118" s="118" t="s">
        <v>641</v>
      </c>
      <c r="D2118" s="65" t="s">
        <v>72</v>
      </c>
      <c r="E2118" s="116" t="s">
        <v>73</v>
      </c>
      <c r="F2118" s="107" t="s">
        <v>36</v>
      </c>
      <c r="G2118" s="65" t="s">
        <v>61</v>
      </c>
      <c r="H2118" s="65" t="s">
        <v>94</v>
      </c>
      <c r="I2118" s="80" t="s">
        <v>3220</v>
      </c>
      <c r="J2118" s="65" t="s">
        <v>53</v>
      </c>
      <c r="K2118" s="91" t="s">
        <v>3221</v>
      </c>
      <c r="L2118" s="124"/>
      <c r="M2118" s="65"/>
      <c r="N2118" s="65"/>
      <c r="O2118" s="81"/>
      <c r="P2118" s="82"/>
      <c r="Q2118" s="65" t="s">
        <v>43</v>
      </c>
      <c r="R2118" s="65"/>
    </row>
    <row r="2119" ht="55.2" spans="1:18">
      <c r="A2119" s="58">
        <v>2098</v>
      </c>
      <c r="B2119" s="123">
        <v>45974</v>
      </c>
      <c r="C2119" s="118" t="s">
        <v>641</v>
      </c>
      <c r="D2119" s="65" t="s">
        <v>72</v>
      </c>
      <c r="E2119" s="116" t="s">
        <v>73</v>
      </c>
      <c r="F2119" s="107" t="s">
        <v>36</v>
      </c>
      <c r="G2119" s="65" t="s">
        <v>131</v>
      </c>
      <c r="H2119" s="65" t="s">
        <v>1008</v>
      </c>
      <c r="I2119" s="80" t="s">
        <v>3222</v>
      </c>
      <c r="J2119" s="65" t="s">
        <v>53</v>
      </c>
      <c r="K2119" s="91" t="s">
        <v>3223</v>
      </c>
      <c r="L2119" s="124"/>
      <c r="M2119" s="65"/>
      <c r="N2119" s="65"/>
      <c r="O2119" s="81"/>
      <c r="P2119" s="82"/>
      <c r="Q2119" s="65" t="s">
        <v>43</v>
      </c>
      <c r="R2119" s="65"/>
    </row>
    <row r="2120" ht="55.2" spans="1:18">
      <c r="A2120" s="58">
        <v>2099</v>
      </c>
      <c r="B2120" s="123">
        <v>45970</v>
      </c>
      <c r="C2120" s="118" t="s">
        <v>641</v>
      </c>
      <c r="D2120" s="65" t="s">
        <v>72</v>
      </c>
      <c r="E2120" s="116" t="s">
        <v>73</v>
      </c>
      <c r="F2120" s="107" t="s">
        <v>36</v>
      </c>
      <c r="G2120" s="65" t="s">
        <v>61</v>
      </c>
      <c r="H2120" s="65" t="s">
        <v>132</v>
      </c>
      <c r="I2120" s="80" t="s">
        <v>3224</v>
      </c>
      <c r="J2120" s="65" t="s">
        <v>53</v>
      </c>
      <c r="K2120" s="91" t="s">
        <v>3225</v>
      </c>
      <c r="L2120" s="124"/>
      <c r="M2120" s="65"/>
      <c r="N2120" s="65"/>
      <c r="O2120" s="81"/>
      <c r="P2120" s="82"/>
      <c r="Q2120" s="65" t="s">
        <v>43</v>
      </c>
      <c r="R2120" s="65"/>
    </row>
    <row r="2121" ht="41.4" spans="1:18">
      <c r="A2121" s="58">
        <v>2100</v>
      </c>
      <c r="B2121" s="123">
        <v>45973</v>
      </c>
      <c r="C2121" s="118" t="s">
        <v>641</v>
      </c>
      <c r="D2121" s="65" t="s">
        <v>72</v>
      </c>
      <c r="E2121" s="116" t="s">
        <v>73</v>
      </c>
      <c r="F2121" s="107" t="s">
        <v>36</v>
      </c>
      <c r="G2121" s="65" t="s">
        <v>1850</v>
      </c>
      <c r="H2121" s="65" t="s">
        <v>56</v>
      </c>
      <c r="I2121" s="80" t="s">
        <v>3226</v>
      </c>
      <c r="J2121" s="65" t="s">
        <v>53</v>
      </c>
      <c r="K2121" s="91" t="s">
        <v>3227</v>
      </c>
      <c r="L2121" s="124"/>
      <c r="M2121" s="65"/>
      <c r="N2121" s="65"/>
      <c r="O2121" s="81"/>
      <c r="P2121" s="82"/>
      <c r="Q2121" s="65" t="s">
        <v>43</v>
      </c>
      <c r="R2121" s="65"/>
    </row>
    <row r="2122" ht="41.4" spans="1:18">
      <c r="A2122" s="58">
        <v>2101</v>
      </c>
      <c r="B2122" s="123">
        <v>45976</v>
      </c>
      <c r="C2122" s="118" t="s">
        <v>597</v>
      </c>
      <c r="D2122" s="65" t="s">
        <v>60</v>
      </c>
      <c r="E2122" s="116" t="s">
        <v>73</v>
      </c>
      <c r="F2122" s="107" t="s">
        <v>36</v>
      </c>
      <c r="G2122" s="65" t="s">
        <v>61</v>
      </c>
      <c r="H2122" s="65" t="s">
        <v>38</v>
      </c>
      <c r="I2122" s="80" t="s">
        <v>3228</v>
      </c>
      <c r="J2122" s="65" t="s">
        <v>88</v>
      </c>
      <c r="K2122" s="91" t="s">
        <v>3229</v>
      </c>
      <c r="L2122" s="124" t="s">
        <v>3230</v>
      </c>
      <c r="M2122" s="65"/>
      <c r="N2122" s="65"/>
      <c r="O2122" s="81"/>
      <c r="P2122" s="82"/>
      <c r="Q2122" s="65" t="s">
        <v>43</v>
      </c>
      <c r="R2122" s="65"/>
    </row>
    <row r="2123" ht="27.6" spans="1:18">
      <c r="A2123" s="58">
        <v>2102</v>
      </c>
      <c r="B2123" s="123">
        <v>45976</v>
      </c>
      <c r="C2123" s="118" t="s">
        <v>597</v>
      </c>
      <c r="D2123" s="65" t="s">
        <v>60</v>
      </c>
      <c r="E2123" s="116" t="s">
        <v>73</v>
      </c>
      <c r="F2123" s="107" t="s">
        <v>192</v>
      </c>
      <c r="G2123" s="65" t="s">
        <v>55</v>
      </c>
      <c r="H2123" s="65" t="s">
        <v>989</v>
      </c>
      <c r="I2123" s="80" t="s">
        <v>3231</v>
      </c>
      <c r="J2123" s="65" t="s">
        <v>137</v>
      </c>
      <c r="K2123" s="91" t="s">
        <v>3232</v>
      </c>
      <c r="L2123" s="124"/>
      <c r="M2123" s="65"/>
      <c r="N2123" s="65"/>
      <c r="O2123" s="81"/>
      <c r="P2123" s="82"/>
      <c r="Q2123" s="65" t="s">
        <v>8</v>
      </c>
      <c r="R2123" s="65"/>
    </row>
    <row r="2124" ht="27.6" spans="1:18">
      <c r="A2124" s="58">
        <v>2103</v>
      </c>
      <c r="B2124" s="123">
        <v>45976</v>
      </c>
      <c r="C2124" s="118" t="s">
        <v>597</v>
      </c>
      <c r="D2124" s="65" t="s">
        <v>60</v>
      </c>
      <c r="E2124" s="116" t="s">
        <v>73</v>
      </c>
      <c r="F2124" s="107" t="s">
        <v>192</v>
      </c>
      <c r="G2124" s="65" t="s">
        <v>55</v>
      </c>
      <c r="H2124" s="65" t="s">
        <v>51</v>
      </c>
      <c r="I2124" s="80" t="s">
        <v>3233</v>
      </c>
      <c r="J2124" s="65" t="s">
        <v>137</v>
      </c>
      <c r="K2124" s="91" t="s">
        <v>3234</v>
      </c>
      <c r="L2124" s="124"/>
      <c r="M2124" s="65"/>
      <c r="N2124" s="65"/>
      <c r="O2124" s="81"/>
      <c r="P2124" s="82"/>
      <c r="Q2124" s="65" t="s">
        <v>8</v>
      </c>
      <c r="R2124" s="65"/>
    </row>
    <row r="2125" ht="41.4" spans="1:18">
      <c r="A2125" s="58">
        <v>2104</v>
      </c>
      <c r="B2125" s="123">
        <v>45976</v>
      </c>
      <c r="C2125" s="118" t="s">
        <v>597</v>
      </c>
      <c r="D2125" s="65" t="s">
        <v>60</v>
      </c>
      <c r="E2125" s="116" t="s">
        <v>73</v>
      </c>
      <c r="F2125" s="107" t="s">
        <v>50</v>
      </c>
      <c r="G2125" s="65" t="s">
        <v>55</v>
      </c>
      <c r="H2125" s="65" t="s">
        <v>51</v>
      </c>
      <c r="I2125" s="80" t="s">
        <v>3235</v>
      </c>
      <c r="J2125" s="65" t="s">
        <v>88</v>
      </c>
      <c r="K2125" s="91" t="s">
        <v>3236</v>
      </c>
      <c r="L2125" s="124" t="s">
        <v>3237</v>
      </c>
      <c r="M2125" s="65"/>
      <c r="N2125" s="65"/>
      <c r="O2125" s="81"/>
      <c r="P2125" s="82"/>
      <c r="Q2125" s="65" t="s">
        <v>43</v>
      </c>
      <c r="R2125" s="65"/>
    </row>
    <row r="2126" ht="41.4" spans="1:18">
      <c r="A2126" s="58">
        <v>2105</v>
      </c>
      <c r="B2126" s="123">
        <v>45977</v>
      </c>
      <c r="C2126" s="118" t="s">
        <v>620</v>
      </c>
      <c r="D2126" s="65" t="s">
        <v>60</v>
      </c>
      <c r="E2126" s="119"/>
      <c r="F2126" s="107" t="s">
        <v>36</v>
      </c>
      <c r="G2126" s="65" t="s">
        <v>55</v>
      </c>
      <c r="H2126" s="65" t="s">
        <v>622</v>
      </c>
      <c r="I2126" s="80" t="s">
        <v>2902</v>
      </c>
      <c r="J2126" s="65" t="s">
        <v>88</v>
      </c>
      <c r="K2126" s="91" t="s">
        <v>2751</v>
      </c>
      <c r="L2126" s="124" t="s">
        <v>2903</v>
      </c>
      <c r="M2126" s="65"/>
      <c r="N2126" s="65"/>
      <c r="O2126" s="81"/>
      <c r="P2126" s="82"/>
      <c r="Q2126" s="65" t="s">
        <v>43</v>
      </c>
      <c r="R2126" s="65"/>
    </row>
    <row r="2127" ht="27.6" spans="1:18">
      <c r="A2127" s="58">
        <v>2106</v>
      </c>
      <c r="B2127" s="123">
        <v>45977</v>
      </c>
      <c r="C2127" s="118" t="s">
        <v>620</v>
      </c>
      <c r="D2127" s="65" t="s">
        <v>60</v>
      </c>
      <c r="E2127" s="119"/>
      <c r="F2127" s="107" t="s">
        <v>36</v>
      </c>
      <c r="G2127" s="65" t="s">
        <v>259</v>
      </c>
      <c r="H2127" s="65" t="s">
        <v>1008</v>
      </c>
      <c r="I2127" s="80" t="s">
        <v>3238</v>
      </c>
      <c r="J2127" s="65" t="s">
        <v>88</v>
      </c>
      <c r="K2127" s="91" t="s">
        <v>3239</v>
      </c>
      <c r="L2127" s="124" t="s">
        <v>3240</v>
      </c>
      <c r="M2127" s="65"/>
      <c r="N2127" s="65"/>
      <c r="O2127" s="81"/>
      <c r="P2127" s="82"/>
      <c r="Q2127" s="65" t="s">
        <v>43</v>
      </c>
      <c r="R2127" s="65"/>
    </row>
    <row r="2128" ht="27.6" spans="1:18">
      <c r="A2128" s="58">
        <v>2107</v>
      </c>
      <c r="B2128" s="123">
        <v>45978</v>
      </c>
      <c r="C2128" s="118" t="s">
        <v>100</v>
      </c>
      <c r="D2128" s="65" t="s">
        <v>60</v>
      </c>
      <c r="E2128" s="119" t="s">
        <v>101</v>
      </c>
      <c r="F2128" s="107" t="s">
        <v>36</v>
      </c>
      <c r="G2128" s="65" t="s">
        <v>61</v>
      </c>
      <c r="H2128" s="65" t="s">
        <v>128</v>
      </c>
      <c r="I2128" s="80" t="s">
        <v>3241</v>
      </c>
      <c r="J2128" s="65" t="s">
        <v>88</v>
      </c>
      <c r="K2128" s="91" t="s">
        <v>3242</v>
      </c>
      <c r="L2128" s="124" t="s">
        <v>3243</v>
      </c>
      <c r="M2128" s="65"/>
      <c r="N2128" s="65"/>
      <c r="O2128" s="81"/>
      <c r="P2128" s="82"/>
      <c r="Q2128" s="65" t="s">
        <v>43</v>
      </c>
      <c r="R2128" s="65"/>
    </row>
    <row r="2129" ht="41.4" spans="1:18">
      <c r="A2129" s="58">
        <v>2108</v>
      </c>
      <c r="B2129" s="123">
        <v>45980</v>
      </c>
      <c r="C2129" s="118" t="s">
        <v>100</v>
      </c>
      <c r="D2129" s="65" t="s">
        <v>60</v>
      </c>
      <c r="E2129" s="119" t="s">
        <v>101</v>
      </c>
      <c r="F2129" s="107" t="s">
        <v>36</v>
      </c>
      <c r="G2129" s="65" t="s">
        <v>588</v>
      </c>
      <c r="H2129" s="65" t="s">
        <v>51</v>
      </c>
      <c r="I2129" s="80" t="s">
        <v>3244</v>
      </c>
      <c r="J2129" s="65" t="s">
        <v>88</v>
      </c>
      <c r="K2129" s="91" t="s">
        <v>3245</v>
      </c>
      <c r="L2129" s="124" t="s">
        <v>3246</v>
      </c>
      <c r="M2129" s="65"/>
      <c r="N2129" s="65"/>
      <c r="O2129" s="81"/>
      <c r="P2129" s="82"/>
      <c r="Q2129" s="65" t="s">
        <v>43</v>
      </c>
      <c r="R2129" s="65"/>
    </row>
    <row r="2130" ht="41.4" spans="1:18">
      <c r="A2130" s="58">
        <v>2109</v>
      </c>
      <c r="B2130" s="123">
        <v>45980</v>
      </c>
      <c r="C2130" s="118" t="s">
        <v>100</v>
      </c>
      <c r="D2130" s="65" t="s">
        <v>60</v>
      </c>
      <c r="E2130" s="119" t="s">
        <v>101</v>
      </c>
      <c r="F2130" s="107" t="s">
        <v>192</v>
      </c>
      <c r="G2130" s="65" t="s">
        <v>82</v>
      </c>
      <c r="H2130" s="65" t="s">
        <v>51</v>
      </c>
      <c r="I2130" s="80" t="s">
        <v>3247</v>
      </c>
      <c r="J2130" s="65" t="s">
        <v>137</v>
      </c>
      <c r="K2130" s="91" t="s">
        <v>3248</v>
      </c>
      <c r="L2130" s="124" t="s">
        <v>3249</v>
      </c>
      <c r="M2130" s="65"/>
      <c r="N2130" s="65"/>
      <c r="O2130" s="81"/>
      <c r="P2130" s="82"/>
      <c r="Q2130" s="65" t="s">
        <v>8</v>
      </c>
      <c r="R2130" s="65"/>
    </row>
    <row r="2131" ht="27.6" spans="1:18">
      <c r="A2131" s="58">
        <v>2110</v>
      </c>
      <c r="B2131" s="123">
        <v>45976</v>
      </c>
      <c r="C2131" s="118" t="s">
        <v>640</v>
      </c>
      <c r="D2131" s="65" t="s">
        <v>72</v>
      </c>
      <c r="E2131" s="119" t="s">
        <v>804</v>
      </c>
      <c r="F2131" s="107" t="s">
        <v>36</v>
      </c>
      <c r="G2131" s="65" t="s">
        <v>1850</v>
      </c>
      <c r="H2131" s="65" t="s">
        <v>989</v>
      </c>
      <c r="I2131" s="80" t="s">
        <v>3250</v>
      </c>
      <c r="J2131" s="65" t="s">
        <v>53</v>
      </c>
      <c r="K2131" s="91" t="s">
        <v>3251</v>
      </c>
      <c r="L2131" s="124"/>
      <c r="M2131" s="65"/>
      <c r="N2131" s="65"/>
      <c r="O2131" s="81"/>
      <c r="P2131" s="82"/>
      <c r="Q2131" s="65" t="s">
        <v>43</v>
      </c>
      <c r="R2131" s="65"/>
    </row>
    <row r="2132" ht="27.6" spans="1:18">
      <c r="A2132" s="58">
        <v>2111</v>
      </c>
      <c r="B2132" s="123">
        <v>45977</v>
      </c>
      <c r="C2132" s="118" t="s">
        <v>640</v>
      </c>
      <c r="D2132" s="65" t="s">
        <v>72</v>
      </c>
      <c r="E2132" s="119" t="s">
        <v>804</v>
      </c>
      <c r="F2132" s="107" t="s">
        <v>50</v>
      </c>
      <c r="G2132" s="65" t="s">
        <v>61</v>
      </c>
      <c r="H2132" s="65" t="s">
        <v>66</v>
      </c>
      <c r="I2132" s="80" t="s">
        <v>3252</v>
      </c>
      <c r="J2132" s="65" t="s">
        <v>53</v>
      </c>
      <c r="K2132" s="91" t="s">
        <v>3253</v>
      </c>
      <c r="L2132" s="124"/>
      <c r="M2132" s="65"/>
      <c r="N2132" s="65"/>
      <c r="O2132" s="81"/>
      <c r="P2132" s="82"/>
      <c r="Q2132" s="65" t="s">
        <v>43</v>
      </c>
      <c r="R2132" s="65"/>
    </row>
    <row r="2133" ht="27.6" spans="1:18">
      <c r="A2133" s="58">
        <v>2112</v>
      </c>
      <c r="B2133" s="123">
        <v>45978</v>
      </c>
      <c r="C2133" s="118" t="s">
        <v>640</v>
      </c>
      <c r="D2133" s="65" t="s">
        <v>72</v>
      </c>
      <c r="E2133" s="119" t="s">
        <v>804</v>
      </c>
      <c r="F2133" s="107" t="s">
        <v>36</v>
      </c>
      <c r="G2133" s="65" t="s">
        <v>131</v>
      </c>
      <c r="H2133" s="65" t="s">
        <v>56</v>
      </c>
      <c r="I2133" s="80" t="s">
        <v>3254</v>
      </c>
      <c r="J2133" s="65" t="s">
        <v>53</v>
      </c>
      <c r="K2133" s="91" t="s">
        <v>3255</v>
      </c>
      <c r="L2133" s="124"/>
      <c r="M2133" s="65"/>
      <c r="N2133" s="65"/>
      <c r="O2133" s="81"/>
      <c r="P2133" s="82"/>
      <c r="Q2133" s="65" t="s">
        <v>43</v>
      </c>
      <c r="R2133" s="65"/>
    </row>
    <row r="2134" ht="41.4" spans="1:18">
      <c r="A2134" s="58">
        <v>2113</v>
      </c>
      <c r="B2134" s="123">
        <v>45979</v>
      </c>
      <c r="C2134" s="118" t="s">
        <v>640</v>
      </c>
      <c r="D2134" s="65" t="s">
        <v>72</v>
      </c>
      <c r="E2134" s="119" t="s">
        <v>804</v>
      </c>
      <c r="F2134" s="107" t="s">
        <v>36</v>
      </c>
      <c r="G2134" s="65" t="s">
        <v>79</v>
      </c>
      <c r="H2134" s="65" t="s">
        <v>128</v>
      </c>
      <c r="I2134" s="80" t="s">
        <v>3256</v>
      </c>
      <c r="J2134" s="65" t="s">
        <v>53</v>
      </c>
      <c r="K2134" s="91" t="s">
        <v>3257</v>
      </c>
      <c r="L2134" s="124"/>
      <c r="M2134" s="65"/>
      <c r="N2134" s="65"/>
      <c r="O2134" s="81"/>
      <c r="P2134" s="82"/>
      <c r="Q2134" s="65" t="s">
        <v>43</v>
      </c>
      <c r="R2134" s="65"/>
    </row>
    <row r="2135" ht="41.4" spans="1:18">
      <c r="A2135" s="58">
        <v>2114</v>
      </c>
      <c r="B2135" s="123">
        <v>45980</v>
      </c>
      <c r="C2135" s="118" t="s">
        <v>640</v>
      </c>
      <c r="D2135" s="65" t="s">
        <v>72</v>
      </c>
      <c r="E2135" s="119" t="s">
        <v>804</v>
      </c>
      <c r="F2135" s="107" t="s">
        <v>36</v>
      </c>
      <c r="G2135" s="65" t="s">
        <v>131</v>
      </c>
      <c r="H2135" s="65" t="s">
        <v>46</v>
      </c>
      <c r="I2135" s="80" t="s">
        <v>3258</v>
      </c>
      <c r="J2135" s="65" t="s">
        <v>53</v>
      </c>
      <c r="K2135" s="91" t="s">
        <v>3259</v>
      </c>
      <c r="L2135" s="124"/>
      <c r="M2135" s="65"/>
      <c r="N2135" s="65"/>
      <c r="O2135" s="81"/>
      <c r="P2135" s="82"/>
      <c r="Q2135" s="65" t="s">
        <v>43</v>
      </c>
      <c r="R2135" s="65"/>
    </row>
    <row r="2136" ht="39.6" spans="1:18">
      <c r="A2136" s="58">
        <v>2115</v>
      </c>
      <c r="B2136" s="123">
        <v>45981</v>
      </c>
      <c r="C2136" s="118" t="s">
        <v>640</v>
      </c>
      <c r="D2136" s="65" t="s">
        <v>72</v>
      </c>
      <c r="E2136" s="119" t="s">
        <v>804</v>
      </c>
      <c r="F2136" s="107" t="s">
        <v>192</v>
      </c>
      <c r="G2136" s="65" t="s">
        <v>61</v>
      </c>
      <c r="H2136" s="65" t="s">
        <v>144</v>
      </c>
      <c r="I2136" s="80" t="s">
        <v>3260</v>
      </c>
      <c r="J2136" s="65" t="s">
        <v>137</v>
      </c>
      <c r="K2136" s="91" t="s">
        <v>3261</v>
      </c>
      <c r="L2136" s="124"/>
      <c r="M2136" s="65"/>
      <c r="N2136" s="65"/>
      <c r="O2136" s="81"/>
      <c r="P2136" s="82"/>
      <c r="Q2136" s="65" t="s">
        <v>8</v>
      </c>
      <c r="R2136" s="65"/>
    </row>
    <row r="2137" ht="41.4" spans="1:18">
      <c r="A2137" s="58">
        <v>2116</v>
      </c>
      <c r="B2137" s="123">
        <v>45982</v>
      </c>
      <c r="C2137" s="118" t="s">
        <v>640</v>
      </c>
      <c r="D2137" s="65" t="s">
        <v>72</v>
      </c>
      <c r="E2137" s="119" t="s">
        <v>804</v>
      </c>
      <c r="F2137" s="107" t="s">
        <v>36</v>
      </c>
      <c r="G2137" s="65" t="s">
        <v>65</v>
      </c>
      <c r="H2137" s="65" t="s">
        <v>56</v>
      </c>
      <c r="I2137" s="80" t="s">
        <v>3262</v>
      </c>
      <c r="J2137" s="65" t="s">
        <v>53</v>
      </c>
      <c r="K2137" s="91" t="s">
        <v>3263</v>
      </c>
      <c r="L2137" s="124"/>
      <c r="M2137" s="65"/>
      <c r="N2137" s="65"/>
      <c r="O2137" s="81"/>
      <c r="P2137" s="82"/>
      <c r="Q2137" s="65" t="s">
        <v>43</v>
      </c>
      <c r="R2137" s="65"/>
    </row>
    <row r="2138" ht="27.6" spans="1:18">
      <c r="A2138" s="58">
        <v>2117</v>
      </c>
      <c r="B2138" s="123">
        <v>45981</v>
      </c>
      <c r="C2138" s="118" t="s">
        <v>641</v>
      </c>
      <c r="D2138" s="65" t="s">
        <v>72</v>
      </c>
      <c r="E2138" s="119" t="s">
        <v>804</v>
      </c>
      <c r="F2138" s="107" t="s">
        <v>36</v>
      </c>
      <c r="G2138" s="65" t="s">
        <v>45</v>
      </c>
      <c r="H2138" s="65" t="s">
        <v>128</v>
      </c>
      <c r="I2138" s="80" t="s">
        <v>3264</v>
      </c>
      <c r="J2138" s="65" t="s">
        <v>53</v>
      </c>
      <c r="K2138" s="91" t="s">
        <v>3265</v>
      </c>
      <c r="L2138" s="124"/>
      <c r="M2138" s="65"/>
      <c r="N2138" s="65"/>
      <c r="O2138" s="81"/>
      <c r="P2138" s="82"/>
      <c r="Q2138" s="65" t="s">
        <v>43</v>
      </c>
      <c r="R2138" s="65"/>
    </row>
    <row r="2139" ht="27.6" spans="1:18">
      <c r="A2139" s="58">
        <v>2118</v>
      </c>
      <c r="B2139" s="123">
        <v>45976</v>
      </c>
      <c r="C2139" s="118" t="s">
        <v>641</v>
      </c>
      <c r="D2139" s="65" t="s">
        <v>72</v>
      </c>
      <c r="E2139" s="119" t="s">
        <v>804</v>
      </c>
      <c r="F2139" s="107" t="s">
        <v>36</v>
      </c>
      <c r="G2139" s="65" t="s">
        <v>45</v>
      </c>
      <c r="H2139" s="65" t="s">
        <v>56</v>
      </c>
      <c r="I2139" s="80" t="s">
        <v>3266</v>
      </c>
      <c r="J2139" s="65" t="s">
        <v>53</v>
      </c>
      <c r="K2139" s="91" t="s">
        <v>3265</v>
      </c>
      <c r="L2139" s="124"/>
      <c r="M2139" s="65"/>
      <c r="N2139" s="65"/>
      <c r="O2139" s="81"/>
      <c r="P2139" s="82"/>
      <c r="Q2139" s="65" t="s">
        <v>43</v>
      </c>
      <c r="R2139" s="65"/>
    </row>
    <row r="2140" ht="27.6" spans="1:18">
      <c r="A2140" s="58">
        <v>2119</v>
      </c>
      <c r="B2140" s="123">
        <v>45979</v>
      </c>
      <c r="C2140" s="118" t="s">
        <v>641</v>
      </c>
      <c r="D2140" s="65" t="s">
        <v>72</v>
      </c>
      <c r="E2140" s="119" t="s">
        <v>804</v>
      </c>
      <c r="F2140" s="107" t="s">
        <v>36</v>
      </c>
      <c r="G2140" s="65" t="s">
        <v>79</v>
      </c>
      <c r="H2140" s="65" t="s">
        <v>56</v>
      </c>
      <c r="I2140" s="80" t="s">
        <v>3267</v>
      </c>
      <c r="J2140" s="65" t="s">
        <v>53</v>
      </c>
      <c r="K2140" s="91" t="s">
        <v>3268</v>
      </c>
      <c r="L2140" s="124"/>
      <c r="M2140" s="65"/>
      <c r="N2140" s="65"/>
      <c r="O2140" s="81"/>
      <c r="P2140" s="82"/>
      <c r="Q2140" s="65" t="s">
        <v>43</v>
      </c>
      <c r="R2140" s="65"/>
    </row>
    <row r="2141" ht="41.4" spans="1:18">
      <c r="A2141" s="58">
        <v>2120</v>
      </c>
      <c r="B2141" s="123">
        <v>45980</v>
      </c>
      <c r="C2141" s="118" t="s">
        <v>641</v>
      </c>
      <c r="D2141" s="65" t="s">
        <v>72</v>
      </c>
      <c r="E2141" s="119" t="s">
        <v>804</v>
      </c>
      <c r="F2141" s="107" t="s">
        <v>36</v>
      </c>
      <c r="G2141" s="65" t="s">
        <v>1850</v>
      </c>
      <c r="H2141" s="65" t="s">
        <v>56</v>
      </c>
      <c r="I2141" s="80" t="s">
        <v>3269</v>
      </c>
      <c r="J2141" s="65" t="s">
        <v>53</v>
      </c>
      <c r="K2141" s="91" t="s">
        <v>3270</v>
      </c>
      <c r="L2141" s="124"/>
      <c r="M2141" s="65"/>
      <c r="N2141" s="65"/>
      <c r="O2141" s="81"/>
      <c r="P2141" s="82"/>
      <c r="Q2141" s="65" t="s">
        <v>43</v>
      </c>
      <c r="R2141" s="65"/>
    </row>
    <row r="2142" ht="27.6" spans="1:18">
      <c r="A2142" s="58">
        <v>2121</v>
      </c>
      <c r="B2142" s="123">
        <v>45977</v>
      </c>
      <c r="C2142" s="118" t="s">
        <v>641</v>
      </c>
      <c r="D2142" s="65" t="s">
        <v>72</v>
      </c>
      <c r="E2142" s="119" t="s">
        <v>804</v>
      </c>
      <c r="F2142" s="107" t="s">
        <v>36</v>
      </c>
      <c r="G2142" s="65" t="s">
        <v>45</v>
      </c>
      <c r="H2142" s="65" t="s">
        <v>38</v>
      </c>
      <c r="I2142" s="80" t="s">
        <v>3271</v>
      </c>
      <c r="J2142" s="65" t="s">
        <v>53</v>
      </c>
      <c r="K2142" s="91" t="s">
        <v>3272</v>
      </c>
      <c r="L2142" s="124"/>
      <c r="M2142" s="65"/>
      <c r="N2142" s="65"/>
      <c r="O2142" s="81"/>
      <c r="P2142" s="82"/>
      <c r="Q2142" s="65" t="s">
        <v>43</v>
      </c>
      <c r="R2142" s="65"/>
    </row>
    <row r="2143" ht="27.6" spans="1:18">
      <c r="A2143" s="58">
        <v>2122</v>
      </c>
      <c r="B2143" s="123">
        <v>45978</v>
      </c>
      <c r="C2143" s="118" t="s">
        <v>641</v>
      </c>
      <c r="D2143" s="65" t="s">
        <v>72</v>
      </c>
      <c r="E2143" s="119" t="s">
        <v>804</v>
      </c>
      <c r="F2143" s="107" t="s">
        <v>36</v>
      </c>
      <c r="G2143" s="65" t="s">
        <v>65</v>
      </c>
      <c r="H2143" s="65" t="s">
        <v>51</v>
      </c>
      <c r="I2143" s="80" t="s">
        <v>3273</v>
      </c>
      <c r="J2143" s="65" t="s">
        <v>53</v>
      </c>
      <c r="K2143" s="91" t="s">
        <v>3274</v>
      </c>
      <c r="L2143" s="124"/>
      <c r="M2143" s="65"/>
      <c r="N2143" s="65"/>
      <c r="O2143" s="81"/>
      <c r="P2143" s="82"/>
      <c r="Q2143" s="65" t="s">
        <v>43</v>
      </c>
      <c r="R2143" s="65"/>
    </row>
    <row r="2144" ht="27.6" spans="1:18">
      <c r="A2144" s="58">
        <v>2123</v>
      </c>
      <c r="B2144" s="123">
        <v>45978</v>
      </c>
      <c r="C2144" s="118" t="s">
        <v>659</v>
      </c>
      <c r="D2144" s="65" t="s">
        <v>72</v>
      </c>
      <c r="E2144" s="119" t="s">
        <v>804</v>
      </c>
      <c r="F2144" s="107" t="s">
        <v>50</v>
      </c>
      <c r="G2144" s="65" t="s">
        <v>37</v>
      </c>
      <c r="H2144" s="65" t="s">
        <v>51</v>
      </c>
      <c r="I2144" s="80" t="s">
        <v>3275</v>
      </c>
      <c r="J2144" s="65" t="s">
        <v>53</v>
      </c>
      <c r="K2144" s="91" t="s">
        <v>3276</v>
      </c>
      <c r="L2144" s="124"/>
      <c r="M2144" s="65"/>
      <c r="N2144" s="65"/>
      <c r="O2144" s="81"/>
      <c r="P2144" s="82"/>
      <c r="Q2144" s="65" t="s">
        <v>43</v>
      </c>
      <c r="R2144" s="65"/>
    </row>
    <row r="2145" ht="27.6" spans="1:18">
      <c r="A2145" s="58">
        <v>2124</v>
      </c>
      <c r="B2145" s="123">
        <v>45979</v>
      </c>
      <c r="C2145" s="118" t="s">
        <v>659</v>
      </c>
      <c r="D2145" s="65" t="s">
        <v>72</v>
      </c>
      <c r="E2145" s="119" t="s">
        <v>804</v>
      </c>
      <c r="F2145" s="107" t="s">
        <v>50</v>
      </c>
      <c r="G2145" s="65" t="s">
        <v>37</v>
      </c>
      <c r="H2145" s="65" t="s">
        <v>51</v>
      </c>
      <c r="I2145" s="80" t="s">
        <v>3277</v>
      </c>
      <c r="J2145" s="65" t="s">
        <v>53</v>
      </c>
      <c r="K2145" s="91" t="s">
        <v>3278</v>
      </c>
      <c r="L2145" s="124"/>
      <c r="M2145" s="65"/>
      <c r="N2145" s="65"/>
      <c r="O2145" s="81"/>
      <c r="P2145" s="82"/>
      <c r="Q2145" s="65" t="s">
        <v>43</v>
      </c>
      <c r="R2145" s="65"/>
    </row>
    <row r="2146" ht="55.2" spans="1:18">
      <c r="A2146" s="58">
        <v>2125</v>
      </c>
      <c r="B2146" s="123">
        <v>45976</v>
      </c>
      <c r="C2146" s="118" t="s">
        <v>659</v>
      </c>
      <c r="D2146" s="65" t="s">
        <v>72</v>
      </c>
      <c r="E2146" s="119" t="s">
        <v>804</v>
      </c>
      <c r="F2146" s="107" t="s">
        <v>36</v>
      </c>
      <c r="G2146" s="65" t="s">
        <v>37</v>
      </c>
      <c r="H2146" s="65" t="s">
        <v>56</v>
      </c>
      <c r="I2146" s="80" t="s">
        <v>3279</v>
      </c>
      <c r="J2146" s="65" t="s">
        <v>53</v>
      </c>
      <c r="K2146" s="91" t="s">
        <v>3280</v>
      </c>
      <c r="L2146" s="124"/>
      <c r="M2146" s="65"/>
      <c r="N2146" s="65"/>
      <c r="O2146" s="81"/>
      <c r="P2146" s="82"/>
      <c r="Q2146" s="65" t="s">
        <v>43</v>
      </c>
      <c r="R2146" s="65"/>
    </row>
    <row r="2147" ht="27.6" spans="1:18">
      <c r="A2147" s="58">
        <v>2126</v>
      </c>
      <c r="B2147" s="123">
        <v>45976</v>
      </c>
      <c r="C2147" s="118" t="s">
        <v>659</v>
      </c>
      <c r="D2147" s="65" t="s">
        <v>72</v>
      </c>
      <c r="E2147" s="119" t="s">
        <v>804</v>
      </c>
      <c r="F2147" s="107" t="s">
        <v>36</v>
      </c>
      <c r="G2147" s="65" t="s">
        <v>3281</v>
      </c>
      <c r="H2147" s="65" t="s">
        <v>51</v>
      </c>
      <c r="I2147" s="80" t="s">
        <v>3282</v>
      </c>
      <c r="J2147" s="65" t="s">
        <v>53</v>
      </c>
      <c r="K2147" s="91" t="s">
        <v>3283</v>
      </c>
      <c r="L2147" s="124"/>
      <c r="M2147" s="65"/>
      <c r="N2147" s="65"/>
      <c r="O2147" s="81"/>
      <c r="P2147" s="82"/>
      <c r="Q2147" s="65" t="s">
        <v>43</v>
      </c>
      <c r="R2147" s="65"/>
    </row>
    <row r="2148" ht="41.4" spans="1:18">
      <c r="A2148" s="58">
        <v>2127</v>
      </c>
      <c r="B2148" s="123">
        <v>45977</v>
      </c>
      <c r="C2148" s="118" t="s">
        <v>659</v>
      </c>
      <c r="D2148" s="65" t="s">
        <v>72</v>
      </c>
      <c r="E2148" s="119" t="s">
        <v>804</v>
      </c>
      <c r="F2148" s="107" t="s">
        <v>36</v>
      </c>
      <c r="G2148" s="65" t="s">
        <v>3281</v>
      </c>
      <c r="H2148" s="65" t="s">
        <v>56</v>
      </c>
      <c r="I2148" s="80" t="s">
        <v>3284</v>
      </c>
      <c r="J2148" s="65" t="s">
        <v>53</v>
      </c>
      <c r="K2148" s="91" t="s">
        <v>3285</v>
      </c>
      <c r="L2148" s="124"/>
      <c r="M2148" s="65"/>
      <c r="N2148" s="65"/>
      <c r="O2148" s="81"/>
      <c r="P2148" s="82"/>
      <c r="Q2148" s="65" t="s">
        <v>43</v>
      </c>
      <c r="R2148" s="65"/>
    </row>
    <row r="2149" ht="27.6" spans="1:18">
      <c r="A2149" s="58">
        <v>2128</v>
      </c>
      <c r="B2149" s="123">
        <v>45979</v>
      </c>
      <c r="C2149" s="118" t="s">
        <v>659</v>
      </c>
      <c r="D2149" s="65" t="s">
        <v>72</v>
      </c>
      <c r="E2149" s="119" t="s">
        <v>804</v>
      </c>
      <c r="F2149" s="107" t="s">
        <v>36</v>
      </c>
      <c r="G2149" s="65" t="s">
        <v>3281</v>
      </c>
      <c r="H2149" s="65" t="s">
        <v>56</v>
      </c>
      <c r="I2149" s="80" t="s">
        <v>3286</v>
      </c>
      <c r="J2149" s="65" t="s">
        <v>53</v>
      </c>
      <c r="K2149" s="91" t="s">
        <v>3287</v>
      </c>
      <c r="L2149" s="124"/>
      <c r="M2149" s="65"/>
      <c r="N2149" s="65"/>
      <c r="O2149" s="81"/>
      <c r="P2149" s="82"/>
      <c r="Q2149" s="65" t="s">
        <v>43</v>
      </c>
      <c r="R2149" s="65"/>
    </row>
    <row r="2150" ht="41.4" spans="1:18">
      <c r="A2150" s="58">
        <v>2129</v>
      </c>
      <c r="B2150" s="123">
        <v>45980</v>
      </c>
      <c r="C2150" s="118" t="s">
        <v>659</v>
      </c>
      <c r="D2150" s="65" t="s">
        <v>72</v>
      </c>
      <c r="E2150" s="119" t="s">
        <v>804</v>
      </c>
      <c r="F2150" s="107" t="s">
        <v>36</v>
      </c>
      <c r="G2150" s="65" t="s">
        <v>37</v>
      </c>
      <c r="H2150" s="65" t="s">
        <v>56</v>
      </c>
      <c r="I2150" s="80" t="s">
        <v>3288</v>
      </c>
      <c r="J2150" s="65" t="s">
        <v>53</v>
      </c>
      <c r="K2150" s="91" t="s">
        <v>3289</v>
      </c>
      <c r="L2150" s="124"/>
      <c r="M2150" s="65"/>
      <c r="N2150" s="65"/>
      <c r="O2150" s="81"/>
      <c r="P2150" s="82"/>
      <c r="Q2150" s="65" t="s">
        <v>43</v>
      </c>
      <c r="R2150" s="65"/>
    </row>
    <row r="2151" ht="41.4" spans="1:18">
      <c r="A2151" s="58">
        <v>2130</v>
      </c>
      <c r="B2151" s="123">
        <v>45981</v>
      </c>
      <c r="C2151" s="118" t="s">
        <v>659</v>
      </c>
      <c r="D2151" s="65" t="s">
        <v>72</v>
      </c>
      <c r="E2151" s="119" t="s">
        <v>804</v>
      </c>
      <c r="F2151" s="107" t="s">
        <v>36</v>
      </c>
      <c r="G2151" s="65" t="s">
        <v>37</v>
      </c>
      <c r="H2151" s="65" t="s">
        <v>56</v>
      </c>
      <c r="I2151" s="80" t="s">
        <v>3290</v>
      </c>
      <c r="J2151" s="65" t="s">
        <v>53</v>
      </c>
      <c r="K2151" s="91" t="s">
        <v>3291</v>
      </c>
      <c r="L2151" s="124"/>
      <c r="M2151" s="65"/>
      <c r="N2151" s="65"/>
      <c r="O2151" s="81"/>
      <c r="P2151" s="82"/>
      <c r="Q2151" s="65" t="s">
        <v>43</v>
      </c>
      <c r="R2151" s="65"/>
    </row>
    <row r="2152" ht="41.4" spans="1:18">
      <c r="A2152" s="58">
        <v>2131</v>
      </c>
      <c r="B2152" s="123">
        <v>45981</v>
      </c>
      <c r="C2152" s="118" t="s">
        <v>659</v>
      </c>
      <c r="D2152" s="65" t="s">
        <v>72</v>
      </c>
      <c r="E2152" s="119" t="s">
        <v>804</v>
      </c>
      <c r="F2152" s="107" t="s">
        <v>36</v>
      </c>
      <c r="G2152" s="65" t="s">
        <v>37</v>
      </c>
      <c r="H2152" s="65" t="s">
        <v>56</v>
      </c>
      <c r="I2152" s="80" t="s">
        <v>3292</v>
      </c>
      <c r="J2152" s="65" t="s">
        <v>53</v>
      </c>
      <c r="K2152" s="91" t="s">
        <v>3293</v>
      </c>
      <c r="L2152" s="124"/>
      <c r="M2152" s="65"/>
      <c r="N2152" s="65"/>
      <c r="O2152" s="81"/>
      <c r="P2152" s="82"/>
      <c r="Q2152" s="65" t="s">
        <v>43</v>
      </c>
      <c r="R2152" s="65"/>
    </row>
    <row r="2153" ht="41.4" spans="1:18">
      <c r="A2153" s="58">
        <v>2132</v>
      </c>
      <c r="B2153" s="123">
        <v>45983</v>
      </c>
      <c r="C2153" s="118" t="s">
        <v>640</v>
      </c>
      <c r="D2153" s="65" t="s">
        <v>72</v>
      </c>
      <c r="E2153" s="119" t="s">
        <v>804</v>
      </c>
      <c r="F2153" s="107" t="s">
        <v>36</v>
      </c>
      <c r="G2153" s="65" t="s">
        <v>45</v>
      </c>
      <c r="H2153" s="65" t="s">
        <v>128</v>
      </c>
      <c r="I2153" s="80" t="s">
        <v>3294</v>
      </c>
      <c r="J2153" s="65" t="s">
        <v>53</v>
      </c>
      <c r="K2153" s="91" t="s">
        <v>3295</v>
      </c>
      <c r="L2153" s="124"/>
      <c r="M2153" s="65"/>
      <c r="N2153" s="65"/>
      <c r="O2153" s="81"/>
      <c r="P2153" s="82"/>
      <c r="Q2153" s="65" t="s">
        <v>43</v>
      </c>
      <c r="R2153" s="65"/>
    </row>
    <row r="2154" ht="55.2" spans="1:18">
      <c r="A2154" s="58">
        <v>2133</v>
      </c>
      <c r="B2154" s="123">
        <v>45984</v>
      </c>
      <c r="C2154" s="118" t="s">
        <v>640</v>
      </c>
      <c r="D2154" s="65" t="s">
        <v>72</v>
      </c>
      <c r="E2154" s="119" t="s">
        <v>804</v>
      </c>
      <c r="F2154" s="107" t="s">
        <v>36</v>
      </c>
      <c r="G2154" s="65" t="s">
        <v>82</v>
      </c>
      <c r="H2154" s="65" t="s">
        <v>132</v>
      </c>
      <c r="I2154" s="80" t="s">
        <v>3296</v>
      </c>
      <c r="J2154" s="65" t="s">
        <v>53</v>
      </c>
      <c r="K2154" s="91" t="s">
        <v>3297</v>
      </c>
      <c r="L2154" s="124"/>
      <c r="M2154" s="65"/>
      <c r="N2154" s="65"/>
      <c r="O2154" s="81"/>
      <c r="P2154" s="82"/>
      <c r="Q2154" s="65" t="s">
        <v>43</v>
      </c>
      <c r="R2154" s="65"/>
    </row>
    <row r="2155" ht="41.4" spans="1:18">
      <c r="A2155" s="58">
        <v>2134</v>
      </c>
      <c r="B2155" s="123">
        <v>45985</v>
      </c>
      <c r="C2155" s="118" t="s">
        <v>640</v>
      </c>
      <c r="D2155" s="65" t="s">
        <v>72</v>
      </c>
      <c r="E2155" s="119" t="s">
        <v>804</v>
      </c>
      <c r="F2155" s="107" t="s">
        <v>36</v>
      </c>
      <c r="G2155" s="65" t="s">
        <v>3281</v>
      </c>
      <c r="H2155" s="65" t="s">
        <v>56</v>
      </c>
      <c r="I2155" s="80" t="s">
        <v>3298</v>
      </c>
      <c r="J2155" s="65" t="s">
        <v>53</v>
      </c>
      <c r="K2155" s="91" t="s">
        <v>3299</v>
      </c>
      <c r="L2155" s="124"/>
      <c r="M2155" s="65"/>
      <c r="N2155" s="65"/>
      <c r="O2155" s="81"/>
      <c r="P2155" s="82"/>
      <c r="Q2155" s="65" t="s">
        <v>43</v>
      </c>
      <c r="R2155" s="65"/>
    </row>
    <row r="2156" ht="41.4" spans="1:18">
      <c r="A2156" s="58">
        <v>2135</v>
      </c>
      <c r="B2156" s="123">
        <v>45986</v>
      </c>
      <c r="C2156" s="118" t="s">
        <v>640</v>
      </c>
      <c r="D2156" s="65" t="s">
        <v>72</v>
      </c>
      <c r="E2156" s="119" t="s">
        <v>804</v>
      </c>
      <c r="F2156" s="107" t="s">
        <v>36</v>
      </c>
      <c r="G2156" s="65" t="s">
        <v>45</v>
      </c>
      <c r="H2156" s="65" t="s">
        <v>56</v>
      </c>
      <c r="I2156" s="80" t="s">
        <v>3300</v>
      </c>
      <c r="J2156" s="65" t="s">
        <v>53</v>
      </c>
      <c r="K2156" s="91" t="s">
        <v>3301</v>
      </c>
      <c r="L2156" s="124"/>
      <c r="M2156" s="65"/>
      <c r="N2156" s="65"/>
      <c r="O2156" s="81"/>
      <c r="P2156" s="82"/>
      <c r="Q2156" s="65" t="s">
        <v>43</v>
      </c>
      <c r="R2156" s="65"/>
    </row>
    <row r="2157" ht="27.6" spans="1:18">
      <c r="A2157" s="58">
        <v>2136</v>
      </c>
      <c r="B2157" s="123">
        <v>45987</v>
      </c>
      <c r="C2157" s="118" t="s">
        <v>640</v>
      </c>
      <c r="D2157" s="65" t="s">
        <v>72</v>
      </c>
      <c r="E2157" s="119" t="s">
        <v>804</v>
      </c>
      <c r="F2157" s="107" t="s">
        <v>36</v>
      </c>
      <c r="G2157" s="65" t="s">
        <v>93</v>
      </c>
      <c r="H2157" s="65" t="s">
        <v>51</v>
      </c>
      <c r="I2157" s="80" t="s">
        <v>3302</v>
      </c>
      <c r="J2157" s="65" t="s">
        <v>53</v>
      </c>
      <c r="K2157" s="91" t="s">
        <v>3303</v>
      </c>
      <c r="L2157" s="124"/>
      <c r="M2157" s="65"/>
      <c r="N2157" s="65"/>
      <c r="O2157" s="81"/>
      <c r="P2157" s="82"/>
      <c r="Q2157" s="65" t="s">
        <v>43</v>
      </c>
      <c r="R2157" s="65"/>
    </row>
    <row r="2158" ht="55.2" spans="1:18">
      <c r="A2158" s="58">
        <v>2137</v>
      </c>
      <c r="B2158" s="123">
        <v>45988</v>
      </c>
      <c r="C2158" s="118" t="s">
        <v>640</v>
      </c>
      <c r="D2158" s="65" t="s">
        <v>72</v>
      </c>
      <c r="E2158" s="119" t="s">
        <v>804</v>
      </c>
      <c r="F2158" s="107" t="s">
        <v>135</v>
      </c>
      <c r="G2158" s="65" t="s">
        <v>65</v>
      </c>
      <c r="H2158" s="65" t="s">
        <v>56</v>
      </c>
      <c r="I2158" s="80" t="s">
        <v>3304</v>
      </c>
      <c r="J2158" s="65" t="s">
        <v>137</v>
      </c>
      <c r="K2158" s="91" t="s">
        <v>3305</v>
      </c>
      <c r="L2158" s="124"/>
      <c r="M2158" s="65"/>
      <c r="N2158" s="65"/>
      <c r="O2158" s="81"/>
      <c r="P2158" s="82"/>
      <c r="Q2158" s="65" t="s">
        <v>8</v>
      </c>
      <c r="R2158" s="65"/>
    </row>
    <row r="2159" ht="27.6" spans="1:18">
      <c r="A2159" s="58">
        <v>2138</v>
      </c>
      <c r="B2159" s="123">
        <v>45988</v>
      </c>
      <c r="C2159" s="118" t="s">
        <v>640</v>
      </c>
      <c r="D2159" s="65" t="s">
        <v>72</v>
      </c>
      <c r="E2159" s="119" t="s">
        <v>804</v>
      </c>
      <c r="F2159" s="107" t="s">
        <v>36</v>
      </c>
      <c r="G2159" s="65" t="s">
        <v>45</v>
      </c>
      <c r="H2159" s="65" t="s">
        <v>56</v>
      </c>
      <c r="I2159" s="80" t="s">
        <v>3306</v>
      </c>
      <c r="J2159" s="65" t="s">
        <v>53</v>
      </c>
      <c r="K2159" s="91" t="s">
        <v>3307</v>
      </c>
      <c r="L2159" s="124"/>
      <c r="M2159" s="65"/>
      <c r="N2159" s="65"/>
      <c r="O2159" s="81"/>
      <c r="P2159" s="82"/>
      <c r="Q2159" s="65" t="s">
        <v>43</v>
      </c>
      <c r="R2159" s="65"/>
    </row>
    <row r="2160" ht="27.6" spans="1:18">
      <c r="A2160" s="58">
        <v>2139</v>
      </c>
      <c r="B2160" s="123">
        <v>45989</v>
      </c>
      <c r="C2160" s="118" t="s">
        <v>640</v>
      </c>
      <c r="D2160" s="65" t="s">
        <v>72</v>
      </c>
      <c r="E2160" s="119" t="s">
        <v>804</v>
      </c>
      <c r="F2160" s="107" t="s">
        <v>36</v>
      </c>
      <c r="G2160" s="65" t="s">
        <v>45</v>
      </c>
      <c r="H2160" s="65" t="s">
        <v>56</v>
      </c>
      <c r="I2160" s="80" t="s">
        <v>3306</v>
      </c>
      <c r="J2160" s="65" t="s">
        <v>53</v>
      </c>
      <c r="K2160" s="91" t="s">
        <v>3307</v>
      </c>
      <c r="L2160" s="124"/>
      <c r="M2160" s="65"/>
      <c r="N2160" s="65"/>
      <c r="O2160" s="81"/>
      <c r="P2160" s="82"/>
      <c r="Q2160" s="65" t="s">
        <v>43</v>
      </c>
      <c r="R2160" s="65"/>
    </row>
    <row r="2161" ht="27.6" spans="1:18">
      <c r="A2161" s="58">
        <v>2140</v>
      </c>
      <c r="B2161" s="123">
        <v>45987</v>
      </c>
      <c r="C2161" s="118" t="s">
        <v>641</v>
      </c>
      <c r="D2161" s="65" t="s">
        <v>72</v>
      </c>
      <c r="E2161" s="119" t="s">
        <v>804</v>
      </c>
      <c r="F2161" s="107" t="s">
        <v>50</v>
      </c>
      <c r="G2161" s="65" t="s">
        <v>61</v>
      </c>
      <c r="H2161" s="65" t="s">
        <v>132</v>
      </c>
      <c r="I2161" s="80" t="s">
        <v>3308</v>
      </c>
      <c r="J2161" s="65" t="s">
        <v>53</v>
      </c>
      <c r="K2161" s="91" t="s">
        <v>3309</v>
      </c>
      <c r="L2161" s="124"/>
      <c r="M2161" s="65"/>
      <c r="N2161" s="65"/>
      <c r="O2161" s="81"/>
      <c r="P2161" s="82"/>
      <c r="Q2161" s="65" t="s">
        <v>43</v>
      </c>
      <c r="R2161" s="65"/>
    </row>
    <row r="2162" ht="27.6" spans="1:18">
      <c r="A2162" s="58">
        <v>2141</v>
      </c>
      <c r="B2162" s="123">
        <v>45986</v>
      </c>
      <c r="C2162" s="118" t="s">
        <v>641</v>
      </c>
      <c r="D2162" s="65" t="s">
        <v>72</v>
      </c>
      <c r="E2162" s="119" t="s">
        <v>804</v>
      </c>
      <c r="F2162" s="107" t="s">
        <v>36</v>
      </c>
      <c r="G2162" s="65" t="s">
        <v>131</v>
      </c>
      <c r="H2162" s="65" t="s">
        <v>56</v>
      </c>
      <c r="I2162" s="80" t="s">
        <v>3310</v>
      </c>
      <c r="J2162" s="65" t="s">
        <v>53</v>
      </c>
      <c r="K2162" s="91" t="s">
        <v>3272</v>
      </c>
      <c r="L2162" s="124"/>
      <c r="M2162" s="65"/>
      <c r="N2162" s="65"/>
      <c r="O2162" s="81"/>
      <c r="P2162" s="82"/>
      <c r="Q2162" s="65" t="s">
        <v>43</v>
      </c>
      <c r="R2162" s="65"/>
    </row>
    <row r="2163" ht="41.4" spans="1:18">
      <c r="A2163" s="58">
        <v>2142</v>
      </c>
      <c r="B2163" s="123">
        <v>45989</v>
      </c>
      <c r="C2163" s="118" t="s">
        <v>641</v>
      </c>
      <c r="D2163" s="65" t="s">
        <v>72</v>
      </c>
      <c r="E2163" s="119" t="s">
        <v>804</v>
      </c>
      <c r="F2163" s="107" t="s">
        <v>36</v>
      </c>
      <c r="G2163" s="65" t="s">
        <v>61</v>
      </c>
      <c r="H2163" s="65" t="s">
        <v>989</v>
      </c>
      <c r="I2163" s="80" t="s">
        <v>3311</v>
      </c>
      <c r="J2163" s="65" t="s">
        <v>53</v>
      </c>
      <c r="K2163" s="91" t="s">
        <v>3312</v>
      </c>
      <c r="L2163" s="124"/>
      <c r="M2163" s="65"/>
      <c r="N2163" s="65"/>
      <c r="O2163" s="81"/>
      <c r="P2163" s="82"/>
      <c r="Q2163" s="65" t="s">
        <v>43</v>
      </c>
      <c r="R2163" s="65"/>
    </row>
    <row r="2164" ht="27.6" spans="1:18">
      <c r="A2164" s="58">
        <v>2143</v>
      </c>
      <c r="B2164" s="123">
        <v>45985</v>
      </c>
      <c r="C2164" s="118" t="s">
        <v>641</v>
      </c>
      <c r="D2164" s="65" t="s">
        <v>72</v>
      </c>
      <c r="E2164" s="119" t="s">
        <v>804</v>
      </c>
      <c r="F2164" s="107" t="s">
        <v>36</v>
      </c>
      <c r="G2164" s="65" t="s">
        <v>79</v>
      </c>
      <c r="H2164" s="65" t="s">
        <v>56</v>
      </c>
      <c r="I2164" s="80" t="s">
        <v>3313</v>
      </c>
      <c r="J2164" s="65" t="s">
        <v>53</v>
      </c>
      <c r="K2164" s="91" t="s">
        <v>3314</v>
      </c>
      <c r="L2164" s="124"/>
      <c r="M2164" s="65"/>
      <c r="N2164" s="65"/>
      <c r="O2164" s="81"/>
      <c r="P2164" s="82"/>
      <c r="Q2164" s="65" t="s">
        <v>43</v>
      </c>
      <c r="R2164" s="65"/>
    </row>
    <row r="2165" ht="27.6" spans="1:18">
      <c r="A2165" s="58">
        <v>2144</v>
      </c>
      <c r="B2165" s="123">
        <v>45983</v>
      </c>
      <c r="C2165" s="118" t="s">
        <v>641</v>
      </c>
      <c r="D2165" s="65" t="s">
        <v>72</v>
      </c>
      <c r="E2165" s="119" t="s">
        <v>804</v>
      </c>
      <c r="F2165" s="107" t="s">
        <v>36</v>
      </c>
      <c r="G2165" s="65" t="s">
        <v>79</v>
      </c>
      <c r="H2165" s="65" t="s">
        <v>94</v>
      </c>
      <c r="I2165" s="80" t="s">
        <v>3315</v>
      </c>
      <c r="J2165" s="65" t="s">
        <v>53</v>
      </c>
      <c r="K2165" s="91" t="s">
        <v>3316</v>
      </c>
      <c r="L2165" s="124"/>
      <c r="M2165" s="65"/>
      <c r="N2165" s="65"/>
      <c r="O2165" s="81"/>
      <c r="P2165" s="82"/>
      <c r="Q2165" s="65" t="s">
        <v>43</v>
      </c>
      <c r="R2165" s="65"/>
    </row>
    <row r="2166" ht="41.4" spans="1:18">
      <c r="A2166" s="58">
        <v>2145</v>
      </c>
      <c r="B2166" s="123">
        <v>45984</v>
      </c>
      <c r="C2166" s="118" t="s">
        <v>641</v>
      </c>
      <c r="D2166" s="65" t="s">
        <v>72</v>
      </c>
      <c r="E2166" s="119" t="s">
        <v>804</v>
      </c>
      <c r="F2166" s="107" t="s">
        <v>36</v>
      </c>
      <c r="G2166" s="65" t="s">
        <v>1850</v>
      </c>
      <c r="H2166" s="65" t="s">
        <v>56</v>
      </c>
      <c r="I2166" s="80" t="s">
        <v>3317</v>
      </c>
      <c r="J2166" s="65" t="s">
        <v>53</v>
      </c>
      <c r="K2166" s="91" t="s">
        <v>3318</v>
      </c>
      <c r="L2166" s="124"/>
      <c r="M2166" s="65"/>
      <c r="N2166" s="65"/>
      <c r="O2166" s="81"/>
      <c r="P2166" s="82"/>
      <c r="Q2166" s="65" t="s">
        <v>43</v>
      </c>
      <c r="R2166" s="65"/>
    </row>
    <row r="2167" ht="69" spans="1:18">
      <c r="A2167" s="58">
        <v>2146</v>
      </c>
      <c r="B2167" s="123">
        <v>45984</v>
      </c>
      <c r="C2167" s="118" t="s">
        <v>659</v>
      </c>
      <c r="D2167" s="65" t="s">
        <v>72</v>
      </c>
      <c r="E2167" s="119" t="s">
        <v>804</v>
      </c>
      <c r="F2167" s="107" t="s">
        <v>50</v>
      </c>
      <c r="G2167" s="65" t="s">
        <v>37</v>
      </c>
      <c r="H2167" s="65" t="s">
        <v>622</v>
      </c>
      <c r="I2167" s="80" t="s">
        <v>3319</v>
      </c>
      <c r="J2167" s="65" t="s">
        <v>53</v>
      </c>
      <c r="K2167" s="91" t="s">
        <v>3320</v>
      </c>
      <c r="L2167" s="124"/>
      <c r="M2167" s="65"/>
      <c r="N2167" s="65"/>
      <c r="O2167" s="81"/>
      <c r="P2167" s="82"/>
      <c r="Q2167" s="65" t="s">
        <v>43</v>
      </c>
      <c r="R2167" s="65"/>
    </row>
    <row r="2168" ht="27.6" spans="1:18">
      <c r="A2168" s="58">
        <v>2147</v>
      </c>
      <c r="B2168" s="123">
        <v>45983</v>
      </c>
      <c r="C2168" s="118" t="s">
        <v>659</v>
      </c>
      <c r="D2168" s="65" t="s">
        <v>72</v>
      </c>
      <c r="E2168" s="119" t="s">
        <v>804</v>
      </c>
      <c r="F2168" s="107" t="s">
        <v>36</v>
      </c>
      <c r="G2168" s="65" t="s">
        <v>3281</v>
      </c>
      <c r="H2168" s="65" t="s">
        <v>128</v>
      </c>
      <c r="I2168" s="80" t="s">
        <v>3321</v>
      </c>
      <c r="J2168" s="65" t="s">
        <v>53</v>
      </c>
      <c r="K2168" s="91" t="s">
        <v>3322</v>
      </c>
      <c r="L2168" s="124"/>
      <c r="M2168" s="65"/>
      <c r="N2168" s="65"/>
      <c r="O2168" s="81"/>
      <c r="P2168" s="82"/>
      <c r="Q2168" s="65" t="s">
        <v>43</v>
      </c>
      <c r="R2168" s="65"/>
    </row>
    <row r="2169" ht="39.6" spans="1:18">
      <c r="A2169" s="58">
        <v>2148</v>
      </c>
      <c r="B2169" s="123">
        <v>45983</v>
      </c>
      <c r="C2169" s="118" t="s">
        <v>659</v>
      </c>
      <c r="D2169" s="65" t="s">
        <v>72</v>
      </c>
      <c r="E2169" s="119" t="s">
        <v>804</v>
      </c>
      <c r="F2169" s="107" t="s">
        <v>36</v>
      </c>
      <c r="G2169" s="65" t="s">
        <v>55</v>
      </c>
      <c r="H2169" s="65" t="s">
        <v>56</v>
      </c>
      <c r="I2169" s="80" t="s">
        <v>3323</v>
      </c>
      <c r="J2169" s="65" t="s">
        <v>53</v>
      </c>
      <c r="K2169" s="91" t="s">
        <v>3324</v>
      </c>
      <c r="L2169" s="124"/>
      <c r="M2169" s="65"/>
      <c r="N2169" s="65"/>
      <c r="O2169" s="81"/>
      <c r="P2169" s="82"/>
      <c r="Q2169" s="65" t="s">
        <v>43</v>
      </c>
      <c r="R2169" s="65"/>
    </row>
    <row r="2170" ht="27.6" spans="1:18">
      <c r="A2170" s="58">
        <v>2149</v>
      </c>
      <c r="B2170" s="123">
        <v>45984</v>
      </c>
      <c r="C2170" s="118" t="s">
        <v>659</v>
      </c>
      <c r="D2170" s="65" t="s">
        <v>72</v>
      </c>
      <c r="E2170" s="119" t="s">
        <v>804</v>
      </c>
      <c r="F2170" s="107" t="s">
        <v>36</v>
      </c>
      <c r="G2170" s="65" t="s">
        <v>55</v>
      </c>
      <c r="H2170" s="65" t="s">
        <v>56</v>
      </c>
      <c r="I2170" s="80" t="s">
        <v>3325</v>
      </c>
      <c r="J2170" s="65" t="s">
        <v>53</v>
      </c>
      <c r="K2170" s="91" t="s">
        <v>3326</v>
      </c>
      <c r="L2170" s="124"/>
      <c r="M2170" s="65"/>
      <c r="N2170" s="65"/>
      <c r="O2170" s="81"/>
      <c r="P2170" s="82"/>
      <c r="Q2170" s="65" t="s">
        <v>43</v>
      </c>
      <c r="R2170" s="65"/>
    </row>
    <row r="2171" ht="27.6" spans="1:18">
      <c r="A2171" s="58">
        <v>2150</v>
      </c>
      <c r="B2171" s="123">
        <v>45985</v>
      </c>
      <c r="C2171" s="118" t="s">
        <v>659</v>
      </c>
      <c r="D2171" s="65" t="s">
        <v>72</v>
      </c>
      <c r="E2171" s="119" t="s">
        <v>804</v>
      </c>
      <c r="F2171" s="107" t="s">
        <v>36</v>
      </c>
      <c r="G2171" s="65" t="s">
        <v>55</v>
      </c>
      <c r="H2171" s="65" t="s">
        <v>56</v>
      </c>
      <c r="I2171" s="80" t="s">
        <v>3327</v>
      </c>
      <c r="J2171" s="65" t="s">
        <v>53</v>
      </c>
      <c r="K2171" s="91" t="s">
        <v>3328</v>
      </c>
      <c r="L2171" s="124"/>
      <c r="M2171" s="65"/>
      <c r="N2171" s="65"/>
      <c r="O2171" s="81"/>
      <c r="P2171" s="82"/>
      <c r="Q2171" s="65" t="s">
        <v>43</v>
      </c>
      <c r="R2171" s="65"/>
    </row>
    <row r="2172" ht="27.6" spans="1:18">
      <c r="A2172" s="58">
        <v>2151</v>
      </c>
      <c r="B2172" s="123">
        <v>45986</v>
      </c>
      <c r="C2172" s="118" t="s">
        <v>659</v>
      </c>
      <c r="D2172" s="65" t="s">
        <v>72</v>
      </c>
      <c r="E2172" s="119" t="s">
        <v>804</v>
      </c>
      <c r="F2172" s="107" t="s">
        <v>36</v>
      </c>
      <c r="G2172" s="65" t="s">
        <v>3281</v>
      </c>
      <c r="H2172" s="65" t="s">
        <v>1008</v>
      </c>
      <c r="I2172" s="80" t="s">
        <v>3329</v>
      </c>
      <c r="J2172" s="65" t="s">
        <v>53</v>
      </c>
      <c r="K2172" s="91" t="s">
        <v>3330</v>
      </c>
      <c r="L2172" s="124"/>
      <c r="M2172" s="65"/>
      <c r="N2172" s="65"/>
      <c r="O2172" s="81"/>
      <c r="P2172" s="82"/>
      <c r="Q2172" s="65" t="s">
        <v>43</v>
      </c>
      <c r="R2172" s="65"/>
    </row>
    <row r="2173" ht="27.6" spans="1:18">
      <c r="A2173" s="58">
        <v>2152</v>
      </c>
      <c r="B2173" s="123">
        <v>45987</v>
      </c>
      <c r="C2173" s="118" t="s">
        <v>659</v>
      </c>
      <c r="D2173" s="65" t="s">
        <v>72</v>
      </c>
      <c r="E2173" s="119" t="s">
        <v>804</v>
      </c>
      <c r="F2173" s="107" t="s">
        <v>36</v>
      </c>
      <c r="G2173" s="65" t="s">
        <v>37</v>
      </c>
      <c r="H2173" s="65" t="s">
        <v>56</v>
      </c>
      <c r="I2173" s="80" t="s">
        <v>3331</v>
      </c>
      <c r="J2173" s="65" t="s">
        <v>53</v>
      </c>
      <c r="K2173" s="91" t="s">
        <v>3332</v>
      </c>
      <c r="L2173" s="124"/>
      <c r="M2173" s="65"/>
      <c r="N2173" s="65"/>
      <c r="O2173" s="81"/>
      <c r="P2173" s="82"/>
      <c r="Q2173" s="65" t="s">
        <v>43</v>
      </c>
      <c r="R2173" s="65"/>
    </row>
    <row r="2174" ht="27.6" spans="1:18">
      <c r="A2174" s="58">
        <v>2153</v>
      </c>
      <c r="B2174" s="123">
        <v>45988</v>
      </c>
      <c r="C2174" s="118" t="s">
        <v>659</v>
      </c>
      <c r="D2174" s="65" t="s">
        <v>72</v>
      </c>
      <c r="E2174" s="119" t="s">
        <v>804</v>
      </c>
      <c r="F2174" s="107" t="s">
        <v>36</v>
      </c>
      <c r="G2174" s="65" t="s">
        <v>37</v>
      </c>
      <c r="H2174" s="65" t="s">
        <v>38</v>
      </c>
      <c r="I2174" s="80" t="s">
        <v>3333</v>
      </c>
      <c r="J2174" s="65" t="s">
        <v>53</v>
      </c>
      <c r="K2174" s="91" t="s">
        <v>3334</v>
      </c>
      <c r="L2174" s="124"/>
      <c r="M2174" s="65"/>
      <c r="N2174" s="65"/>
      <c r="O2174" s="81"/>
      <c r="P2174" s="82"/>
      <c r="Q2174" s="65" t="s">
        <v>43</v>
      </c>
      <c r="R2174" s="65"/>
    </row>
    <row r="2175" ht="69" spans="1:18">
      <c r="A2175" s="58">
        <v>2154</v>
      </c>
      <c r="B2175" s="123">
        <v>45985</v>
      </c>
      <c r="C2175" s="118" t="s">
        <v>100</v>
      </c>
      <c r="D2175" s="65" t="s">
        <v>60</v>
      </c>
      <c r="E2175" s="119" t="s">
        <v>101</v>
      </c>
      <c r="F2175" s="107" t="s">
        <v>36</v>
      </c>
      <c r="G2175" s="65" t="s">
        <v>588</v>
      </c>
      <c r="H2175" s="65" t="s">
        <v>144</v>
      </c>
      <c r="I2175" s="80" t="s">
        <v>3335</v>
      </c>
      <c r="J2175" s="65" t="s">
        <v>88</v>
      </c>
      <c r="K2175" s="91" t="s">
        <v>3336</v>
      </c>
      <c r="L2175" s="124" t="s">
        <v>3337</v>
      </c>
      <c r="M2175" s="65"/>
      <c r="N2175" s="65"/>
      <c r="O2175" s="81"/>
      <c r="P2175" s="82"/>
      <c r="Q2175" s="65" t="s">
        <v>43</v>
      </c>
      <c r="R2175" s="65"/>
    </row>
    <row r="2176" ht="66" spans="1:18">
      <c r="A2176" s="58">
        <v>2155</v>
      </c>
      <c r="B2176" s="123">
        <v>45985</v>
      </c>
      <c r="C2176" s="118" t="s">
        <v>100</v>
      </c>
      <c r="D2176" s="65" t="s">
        <v>60</v>
      </c>
      <c r="E2176" s="119" t="s">
        <v>101</v>
      </c>
      <c r="F2176" s="107" t="s">
        <v>36</v>
      </c>
      <c r="G2176" s="65" t="s">
        <v>588</v>
      </c>
      <c r="H2176" s="65" t="s">
        <v>51</v>
      </c>
      <c r="I2176" s="80" t="s">
        <v>3338</v>
      </c>
      <c r="J2176" s="65" t="s">
        <v>88</v>
      </c>
      <c r="K2176" s="91" t="s">
        <v>3339</v>
      </c>
      <c r="L2176" s="124" t="s">
        <v>3340</v>
      </c>
      <c r="M2176" s="65"/>
      <c r="N2176" s="65"/>
      <c r="O2176" s="81"/>
      <c r="P2176" s="82"/>
      <c r="Q2176" s="65" t="s">
        <v>43</v>
      </c>
      <c r="R2176" s="65"/>
    </row>
    <row r="2177" ht="27.6" spans="1:18">
      <c r="A2177" s="58">
        <v>2156</v>
      </c>
      <c r="B2177" s="123">
        <v>45976</v>
      </c>
      <c r="C2177" s="118" t="s">
        <v>2577</v>
      </c>
      <c r="D2177" s="65" t="s">
        <v>60</v>
      </c>
      <c r="E2177" s="119" t="s">
        <v>86</v>
      </c>
      <c r="F2177" s="107" t="s">
        <v>36</v>
      </c>
      <c r="G2177" s="65" t="s">
        <v>588</v>
      </c>
      <c r="H2177" s="65" t="s">
        <v>128</v>
      </c>
      <c r="I2177" s="80" t="s">
        <v>3341</v>
      </c>
      <c r="J2177" s="65" t="s">
        <v>88</v>
      </c>
      <c r="K2177" s="91" t="s">
        <v>3342</v>
      </c>
      <c r="L2177" s="124"/>
      <c r="M2177" s="65"/>
      <c r="N2177" s="65"/>
      <c r="O2177" s="81"/>
      <c r="P2177" s="82"/>
      <c r="Q2177" s="65" t="s">
        <v>43</v>
      </c>
      <c r="R2177" s="65"/>
    </row>
    <row r="2178" ht="41.4" spans="1:18">
      <c r="A2178" s="58">
        <v>2157</v>
      </c>
      <c r="B2178" s="123">
        <v>45977</v>
      </c>
      <c r="C2178" s="118" t="s">
        <v>2577</v>
      </c>
      <c r="D2178" s="65" t="s">
        <v>60</v>
      </c>
      <c r="E2178" s="119" t="s">
        <v>86</v>
      </c>
      <c r="F2178" s="107" t="s">
        <v>36</v>
      </c>
      <c r="G2178" s="65" t="s">
        <v>45</v>
      </c>
      <c r="H2178" s="65" t="s">
        <v>56</v>
      </c>
      <c r="I2178" s="80" t="s">
        <v>3343</v>
      </c>
      <c r="J2178" s="65" t="s">
        <v>88</v>
      </c>
      <c r="K2178" s="91" t="s">
        <v>3344</v>
      </c>
      <c r="L2178" s="124"/>
      <c r="M2178" s="65"/>
      <c r="N2178" s="65"/>
      <c r="O2178" s="81"/>
      <c r="P2178" s="82"/>
      <c r="Q2178" s="65" t="s">
        <v>43</v>
      </c>
      <c r="R2178" s="65"/>
    </row>
    <row r="2179" ht="41.4" spans="1:18">
      <c r="A2179" s="58">
        <v>2158</v>
      </c>
      <c r="B2179" s="123">
        <v>45978</v>
      </c>
      <c r="C2179" s="118" t="s">
        <v>2577</v>
      </c>
      <c r="D2179" s="65" t="s">
        <v>60</v>
      </c>
      <c r="E2179" s="119" t="s">
        <v>86</v>
      </c>
      <c r="F2179" s="107" t="s">
        <v>36</v>
      </c>
      <c r="G2179" s="65" t="s">
        <v>45</v>
      </c>
      <c r="H2179" s="65" t="s">
        <v>56</v>
      </c>
      <c r="I2179" s="80" t="s">
        <v>3345</v>
      </c>
      <c r="J2179" s="65" t="s">
        <v>88</v>
      </c>
      <c r="K2179" s="91" t="s">
        <v>3346</v>
      </c>
      <c r="L2179" s="124"/>
      <c r="M2179" s="65"/>
      <c r="N2179" s="65"/>
      <c r="O2179" s="81"/>
      <c r="P2179" s="82"/>
      <c r="Q2179" s="65" t="s">
        <v>43</v>
      </c>
      <c r="R2179" s="65"/>
    </row>
    <row r="2180" ht="27.6" spans="1:18">
      <c r="A2180" s="58">
        <v>2159</v>
      </c>
      <c r="B2180" s="123">
        <v>45979</v>
      </c>
      <c r="C2180" s="118" t="s">
        <v>2577</v>
      </c>
      <c r="D2180" s="65" t="s">
        <v>60</v>
      </c>
      <c r="E2180" s="119" t="s">
        <v>86</v>
      </c>
      <c r="F2180" s="107" t="s">
        <v>36</v>
      </c>
      <c r="G2180" s="65" t="s">
        <v>588</v>
      </c>
      <c r="H2180" s="65" t="s">
        <v>46</v>
      </c>
      <c r="I2180" s="80" t="s">
        <v>3347</v>
      </c>
      <c r="J2180" s="65" t="s">
        <v>88</v>
      </c>
      <c r="K2180" s="91" t="s">
        <v>3348</v>
      </c>
      <c r="L2180" s="124"/>
      <c r="M2180" s="65"/>
      <c r="N2180" s="65"/>
      <c r="O2180" s="81"/>
      <c r="P2180" s="82"/>
      <c r="Q2180" s="65" t="s">
        <v>43</v>
      </c>
      <c r="R2180" s="65"/>
    </row>
    <row r="2181" ht="26.4" spans="1:18">
      <c r="A2181" s="58">
        <v>2160</v>
      </c>
      <c r="B2181" s="123">
        <v>45980</v>
      </c>
      <c r="C2181" s="118" t="s">
        <v>2577</v>
      </c>
      <c r="D2181" s="65" t="s">
        <v>60</v>
      </c>
      <c r="E2181" s="119" t="s">
        <v>86</v>
      </c>
      <c r="F2181" s="107" t="s">
        <v>192</v>
      </c>
      <c r="G2181" s="65" t="s">
        <v>588</v>
      </c>
      <c r="H2181" s="65" t="s">
        <v>51</v>
      </c>
      <c r="I2181" s="80" t="s">
        <v>3349</v>
      </c>
      <c r="J2181" s="65" t="s">
        <v>137</v>
      </c>
      <c r="K2181" s="91" t="s">
        <v>3350</v>
      </c>
      <c r="L2181" s="124"/>
      <c r="M2181" s="65"/>
      <c r="N2181" s="65"/>
      <c r="O2181" s="81"/>
      <c r="P2181" s="82"/>
      <c r="Q2181" s="65" t="s">
        <v>8</v>
      </c>
      <c r="R2181" s="65"/>
    </row>
  </sheetData>
  <mergeCells count="7">
    <mergeCell ref="A1:S1"/>
    <mergeCell ref="B4:B5"/>
    <mergeCell ref="B14:B15"/>
    <mergeCell ref="C4:C5"/>
    <mergeCell ref="C14:C15"/>
    <mergeCell ref="D10:F11"/>
    <mergeCell ref="D20:F21"/>
  </mergeCells>
  <conditionalFormatting sqref="M578:N578">
    <cfRule type="containsText" dxfId="81" priority="40" operator="between" text="Low">
      <formula>NOT(ISERROR(SEARCH("Low",M578)))</formula>
    </cfRule>
    <cfRule type="containsText" dxfId="82" priority="41" operator="between" text="Medium">
      <formula>NOT(ISERROR(SEARCH("Medium",M578)))</formula>
    </cfRule>
    <cfRule type="containsText" dxfId="83" priority="42" operator="between" text="High">
      <formula>NOT(ISERROR(SEARCH("High",M578)))</formula>
    </cfRule>
  </conditionalFormatting>
  <conditionalFormatting sqref="P595">
    <cfRule type="expression" dxfId="84" priority="116">
      <formula>AND(P595&lt;TODAY(),#REF!&lt;&gt;"closed")</formula>
    </cfRule>
  </conditionalFormatting>
  <conditionalFormatting sqref="P596">
    <cfRule type="expression" dxfId="84" priority="115">
      <formula>AND(P596&lt;TODAY(),Q595&lt;&gt;"closed")</formula>
    </cfRule>
  </conditionalFormatting>
  <conditionalFormatting sqref="N24:N63">
    <cfRule type="containsText" dxfId="81" priority="111" operator="between" text="Low">
      <formula>NOT(ISERROR(SEARCH("Low",N24)))</formula>
    </cfRule>
    <cfRule type="containsText" dxfId="82" priority="112" operator="between" text="Medium">
      <formula>NOT(ISERROR(SEARCH("Medium",N24)))</formula>
    </cfRule>
    <cfRule type="containsText" dxfId="83" priority="113" operator="between" text="High">
      <formula>NOT(ISERROR(SEARCH("High",N24)))</formula>
    </cfRule>
  </conditionalFormatting>
  <conditionalFormatting sqref="N726:N765">
    <cfRule type="containsText" dxfId="81" priority="13" operator="between" text="Low">
      <formula>NOT(ISERROR(SEARCH("Low",N726)))</formula>
    </cfRule>
    <cfRule type="containsText" dxfId="82" priority="14" operator="between" text="Medium">
      <formula>NOT(ISERROR(SEARCH("Medium",N726)))</formula>
    </cfRule>
    <cfRule type="containsText" dxfId="83" priority="15" operator="between" text="High">
      <formula>NOT(ISERROR(SEARCH("High",N726)))</formula>
    </cfRule>
  </conditionalFormatting>
  <conditionalFormatting sqref="P726:P1223">
    <cfRule type="expression" dxfId="84" priority="8">
      <formula>AND(P726&lt;TODAY(),Q726&lt;&gt;"closed")</formula>
    </cfRule>
  </conditionalFormatting>
  <conditionalFormatting sqref="Q24:Q2181">
    <cfRule type="containsText" dxfId="85" priority="16" operator="between" text="N/A">
      <formula>NOT(ISERROR(SEARCH("N/A",Q24)))</formula>
    </cfRule>
    <cfRule type="containsText" dxfId="82" priority="17" operator="between" text="Inprogress">
      <formula>NOT(ISERROR(SEARCH("Inprogress",Q24)))</formula>
    </cfRule>
    <cfRule type="containsText" dxfId="83" priority="18" operator="between" text="Open">
      <formula>NOT(ISERROR(SEARCH("Open",Q24)))</formula>
    </cfRule>
    <cfRule type="containsText" dxfId="81" priority="19" operator="between" text="Closed">
      <formula>NOT(ISERROR(SEARCH("Closed",Q24)))</formula>
    </cfRule>
  </conditionalFormatting>
  <conditionalFormatting sqref="H1 F3:F9 F13:F19 H23:H1048576">
    <cfRule type="expression" dxfId="86" priority="2">
      <formula>OR(F1="Bypassing Safety Control",F1="Confined Space",F1="Driving",F1="Energy Isolation",F1="Hot Work",F1="Line of Fire",F1="Safe Mechanical Lifting",F1="Work Authorization",F1="Working at Height")</formula>
    </cfRule>
  </conditionalFormatting>
  <conditionalFormatting sqref="M24:M63 M64:N181 M380:N468">
    <cfRule type="containsText" dxfId="81" priority="108" operator="between" text="Low">
      <formula>NOT(ISERROR(SEARCH("Low",M24)))</formula>
    </cfRule>
    <cfRule type="containsText" dxfId="82" priority="109" operator="between" text="Medium">
      <formula>NOT(ISERROR(SEARCH("Medium",M24)))</formula>
    </cfRule>
    <cfRule type="containsText" dxfId="83" priority="110" operator="between" text="High">
      <formula>NOT(ISERROR(SEARCH("High",M24)))</formula>
    </cfRule>
  </conditionalFormatting>
  <conditionalFormatting sqref="P24:P577 P579:P594 P597:P701">
    <cfRule type="expression" dxfId="84" priority="98">
      <formula>AND(P24&lt;TODAY(),Q24&lt;&gt;"closed")</formula>
    </cfRule>
  </conditionalFormatting>
  <conditionalFormatting sqref="M183:N285">
    <cfRule type="containsText" dxfId="81" priority="89" operator="between" text="Low">
      <formula>NOT(ISERROR(SEARCH("Low",M183)))</formula>
    </cfRule>
    <cfRule type="containsText" dxfId="82" priority="90" operator="between" text="Medium">
      <formula>NOT(ISERROR(SEARCH("Medium",M183)))</formula>
    </cfRule>
    <cfRule type="containsText" dxfId="83" priority="91" operator="between" text="High">
      <formula>NOT(ISERROR(SEARCH("High",M183)))</formula>
    </cfRule>
  </conditionalFormatting>
  <conditionalFormatting sqref="M726:M765 M766:N1223">
    <cfRule type="containsText" dxfId="81" priority="10" operator="between" text="Low">
      <formula>NOT(ISERROR(SEARCH("Low",M726)))</formula>
    </cfRule>
    <cfRule type="containsText" dxfId="82" priority="11" operator="between" text="Medium">
      <formula>NOT(ISERROR(SEARCH("Medium",M726)))</formula>
    </cfRule>
    <cfRule type="containsText" dxfId="83" priority="12" operator="between" text="High">
      <formula>NOT(ISERROR(SEARCH("High",M726)))</formula>
    </cfRule>
  </conditionalFormatting>
  <conditionalFormatting sqref="P1290 P1297 P1305 P1414">
    <cfRule type="expression" dxfId="84" priority="1">
      <formula>AND(P1290&lt;TODAY(),Q1290&lt;&gt;"closed")</formula>
    </cfRule>
  </conditionalFormatting>
  <dataValidations count="8">
    <dataValidation type="list" allowBlank="1" showInputMessage="1" showErrorMessage="1" sqref="G1 G23">
      <formula1>List!$C$2:$C$12</formula1>
    </dataValidation>
    <dataValidation type="list" allowBlank="1" showInputMessage="1" showErrorMessage="1" sqref="D24:D2181">
      <formula1>List!$A$2:$A$5</formula1>
    </dataValidation>
    <dataValidation type="list" allowBlank="1" showInputMessage="1" showErrorMessage="1" sqref="F24:F2181">
      <formula1>List!$B$2:$B$5</formula1>
    </dataValidation>
    <dataValidation type="list" allowBlank="1" showInputMessage="1" showErrorMessage="1" sqref="G24:G2181">
      <formula1>List!$C$2:$C$24</formula1>
    </dataValidation>
    <dataValidation type="list" allowBlank="1" showInputMessage="1" showErrorMessage="1" sqref="H24:H2181">
      <formula1>List!$E$2:$E$27</formula1>
    </dataValidation>
    <dataValidation type="list" allowBlank="1" showInputMessage="1" showErrorMessage="1" sqref="J24:J2181">
      <formula1>List!$G$2:$G$7</formula1>
    </dataValidation>
    <dataValidation type="list" allowBlank="1" showInputMessage="1" showErrorMessage="1" sqref="Q24:Q2181">
      <formula1>List!$D$2:$D$5</formula1>
    </dataValidation>
    <dataValidation type="list" allowBlank="1" showInputMessage="1" showErrorMessage="1" sqref="M24:N577 M579:N701">
      <formula1>List!$H$2:$H$4</formula1>
    </dataValidation>
  </dataValidations>
  <pageMargins left="0.7" right="0.7" top="0.75" bottom="0.75" header="0.3" footer="0.3"/>
  <pageSetup paperSize="9" orientation="portrait"/>
  <headerFooter>
    <oddHeader>&amp;L&amp;"Calibri"&amp;10&amp;K0000FF TechnipFMC | Internal&amp;1#
</oddHeader>
  </headerFooter>
  <ignoredErrors>
    <ignoredError sqref="G23" listDataValidation="1"/>
  </ignoredErrors>
  <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7"/>
  <sheetViews>
    <sheetView workbookViewId="0">
      <selection activeCell="C27" sqref="C27"/>
    </sheetView>
  </sheetViews>
  <sheetFormatPr defaultColWidth="9" defaultRowHeight="13.2"/>
  <cols>
    <col min="1" max="1" width="14.287037037037" customWidth="1"/>
    <col min="2" max="2" width="19.712962962963" customWidth="1"/>
    <col min="3" max="3" width="18.5740740740741" customWidth="1"/>
    <col min="4" max="4" width="11.287037037037" customWidth="1"/>
    <col min="5" max="5" width="32.712962962963" customWidth="1"/>
    <col min="6" max="6" width="19.287037037037" customWidth="1"/>
    <col min="7" max="7" width="27.8518518518519" customWidth="1"/>
    <col min="9" max="9" width="21.8518518518519" customWidth="1"/>
    <col min="10" max="10" width="19" customWidth="1"/>
  </cols>
  <sheetData>
    <row r="1" ht="13.8" spans="1:10">
      <c r="A1" s="11" t="s">
        <v>19</v>
      </c>
      <c r="B1" s="11" t="s">
        <v>21</v>
      </c>
      <c r="C1" s="11" t="s">
        <v>3351</v>
      </c>
      <c r="D1" s="11" t="s">
        <v>32</v>
      </c>
      <c r="E1" s="11" t="s">
        <v>23</v>
      </c>
      <c r="F1" s="11"/>
      <c r="G1" s="11" t="s">
        <v>3352</v>
      </c>
      <c r="H1" s="11" t="s">
        <v>3353</v>
      </c>
      <c r="I1" s="11"/>
      <c r="J1" s="11" t="s">
        <v>3354</v>
      </c>
    </row>
    <row r="2" spans="1:10">
      <c r="A2" s="12" t="s">
        <v>60</v>
      </c>
      <c r="B2" s="13" t="s">
        <v>192</v>
      </c>
      <c r="C2" s="12" t="s">
        <v>37</v>
      </c>
      <c r="D2" s="13" t="s">
        <v>43</v>
      </c>
      <c r="E2" s="14" t="s">
        <v>97</v>
      </c>
      <c r="F2" s="12" t="s">
        <v>56</v>
      </c>
      <c r="G2" s="12" t="s">
        <v>40</v>
      </c>
      <c r="H2" s="12" t="s">
        <v>582</v>
      </c>
      <c r="I2" s="12" t="s">
        <v>3355</v>
      </c>
      <c r="J2" s="12" t="s">
        <v>3356</v>
      </c>
    </row>
    <row r="3" spans="1:10">
      <c r="A3" s="12" t="s">
        <v>72</v>
      </c>
      <c r="B3" s="13" t="s">
        <v>135</v>
      </c>
      <c r="C3" s="12" t="s">
        <v>55</v>
      </c>
      <c r="D3" s="13" t="s">
        <v>3357</v>
      </c>
      <c r="E3" s="14" t="s">
        <v>3358</v>
      </c>
      <c r="F3" s="12" t="s">
        <v>3359</v>
      </c>
      <c r="G3" s="12" t="s">
        <v>53</v>
      </c>
      <c r="H3" s="12" t="s">
        <v>115</v>
      </c>
      <c r="I3" s="12" t="s">
        <v>3358</v>
      </c>
      <c r="J3" s="12" t="s">
        <v>3360</v>
      </c>
    </row>
    <row r="4" spans="1:10">
      <c r="A4" s="12" t="s">
        <v>35</v>
      </c>
      <c r="B4" s="13" t="s">
        <v>50</v>
      </c>
      <c r="C4" s="12" t="s">
        <v>65</v>
      </c>
      <c r="D4" s="13" t="s">
        <v>3361</v>
      </c>
      <c r="E4" s="14" t="s">
        <v>360</v>
      </c>
      <c r="F4" s="12" t="s">
        <v>3362</v>
      </c>
      <c r="G4" s="12" t="s">
        <v>88</v>
      </c>
      <c r="H4" s="12" t="s">
        <v>663</v>
      </c>
      <c r="I4" s="12" t="s">
        <v>360</v>
      </c>
      <c r="J4" s="12" t="s">
        <v>3363</v>
      </c>
    </row>
    <row r="5" spans="1:10">
      <c r="A5" s="12" t="s">
        <v>3364</v>
      </c>
      <c r="B5" s="15" t="s">
        <v>36</v>
      </c>
      <c r="C5" s="12" t="s">
        <v>93</v>
      </c>
      <c r="D5" s="13" t="s">
        <v>8</v>
      </c>
      <c r="E5" s="14" t="s">
        <v>38</v>
      </c>
      <c r="F5" s="12" t="s">
        <v>3365</v>
      </c>
      <c r="G5" s="12" t="s">
        <v>118</v>
      </c>
      <c r="H5" s="15"/>
      <c r="I5" s="12" t="s">
        <v>38</v>
      </c>
      <c r="J5" s="16" t="s">
        <v>3366</v>
      </c>
    </row>
    <row r="6" spans="1:10">
      <c r="A6" s="5"/>
      <c r="B6" s="5"/>
      <c r="C6" s="12" t="s">
        <v>1617</v>
      </c>
      <c r="D6" s="5"/>
      <c r="E6" s="14" t="s">
        <v>94</v>
      </c>
      <c r="F6" s="12" t="s">
        <v>3367</v>
      </c>
      <c r="G6" s="12" t="s">
        <v>91</v>
      </c>
      <c r="H6" s="5"/>
      <c r="I6" s="12" t="s">
        <v>94</v>
      </c>
      <c r="J6" s="16" t="s">
        <v>2663</v>
      </c>
    </row>
    <row r="7" spans="1:10">
      <c r="A7" s="5"/>
      <c r="B7" s="5"/>
      <c r="C7" s="12" t="s">
        <v>3119</v>
      </c>
      <c r="D7" s="5"/>
      <c r="E7" s="14" t="s">
        <v>66</v>
      </c>
      <c r="F7" s="12" t="s">
        <v>3368</v>
      </c>
      <c r="G7" s="12" t="s">
        <v>137</v>
      </c>
      <c r="H7" s="5"/>
      <c r="I7" s="12" t="s">
        <v>66</v>
      </c>
      <c r="J7" s="5"/>
    </row>
    <row r="8" spans="1:10">
      <c r="A8" s="5"/>
      <c r="B8" s="5"/>
      <c r="C8" s="12" t="s">
        <v>1850</v>
      </c>
      <c r="D8" s="5"/>
      <c r="E8" s="14" t="s">
        <v>132</v>
      </c>
      <c r="F8" s="5"/>
      <c r="G8" s="5"/>
      <c r="H8" s="5"/>
      <c r="I8" s="12" t="s">
        <v>132</v>
      </c>
      <c r="J8" s="5"/>
    </row>
    <row r="9" spans="1:10">
      <c r="A9" s="5"/>
      <c r="B9" s="5"/>
      <c r="C9" s="12" t="s">
        <v>45</v>
      </c>
      <c r="D9" s="5"/>
      <c r="E9" s="14" t="s">
        <v>150</v>
      </c>
      <c r="F9" s="5"/>
      <c r="G9" s="5"/>
      <c r="H9" s="5"/>
      <c r="I9" s="12" t="s">
        <v>150</v>
      </c>
      <c r="J9" s="5"/>
    </row>
    <row r="10" spans="1:10">
      <c r="A10" s="5"/>
      <c r="B10" s="5"/>
      <c r="C10" s="12" t="s">
        <v>82</v>
      </c>
      <c r="D10" s="5"/>
      <c r="E10" s="14" t="s">
        <v>46</v>
      </c>
      <c r="F10" s="5"/>
      <c r="G10" s="5"/>
      <c r="H10" s="5"/>
      <c r="I10" s="12" t="s">
        <v>46</v>
      </c>
      <c r="J10" s="5"/>
    </row>
    <row r="11" spans="1:10">
      <c r="A11" s="5"/>
      <c r="B11" s="5"/>
      <c r="C11" s="12" t="s">
        <v>61</v>
      </c>
      <c r="D11" s="5"/>
      <c r="E11" s="16" t="s">
        <v>989</v>
      </c>
      <c r="F11" s="5"/>
      <c r="G11" s="5"/>
      <c r="H11" s="5"/>
      <c r="I11" s="12" t="s">
        <v>3369</v>
      </c>
      <c r="J11" s="5"/>
    </row>
    <row r="12" spans="2:9">
      <c r="B12" s="5"/>
      <c r="C12" s="12" t="s">
        <v>131</v>
      </c>
      <c r="E12" s="16" t="s">
        <v>51</v>
      </c>
      <c r="H12" s="5"/>
      <c r="I12" s="12" t="s">
        <v>3370</v>
      </c>
    </row>
    <row r="13" spans="3:5">
      <c r="C13" s="12" t="s">
        <v>1790</v>
      </c>
      <c r="E13" s="16" t="s">
        <v>234</v>
      </c>
    </row>
    <row r="14" spans="3:5">
      <c r="C14" s="12" t="s">
        <v>3371</v>
      </c>
      <c r="E14" s="12" t="s">
        <v>376</v>
      </c>
    </row>
    <row r="15" spans="3:5">
      <c r="C15" s="12" t="s">
        <v>231</v>
      </c>
      <c r="E15" s="12" t="s">
        <v>202</v>
      </c>
    </row>
    <row r="16" spans="3:5">
      <c r="C16" s="12" t="s">
        <v>79</v>
      </c>
      <c r="E16" s="16" t="s">
        <v>3372</v>
      </c>
    </row>
    <row r="17" spans="3:5">
      <c r="C17" s="12" t="s">
        <v>588</v>
      </c>
      <c r="E17" s="16" t="s">
        <v>622</v>
      </c>
    </row>
    <row r="18" spans="3:5">
      <c r="C18" s="12" t="s">
        <v>899</v>
      </c>
      <c r="E18" s="16" t="s">
        <v>128</v>
      </c>
    </row>
    <row r="19" spans="3:5">
      <c r="C19" s="12" t="s">
        <v>259</v>
      </c>
      <c r="E19" s="16" t="s">
        <v>1546</v>
      </c>
    </row>
    <row r="20" spans="3:5">
      <c r="C20" s="12" t="s">
        <v>262</v>
      </c>
      <c r="E20" s="16" t="s">
        <v>1008</v>
      </c>
    </row>
    <row r="21" spans="3:5">
      <c r="C21" s="12" t="s">
        <v>1686</v>
      </c>
      <c r="E21" s="16" t="s">
        <v>271</v>
      </c>
    </row>
    <row r="22" spans="3:5">
      <c r="C22" s="12" t="s">
        <v>3373</v>
      </c>
      <c r="E22" s="16" t="s">
        <v>144</v>
      </c>
    </row>
    <row r="23" spans="3:5">
      <c r="C23" s="12" t="s">
        <v>1274</v>
      </c>
      <c r="E23" s="16" t="s">
        <v>3374</v>
      </c>
    </row>
    <row r="24" spans="3:5">
      <c r="C24" s="12" t="s">
        <v>3281</v>
      </c>
      <c r="E24" s="16" t="s">
        <v>1632</v>
      </c>
    </row>
    <row r="25" spans="5:5">
      <c r="E25" s="16" t="s">
        <v>56</v>
      </c>
    </row>
    <row r="26" spans="5:5">
      <c r="E26" s="16" t="s">
        <v>3375</v>
      </c>
    </row>
    <row r="27" spans="5:5">
      <c r="E27" s="16" t="s">
        <v>2663</v>
      </c>
    </row>
  </sheetData>
  <pageMargins left="0.7" right="0.7" top="0.75" bottom="0.75" header="0.3" footer="0.3"/>
  <headerFooter>
    <oddHeader>&amp;L&amp;"Calibri"&amp;10&amp;K0000FF TechnipFMC | Internal&amp;1#
</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1:T125"/>
  <sheetViews>
    <sheetView zoomScale="85" zoomScaleNormal="85" topLeftCell="C51" workbookViewId="0">
      <selection activeCell="R79" sqref="R79"/>
    </sheetView>
  </sheetViews>
  <sheetFormatPr defaultColWidth="9" defaultRowHeight="13.2"/>
  <cols>
    <col min="1" max="1" width="13.8518518518519" customWidth="1"/>
    <col min="2" max="2" width="12.2222222222222"/>
    <col min="3" max="3" width="14.2222222222222"/>
    <col min="4" max="4" width="13.2222222222222"/>
    <col min="5" max="5" width="4.57407407407407" customWidth="1"/>
    <col min="6" max="6" width="4.71296296296296" customWidth="1"/>
    <col min="7" max="7" width="4.57407407407407" customWidth="1"/>
    <col min="8" max="8" width="4.85185185185185" customWidth="1"/>
    <col min="9" max="9" width="4.57407407407407" customWidth="1"/>
    <col min="10" max="10" width="11.712962962963" customWidth="1"/>
    <col min="11" max="11" width="27.4259259259259" customWidth="1"/>
    <col min="12" max="12" width="17.7777777777778"/>
    <col min="13" max="13" width="19.5555555555556"/>
    <col min="14" max="14" width="11.2222222222222"/>
    <col min="15" max="15" width="17.5555555555556"/>
    <col min="16" max="16" width="12.2222222222222"/>
    <col min="17" max="17" width="25.287037037037" customWidth="1"/>
    <col min="18" max="18" width="31.5185185185185"/>
    <col min="19" max="19" width="18.4444444444444"/>
    <col min="20" max="20" width="23.287037037037" customWidth="1"/>
    <col min="21" max="21" width="25.8518518518519" customWidth="1"/>
    <col min="22" max="22" width="24.4259259259259" customWidth="1"/>
    <col min="23" max="23" width="24.712962962963" customWidth="1"/>
    <col min="24" max="24" width="28.4259259259259" customWidth="1"/>
    <col min="25" max="25" width="23.287037037037" customWidth="1"/>
    <col min="26" max="26" width="25.8518518518519" customWidth="1"/>
    <col min="27" max="27" width="24.4259259259259" customWidth="1"/>
    <col min="28" max="28" width="24.712962962963" customWidth="1"/>
    <col min="29" max="29" width="25.287037037037" customWidth="1"/>
    <col min="30" max="30" width="28.4259259259259" customWidth="1"/>
    <col min="31" max="31" width="26.4259259259259" customWidth="1"/>
    <col min="32" max="32" width="23.287037037037" customWidth="1"/>
    <col min="33" max="33" width="24.287037037037" customWidth="1"/>
    <col min="34" max="34" width="25.287037037037" customWidth="1"/>
    <col min="35" max="35" width="28.4259259259259" customWidth="1"/>
    <col min="36" max="36" width="26.4259259259259" customWidth="1"/>
    <col min="37" max="37" width="23.1388888888889" customWidth="1"/>
    <col min="38" max="38" width="24.287037037037" customWidth="1"/>
    <col min="39" max="39" width="25.712962962963" customWidth="1"/>
    <col min="40" max="40" width="27.4259259259259" customWidth="1"/>
    <col min="41" max="41" width="24.1388888888889" customWidth="1"/>
    <col min="42" max="42" width="26.712962962963" customWidth="1"/>
    <col min="43" max="43" width="25.287037037037" customWidth="1"/>
    <col min="44" max="44" width="25.712962962963" customWidth="1"/>
    <col min="45" max="45" width="26.5740740740741" customWidth="1"/>
    <col min="46" max="46" width="29.4259259259259" customWidth="1"/>
    <col min="47" max="47" width="27.4259259259259" customWidth="1"/>
    <col min="48" max="48" width="24.1388888888889" customWidth="1"/>
    <col min="49" max="49" width="26.712962962963" customWidth="1"/>
    <col min="50" max="50" width="25.287037037037" customWidth="1"/>
    <col min="51" max="51" width="25.712962962963" customWidth="1"/>
    <col min="52" max="52" width="26.5740740740741" customWidth="1"/>
    <col min="53" max="53" width="29.4259259259259" customWidth="1"/>
    <col min="54" max="54" width="27.4259259259259" customWidth="1"/>
    <col min="55" max="55" width="24.1388888888889" customWidth="1"/>
    <col min="56" max="56" width="23" customWidth="1"/>
    <col min="57" max="57" width="21.712962962963" customWidth="1"/>
    <col min="58" max="58" width="22.1388888888889" customWidth="1"/>
    <col min="59" max="59" width="22.8518518518519" customWidth="1"/>
    <col min="60" max="60" width="25.712962962963" customWidth="1"/>
    <col min="61" max="61" width="23.712962962963" customWidth="1"/>
    <col min="62" max="62" width="20.4259259259259" customWidth="1"/>
    <col min="63" max="63" width="23" customWidth="1"/>
    <col min="64" max="64" width="21.712962962963" customWidth="1"/>
    <col min="65" max="65" width="23.1388888888889" customWidth="1"/>
    <col min="66" max="66" width="23.8518518518519" customWidth="1"/>
    <col min="67" max="67" width="26.8518518518519" customWidth="1"/>
    <col min="68" max="68" width="24.712962962963" customWidth="1"/>
    <col min="69" max="69" width="21.5740740740741" customWidth="1"/>
    <col min="70" max="70" width="24" customWidth="1"/>
    <col min="71" max="71" width="22.712962962963" customWidth="1"/>
    <col min="72" max="72" width="23.1388888888889" customWidth="1"/>
    <col min="73" max="73" width="23.8518518518519" customWidth="1"/>
    <col min="74" max="74" width="26.8518518518519" customWidth="1"/>
    <col min="75" max="75" width="24.712962962963" customWidth="1"/>
    <col min="76" max="76" width="21.5740740740741" customWidth="1"/>
    <col min="77" max="77" width="24" customWidth="1"/>
    <col min="78" max="78" width="22.712962962963" customWidth="1"/>
    <col min="79" max="79" width="23.1388888888889" customWidth="1"/>
    <col min="80" max="80" width="23.8518518518519" customWidth="1"/>
    <col min="81" max="81" width="24.712962962963" customWidth="1"/>
    <col min="82" max="82" width="24" customWidth="1"/>
    <col min="83" max="83" width="24.287037037037" customWidth="1"/>
    <col min="84" max="84" width="22.287037037037" customWidth="1"/>
    <col min="85" max="85" width="19.1388888888889" customWidth="1"/>
    <col min="86" max="86" width="21.712962962963" customWidth="1"/>
    <col min="87" max="87" width="20.287037037037" customWidth="1"/>
    <col min="88" max="88" width="20.712962962963" customWidth="1"/>
    <col min="89" max="89" width="21.287037037037" customWidth="1"/>
    <col min="90" max="90" width="24.287037037037" customWidth="1"/>
    <col min="91" max="91" width="23.287037037037" customWidth="1"/>
    <col min="92" max="92" width="20.1388888888889" customWidth="1"/>
    <col min="93" max="93" width="22.712962962963" customWidth="1"/>
    <col min="94" max="94" width="21.4259259259259" customWidth="1"/>
    <col min="95" max="95" width="21.8518518518519" customWidth="1"/>
    <col min="96" max="96" width="22.4259259259259" customWidth="1"/>
    <col min="97" max="97" width="25.287037037037" customWidth="1"/>
    <col min="98" max="98" width="23.287037037037" customWidth="1"/>
    <col min="99" max="99" width="22.712962962963" customWidth="1"/>
    <col min="100" max="100" width="21.4259259259259" customWidth="1"/>
    <col min="101" max="101" width="21.8518518518519" customWidth="1"/>
    <col min="102" max="102" width="22.4259259259259" customWidth="1"/>
    <col min="103" max="103" width="25.287037037037" customWidth="1"/>
    <col min="104" max="104" width="23.287037037037" customWidth="1"/>
    <col min="105" max="105" width="20.1388888888889" customWidth="1"/>
    <col min="106" max="106" width="22.712962962963" customWidth="1"/>
    <col min="107" max="107" width="21.4259259259259" customWidth="1"/>
    <col min="108" max="108" width="21.8518518518519" customWidth="1"/>
    <col min="109" max="109" width="22.4259259259259" customWidth="1"/>
    <col min="110" max="110" width="25.287037037037" customWidth="1"/>
    <col min="111" max="111" width="21.4259259259259" customWidth="1"/>
    <col min="112" max="112" width="18.5740740740741" customWidth="1"/>
    <col min="113" max="113" width="21" customWidth="1"/>
    <col min="114" max="114" width="19.712962962963" customWidth="1"/>
    <col min="115" max="115" width="20" customWidth="1"/>
    <col min="116" max="116" width="20.712962962963" customWidth="1"/>
    <col min="117" max="117" width="23.712962962963" customWidth="1"/>
    <col min="118" max="118" width="21.4259259259259" customWidth="1"/>
    <col min="119" max="119" width="22.1388888888889" customWidth="1"/>
    <col min="120" max="120" width="20.712962962963" customWidth="1"/>
    <col min="121" max="121" width="21" customWidth="1"/>
    <col min="122" max="122" width="21.8518518518519" customWidth="1"/>
    <col min="123" max="123" width="24.712962962963" customWidth="1"/>
    <col min="124" max="124" width="22.712962962963" customWidth="1"/>
    <col min="125" max="125" width="19.5740740740741" customWidth="1"/>
    <col min="126" max="126" width="22.1388888888889" customWidth="1"/>
    <col min="127" max="127" width="20.712962962963" customWidth="1"/>
    <col min="128" max="128" width="21" customWidth="1"/>
    <col min="129" max="129" width="21.8518518518519" customWidth="1"/>
    <col min="130" max="130" width="24.712962962963" customWidth="1"/>
    <col min="131" max="131" width="22.712962962963" customWidth="1"/>
    <col min="132" max="132" width="22.1388888888889" customWidth="1"/>
    <col min="133" max="133" width="20.712962962963" customWidth="1"/>
    <col min="134" max="134" width="21" customWidth="1"/>
    <col min="135" max="135" width="21.8518518518519" customWidth="1"/>
    <col min="136" max="136" width="24.712962962963" customWidth="1"/>
    <col min="137" max="137" width="22.712962962963" customWidth="1"/>
    <col min="138" max="138" width="20.4259259259259" customWidth="1"/>
    <col min="139" max="139" width="20.8518518518519" customWidth="1"/>
    <col min="140" max="140" width="21.4259259259259" customWidth="1"/>
    <col min="141" max="141" width="22.4259259259259" customWidth="1"/>
    <col min="142" max="142" width="20.8518518518519" customWidth="1"/>
    <col min="143" max="143" width="22.712962962963" customWidth="1"/>
    <col min="144" max="144" width="25.5740740740741" customWidth="1"/>
    <col min="145" max="145" width="23.5740740740741" customWidth="1"/>
    <col min="146" max="146" width="20.287037037037" customWidth="1"/>
    <col min="147" max="147" width="22.8518518518519" customWidth="1"/>
    <col min="148" max="148" width="21.5740740740741" customWidth="1"/>
    <col min="149" max="149" width="22" customWidth="1"/>
    <col min="150" max="150" width="22.712962962963" customWidth="1"/>
    <col min="151" max="151" width="25.5740740740741" customWidth="1"/>
    <col min="152" max="152" width="23.5740740740741" customWidth="1"/>
    <col min="153" max="153" width="20.287037037037" customWidth="1"/>
    <col min="154" max="154" width="22.8518518518519" customWidth="1"/>
    <col min="155" max="155" width="21.5740740740741" customWidth="1"/>
    <col min="156" max="156" width="22" customWidth="1"/>
    <col min="157" max="157" width="22.712962962963" customWidth="1"/>
    <col min="158" max="158" width="25.5740740740741" customWidth="1"/>
    <col min="159" max="159" width="23.5740740740741" customWidth="1"/>
    <col min="160" max="160" width="22.8518518518519" customWidth="1"/>
    <col min="161" max="161" width="21.5740740740741" customWidth="1"/>
    <col min="162" max="162" width="22" customWidth="1"/>
    <col min="163" max="164" width="11.712962962963" customWidth="1"/>
  </cols>
  <sheetData>
    <row r="11" ht="13.95" spans="2:4">
      <c r="B11" s="1" t="s">
        <v>3376</v>
      </c>
      <c r="C11" s="2" t="s">
        <v>3377</v>
      </c>
      <c r="D11" s="2" t="s">
        <v>3378</v>
      </c>
    </row>
    <row r="12" ht="13.95" spans="2:4">
      <c r="B12" s="3">
        <f>IF(COUNTA(C12:C16)=5,GETPIVOTDATA("S/N",$C$11),GETPIVOTDATA("S/N",$C$11,"Months (Date)",C12))</f>
        <v>143</v>
      </c>
      <c r="C12" s="4" t="s">
        <v>3379</v>
      </c>
      <c r="D12" s="2">
        <v>143</v>
      </c>
    </row>
    <row r="13" ht="13.95" spans="3:4">
      <c r="C13" s="4" t="s">
        <v>3380</v>
      </c>
      <c r="D13" s="2">
        <v>143</v>
      </c>
    </row>
    <row r="22" spans="1:1">
      <c r="A22" s="5"/>
    </row>
    <row r="23" spans="1:3">
      <c r="A23" s="5"/>
      <c r="B23" s="6" t="s">
        <v>19</v>
      </c>
      <c r="C23" s="6" t="s">
        <v>3381</v>
      </c>
    </row>
    <row r="24" spans="1:3">
      <c r="A24" s="7"/>
      <c r="B24" s="6" t="s">
        <v>35</v>
      </c>
      <c r="C24" s="6">
        <v>73</v>
      </c>
    </row>
    <row r="25" spans="1:3">
      <c r="A25" s="7"/>
      <c r="B25" s="6" t="s">
        <v>60</v>
      </c>
      <c r="C25" s="6">
        <v>24</v>
      </c>
    </row>
    <row r="26" spans="1:3">
      <c r="A26" s="7"/>
      <c r="B26" s="6" t="s">
        <v>72</v>
      </c>
      <c r="C26" s="6">
        <v>46</v>
      </c>
    </row>
    <row r="27" spans="1:3">
      <c r="A27" s="7"/>
      <c r="B27" s="6" t="s">
        <v>3380</v>
      </c>
      <c r="C27" s="6">
        <v>143</v>
      </c>
    </row>
    <row r="34" spans="12:16">
      <c r="L34" s="6" t="s">
        <v>3382</v>
      </c>
      <c r="M34" s="6" t="s">
        <v>3383</v>
      </c>
      <c r="N34" s="6"/>
      <c r="O34" s="6"/>
      <c r="P34" s="6"/>
    </row>
    <row r="35" spans="12:16">
      <c r="L35" s="6" t="s">
        <v>3351</v>
      </c>
      <c r="M35" s="6" t="s">
        <v>3384</v>
      </c>
      <c r="N35" s="6" t="s">
        <v>50</v>
      </c>
      <c r="O35" s="6" t="s">
        <v>36</v>
      </c>
      <c r="P35" s="6" t="s">
        <v>3380</v>
      </c>
    </row>
    <row r="36" spans="1:16">
      <c r="A36" s="5"/>
      <c r="L36" s="6" t="s">
        <v>37</v>
      </c>
      <c r="M36" s="6">
        <v>4</v>
      </c>
      <c r="N36" s="6">
        <v>5</v>
      </c>
      <c r="O36" s="6">
        <v>5</v>
      </c>
      <c r="P36" s="6">
        <v>14</v>
      </c>
    </row>
    <row r="37" spans="1:16">
      <c r="A37" s="5"/>
      <c r="L37" s="6" t="s">
        <v>55</v>
      </c>
      <c r="M37" s="6">
        <v>2</v>
      </c>
      <c r="N37" s="6">
        <v>6</v>
      </c>
      <c r="O37" s="6">
        <v>8</v>
      </c>
      <c r="P37" s="6">
        <v>16</v>
      </c>
    </row>
    <row r="38" spans="1:16">
      <c r="A38" s="7"/>
      <c r="L38" s="6" t="s">
        <v>65</v>
      </c>
      <c r="M38" s="6">
        <v>1</v>
      </c>
      <c r="N38" s="6"/>
      <c r="O38" s="6">
        <v>5</v>
      </c>
      <c r="P38" s="6">
        <v>6</v>
      </c>
    </row>
    <row r="39" spans="1:16">
      <c r="A39" s="7"/>
      <c r="L39" s="6" t="s">
        <v>1850</v>
      </c>
      <c r="M39" s="6">
        <v>2</v>
      </c>
      <c r="N39" s="6"/>
      <c r="O39" s="6">
        <v>5</v>
      </c>
      <c r="P39" s="6">
        <v>7</v>
      </c>
    </row>
    <row r="40" spans="1:16">
      <c r="A40" s="7"/>
      <c r="L40" s="6" t="s">
        <v>45</v>
      </c>
      <c r="M40" s="6">
        <v>6</v>
      </c>
      <c r="N40" s="6">
        <v>3</v>
      </c>
      <c r="O40" s="6">
        <v>7</v>
      </c>
      <c r="P40" s="6">
        <v>16</v>
      </c>
    </row>
    <row r="41" spans="1:16">
      <c r="A41" s="7"/>
      <c r="L41" s="6" t="s">
        <v>61</v>
      </c>
      <c r="M41" s="6">
        <v>3</v>
      </c>
      <c r="N41" s="6">
        <v>3</v>
      </c>
      <c r="O41" s="6">
        <v>10</v>
      </c>
      <c r="P41" s="6">
        <v>16</v>
      </c>
    </row>
    <row r="42" spans="1:16">
      <c r="A42" s="7"/>
      <c r="L42" s="6" t="s">
        <v>74</v>
      </c>
      <c r="M42" s="6">
        <v>1</v>
      </c>
      <c r="N42" s="6">
        <v>1</v>
      </c>
      <c r="O42" s="6">
        <v>3</v>
      </c>
      <c r="P42" s="6">
        <v>5</v>
      </c>
    </row>
    <row r="43" spans="1:16">
      <c r="A43" s="7"/>
      <c r="L43" s="6" t="s">
        <v>79</v>
      </c>
      <c r="M43" s="6"/>
      <c r="N43" s="6">
        <v>3</v>
      </c>
      <c r="O43" s="6">
        <v>6</v>
      </c>
      <c r="P43" s="6">
        <v>9</v>
      </c>
    </row>
    <row r="44" spans="1:16">
      <c r="A44" s="7"/>
      <c r="L44" s="6" t="s">
        <v>82</v>
      </c>
      <c r="M44" s="6">
        <v>2</v>
      </c>
      <c r="N44" s="6">
        <v>6</v>
      </c>
      <c r="O44" s="6">
        <v>12</v>
      </c>
      <c r="P44" s="6">
        <v>20</v>
      </c>
    </row>
    <row r="45" spans="1:16">
      <c r="A45" s="7"/>
      <c r="L45" s="6" t="s">
        <v>93</v>
      </c>
      <c r="M45" s="6">
        <v>1</v>
      </c>
      <c r="N45" s="6">
        <v>1</v>
      </c>
      <c r="O45" s="6">
        <v>3</v>
      </c>
      <c r="P45" s="6">
        <v>5</v>
      </c>
    </row>
    <row r="46" spans="1:16">
      <c r="A46" s="7"/>
      <c r="L46" s="6" t="s">
        <v>131</v>
      </c>
      <c r="M46" s="6">
        <v>2</v>
      </c>
      <c r="N46" s="6">
        <v>3</v>
      </c>
      <c r="O46" s="6">
        <v>3</v>
      </c>
      <c r="P46" s="6">
        <v>8</v>
      </c>
    </row>
    <row r="47" spans="1:16">
      <c r="A47" s="7"/>
      <c r="L47" s="6" t="s">
        <v>259</v>
      </c>
      <c r="M47" s="6">
        <v>1</v>
      </c>
      <c r="N47" s="6"/>
      <c r="O47" s="6"/>
      <c r="P47" s="6">
        <v>1</v>
      </c>
    </row>
    <row r="48" spans="1:16">
      <c r="A48" s="7"/>
      <c r="L48" s="6" t="s">
        <v>1617</v>
      </c>
      <c r="M48" s="6"/>
      <c r="N48" s="6">
        <v>1</v>
      </c>
      <c r="O48" s="6"/>
      <c r="P48" s="6">
        <v>1</v>
      </c>
    </row>
    <row r="49" spans="1:16">
      <c r="A49" s="7"/>
      <c r="L49" s="6" t="s">
        <v>1790</v>
      </c>
      <c r="M49" s="6">
        <v>2</v>
      </c>
      <c r="N49" s="6">
        <v>5</v>
      </c>
      <c r="O49" s="6">
        <v>12</v>
      </c>
      <c r="P49" s="6">
        <v>19</v>
      </c>
    </row>
    <row r="50" spans="12:16">
      <c r="L50" s="6" t="s">
        <v>3380</v>
      </c>
      <c r="M50" s="6">
        <v>27</v>
      </c>
      <c r="N50" s="6">
        <v>37</v>
      </c>
      <c r="O50" s="6">
        <v>79</v>
      </c>
      <c r="P50" s="6">
        <v>143</v>
      </c>
    </row>
    <row r="52" spans="1:1">
      <c r="A52" s="7"/>
    </row>
    <row r="53" spans="1:1">
      <c r="A53" s="7"/>
    </row>
    <row r="54" spans="1:1">
      <c r="A54" s="7"/>
    </row>
    <row r="55" spans="1:3">
      <c r="A55" s="7"/>
      <c r="B55" s="7"/>
      <c r="C55" s="7"/>
    </row>
    <row r="56" spans="1:1">
      <c r="A56" s="7"/>
    </row>
    <row r="57" spans="1:1">
      <c r="A57" s="7"/>
    </row>
    <row r="58" spans="1:1">
      <c r="A58" s="7"/>
    </row>
    <row r="59" spans="1:1">
      <c r="A59" s="5"/>
    </row>
    <row r="60" spans="1:1">
      <c r="A60" s="5"/>
    </row>
    <row r="61" spans="1:1">
      <c r="A61" s="7"/>
    </row>
    <row r="62" spans="1:3">
      <c r="A62" s="7"/>
      <c r="B62" s="7"/>
      <c r="C62" s="7"/>
    </row>
    <row r="63" spans="1:3">
      <c r="A63" s="7"/>
      <c r="B63" s="6" t="s">
        <v>32</v>
      </c>
      <c r="C63" s="6" t="s">
        <v>3382</v>
      </c>
    </row>
    <row r="64" spans="1:6">
      <c r="A64" s="7"/>
      <c r="B64" s="6" t="s">
        <v>43</v>
      </c>
      <c r="C64" s="6">
        <v>116</v>
      </c>
      <c r="D64" s="5" t="str">
        <f>IFERROR(GETPIVOTDATA("Status",$B$63,"Status","Open"),"0")</f>
        <v>0</v>
      </c>
      <c r="E64">
        <f>GETPIVOTDATA("Status",$B$63,"Status","Closed")</f>
        <v>116</v>
      </c>
      <c r="F64" s="8">
        <f>IF(D64="",1,E64/(D64+E64))</f>
        <v>1</v>
      </c>
    </row>
    <row r="65" spans="1:3">
      <c r="A65" s="7"/>
      <c r="B65" s="6" t="s">
        <v>3380</v>
      </c>
      <c r="C65" s="6">
        <v>116</v>
      </c>
    </row>
    <row r="66" spans="1:19">
      <c r="A66" s="7"/>
      <c r="R66" s="6" t="s">
        <v>21</v>
      </c>
      <c r="S66" s="6" t="s">
        <v>3385</v>
      </c>
    </row>
    <row r="68" spans="2:19">
      <c r="B68" s="7"/>
      <c r="C68" s="7"/>
      <c r="R68" s="6" t="s">
        <v>23</v>
      </c>
      <c r="S68" s="6" t="s">
        <v>3382</v>
      </c>
    </row>
    <row r="69" spans="2:19">
      <c r="B69" s="7"/>
      <c r="C69" s="7"/>
      <c r="R69" s="6" t="s">
        <v>3364</v>
      </c>
      <c r="S69" s="6">
        <v>66</v>
      </c>
    </row>
    <row r="70" spans="18:19">
      <c r="R70" s="10" t="s">
        <v>128</v>
      </c>
      <c r="S70" s="6">
        <v>4</v>
      </c>
    </row>
    <row r="71" spans="18:19">
      <c r="R71" s="10" t="s">
        <v>1008</v>
      </c>
      <c r="S71" s="6">
        <v>8</v>
      </c>
    </row>
    <row r="72" spans="18:19">
      <c r="R72" s="10" t="s">
        <v>144</v>
      </c>
      <c r="S72" s="6">
        <v>1</v>
      </c>
    </row>
    <row r="73" spans="1:19">
      <c r="A73" s="5"/>
      <c r="R73" s="10" t="s">
        <v>622</v>
      </c>
      <c r="S73" s="6">
        <v>1</v>
      </c>
    </row>
    <row r="74" spans="1:19">
      <c r="A74" s="5"/>
      <c r="R74" s="10" t="s">
        <v>376</v>
      </c>
      <c r="S74" s="6">
        <v>1</v>
      </c>
    </row>
    <row r="75" spans="1:19">
      <c r="A75" s="7"/>
      <c r="R75" s="10" t="s">
        <v>51</v>
      </c>
      <c r="S75" s="6">
        <v>17</v>
      </c>
    </row>
    <row r="76" spans="1:20">
      <c r="A76" s="7"/>
      <c r="R76" s="10" t="s">
        <v>989</v>
      </c>
      <c r="S76" s="6">
        <v>3</v>
      </c>
      <c r="T76">
        <f>GETPIVOTDATA("Observation Type",$R$68,"Observation Type2","Others")</f>
        <v>66</v>
      </c>
    </row>
    <row r="77" spans="1:20">
      <c r="A77" s="7"/>
      <c r="R77" s="10" t="s">
        <v>56</v>
      </c>
      <c r="S77" s="6">
        <v>30</v>
      </c>
      <c r="T77">
        <f>GETPIVOTDATA("Observation Type",$R$68,"Observation Type2","LSR")</f>
        <v>50</v>
      </c>
    </row>
    <row r="78" spans="1:19">
      <c r="A78" s="7"/>
      <c r="R78" s="10" t="s">
        <v>1632</v>
      </c>
      <c r="S78" s="6">
        <v>1</v>
      </c>
    </row>
    <row r="79" spans="1:19">
      <c r="A79" s="7"/>
      <c r="R79" s="6" t="s">
        <v>3386</v>
      </c>
      <c r="S79" s="6">
        <v>50</v>
      </c>
    </row>
    <row r="80" spans="1:19">
      <c r="A80" s="7"/>
      <c r="R80" s="10" t="s">
        <v>46</v>
      </c>
      <c r="S80" s="6">
        <v>13</v>
      </c>
    </row>
    <row r="81" spans="1:19">
      <c r="A81" s="7"/>
      <c r="R81" s="10" t="s">
        <v>150</v>
      </c>
      <c r="S81" s="6">
        <v>1</v>
      </c>
    </row>
    <row r="82" spans="1:19">
      <c r="A82" s="7"/>
      <c r="R82" s="10" t="s">
        <v>132</v>
      </c>
      <c r="S82" s="6">
        <v>7</v>
      </c>
    </row>
    <row r="83" spans="1:19">
      <c r="A83" s="7"/>
      <c r="R83" s="10" t="s">
        <v>66</v>
      </c>
      <c r="S83" s="6">
        <v>3</v>
      </c>
    </row>
    <row r="84" spans="1:19">
      <c r="A84" s="7"/>
      <c r="R84" s="10" t="s">
        <v>94</v>
      </c>
      <c r="S84" s="6">
        <v>15</v>
      </c>
    </row>
    <row r="85" spans="1:19">
      <c r="A85" s="7"/>
      <c r="R85" s="10" t="s">
        <v>38</v>
      </c>
      <c r="S85" s="6">
        <v>8</v>
      </c>
    </row>
    <row r="86" spans="1:19">
      <c r="A86" s="7"/>
      <c r="R86" s="10" t="s">
        <v>97</v>
      </c>
      <c r="S86" s="6">
        <v>3</v>
      </c>
    </row>
    <row r="87" spans="1:19">
      <c r="A87" s="7"/>
      <c r="R87" s="6" t="s">
        <v>3380</v>
      </c>
      <c r="S87" s="6">
        <v>116</v>
      </c>
    </row>
    <row r="88" spans="1:1">
      <c r="A88" s="7"/>
    </row>
    <row r="89" spans="1:1">
      <c r="A89" s="7"/>
    </row>
    <row r="90" spans="1:1">
      <c r="A90" s="7"/>
    </row>
    <row r="91" spans="1:1">
      <c r="A91" s="7"/>
    </row>
    <row r="92" spans="1:1">
      <c r="A92" s="7"/>
    </row>
    <row r="93" spans="1:1">
      <c r="A93" s="7"/>
    </row>
    <row r="99" spans="1:3">
      <c r="A99" s="5"/>
      <c r="B99" s="5"/>
      <c r="C99" s="5"/>
    </row>
    <row r="100" spans="1:3">
      <c r="A100" s="5"/>
      <c r="B100" s="6" t="s">
        <v>25</v>
      </c>
      <c r="C100" s="6" t="s">
        <v>3382</v>
      </c>
    </row>
    <row r="101" spans="1:3">
      <c r="A101" s="7"/>
      <c r="B101" s="9" t="s">
        <v>40</v>
      </c>
      <c r="C101" s="6">
        <v>33</v>
      </c>
    </row>
    <row r="102" spans="1:3">
      <c r="A102" s="7"/>
      <c r="B102" s="9" t="s">
        <v>137</v>
      </c>
      <c r="C102" s="6">
        <v>27</v>
      </c>
    </row>
    <row r="103" spans="1:3">
      <c r="A103" s="7"/>
      <c r="B103" s="9" t="s">
        <v>88</v>
      </c>
      <c r="C103" s="6">
        <v>15</v>
      </c>
    </row>
    <row r="104" spans="1:3">
      <c r="A104" s="7"/>
      <c r="B104" s="9" t="s">
        <v>91</v>
      </c>
      <c r="C104" s="6">
        <v>17</v>
      </c>
    </row>
    <row r="105" spans="1:3">
      <c r="A105" s="7"/>
      <c r="B105" s="9" t="s">
        <v>53</v>
      </c>
      <c r="C105" s="6">
        <v>51</v>
      </c>
    </row>
    <row r="106" spans="1:3">
      <c r="A106" s="7"/>
      <c r="B106" s="6" t="s">
        <v>3380</v>
      </c>
      <c r="C106" s="6">
        <v>143</v>
      </c>
    </row>
    <row r="120" spans="1:1">
      <c r="A120" s="5"/>
    </row>
    <row r="121" spans="1:1">
      <c r="A121" s="5"/>
    </row>
    <row r="122" spans="1:1">
      <c r="A122" s="7"/>
    </row>
    <row r="123" spans="1:1">
      <c r="A123" s="7"/>
    </row>
    <row r="124" spans="1:1">
      <c r="A124" s="7"/>
    </row>
    <row r="125" spans="1:1">
      <c r="A125" s="7"/>
    </row>
  </sheetData>
  <pageMargins left="0.7" right="0.7" top="0.75" bottom="0.75" header="0.3" footer="0.3"/>
  <headerFooter/>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0994122-C1B5-45D2-8549-C3E3E5CD3750}">
  <ds:schemaRefs/>
</ds:datastoreItem>
</file>

<file path=customXml/itemProps2.xml><?xml version="1.0" encoding="utf-8"?>
<ds:datastoreItem xmlns:ds="http://schemas.openxmlformats.org/officeDocument/2006/customXml" ds:itemID="{20794CA0-B30E-4862-B69C-6DB8253968D5}">
  <ds:schemaRefs/>
</ds:datastoreItem>
</file>

<file path=customXml/itemProps3.xml><?xml version="1.0" encoding="utf-8"?>
<ds:datastoreItem xmlns:ds="http://schemas.openxmlformats.org/officeDocument/2006/customXml" ds:itemID="{A9C34F49-1438-4069-A925-DEAF80140B39}">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DashBoard</vt:lpstr>
      <vt:lpstr>SHOC</vt:lpstr>
      <vt:lpstr>List</vt:lpstr>
      <vt:lpstr>Tables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eng.passantelgheriany.ptj@gmail.com</dc:creator>
  <cp:lastModifiedBy>mosta</cp:lastModifiedBy>
  <dcterms:created xsi:type="dcterms:W3CDTF">2011-09-20T07:37:00Z</dcterms:created>
  <cp:lastPrinted>2025-08-03T06:18:00Z</cp:lastPrinted>
  <dcterms:modified xsi:type="dcterms:W3CDTF">2025-12-01T14:33:06Z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64f6f3-ba1e-417c-b6f1-929d6caea309_Enabled">
    <vt:lpwstr>true</vt:lpwstr>
  </property>
  <property fmtid="{D5CDD505-2E9C-101B-9397-08002B2CF9AE}" pid="3" name="MSIP_Label_b064f6f3-ba1e-417c-b6f1-929d6caea309_SetDate">
    <vt:lpwstr>2025-02-23T11:43:35Z</vt:lpwstr>
  </property>
  <property fmtid="{D5CDD505-2E9C-101B-9397-08002B2CF9AE}" pid="4" name="MSIP_Label_b064f6f3-ba1e-417c-b6f1-929d6caea309_Method">
    <vt:lpwstr>Privileged</vt:lpwstr>
  </property>
  <property fmtid="{D5CDD505-2E9C-101B-9397-08002B2CF9AE}" pid="5" name="MSIP_Label_b064f6f3-ba1e-417c-b6f1-929d6caea309_Name">
    <vt:lpwstr>Internal</vt:lpwstr>
  </property>
  <property fmtid="{D5CDD505-2E9C-101B-9397-08002B2CF9AE}" pid="6" name="MSIP_Label_b064f6f3-ba1e-417c-b6f1-929d6caea309_SiteId">
    <vt:lpwstr>0804c951-93a0-405d-80e4-fa87c7551d6a</vt:lpwstr>
  </property>
  <property fmtid="{D5CDD505-2E9C-101B-9397-08002B2CF9AE}" pid="7" name="MSIP_Label_b064f6f3-ba1e-417c-b6f1-929d6caea309_ActionId">
    <vt:lpwstr>449b35b2-c904-48a0-a0d1-8a8d23b6ac59</vt:lpwstr>
  </property>
  <property fmtid="{D5CDD505-2E9C-101B-9397-08002B2CF9AE}" pid="8" name="MSIP_Label_b064f6f3-ba1e-417c-b6f1-929d6caea309_ContentBits">
    <vt:lpwstr>1</vt:lpwstr>
  </property>
  <property fmtid="{D5CDD505-2E9C-101B-9397-08002B2CF9AE}" pid="9" name="MSIP_Label_b064f6f3-ba1e-417c-b6f1-929d6caea309_Tag">
    <vt:lpwstr>10, 0, 1, 1</vt:lpwstr>
  </property>
  <property fmtid="{D5CDD505-2E9C-101B-9397-08002B2CF9AE}" pid="10" name="ContentTypeId">
    <vt:lpwstr>0x010100C52453FCC9B1644CB4E7E34BD2AE0B9D</vt:lpwstr>
  </property>
  <property fmtid="{D5CDD505-2E9C-101B-9397-08002B2CF9AE}" pid="11" name="MediaServiceImageTags">
    <vt:lpwstr/>
  </property>
  <property fmtid="{D5CDD505-2E9C-101B-9397-08002B2CF9AE}" pid="12" name="ICV">
    <vt:lpwstr>2E0F4B4776AE4668B62A84F6954704E6_13</vt:lpwstr>
  </property>
  <property fmtid="{D5CDD505-2E9C-101B-9397-08002B2CF9AE}" pid="13" name="KSOProductBuildVer">
    <vt:lpwstr>1033-12.2.0.23155</vt:lpwstr>
  </property>
</Properties>
</file>